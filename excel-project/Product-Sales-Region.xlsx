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https://d.docs.live.net/3a7b4fe35d729757/Documents/Projects/Excel/Product-Sales-Region/"/>
    </mc:Choice>
  </mc:AlternateContent>
  <xr:revisionPtr revIDLastSave="1286" documentId="11_C8261FC465D92C3960256FE51D9CCA1751231278" xr6:coauthVersionLast="47" xr6:coauthVersionMax="47" xr10:uidLastSave="{BF01E49D-8E19-4D52-BCFF-9A510C40AF3A}"/>
  <bookViews>
    <workbookView xWindow="-108" yWindow="-108" windowWidth="23256" windowHeight="13896" activeTab="1" xr2:uid="{00000000-000D-0000-FFFF-FFFF00000000}"/>
  </bookViews>
  <sheets>
    <sheet name="KPI" sheetId="5" r:id="rId1"/>
    <sheet name="Charts" sheetId="6" r:id="rId2"/>
    <sheet name="CustomerPromotion" sheetId="8" r:id="rId3"/>
    <sheet name="Dashboard" sheetId="9" r:id="rId4"/>
    <sheet name="Cleaned Data" sheetId="4" r:id="rId5"/>
    <sheet name="Raw" sheetId="1" r:id="rId6"/>
  </sheets>
  <definedNames>
    <definedName name="Slicer_CustomerType">#N/A</definedName>
    <definedName name="Slicer_OrderMonth">#N/A</definedName>
    <definedName name="Slicer_OrderYear">#N/A</definedName>
    <definedName name="Slicer_Product">#N/A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5" l="1"/>
  <c r="D6" i="5"/>
  <c r="C6" i="5"/>
  <c r="B6" i="5"/>
  <c r="A6" i="5"/>
  <c r="O1503" i="4"/>
  <c r="M1503" i="4"/>
  <c r="F4" i="5"/>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D2"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2"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<sst xmlns="http://schemas.openxmlformats.org/spreadsheetml/2006/main" count="30956" uniqueCount="2999">
  <si>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</si>
  <si>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</si>
  <si>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</si>
  <si>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</si>
  <si>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</si>
  <si>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</si>
  <si>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</si>
  <si>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</si>
  <si>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</si>
  <si>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</si>
  <si>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</si>
  <si>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</si>
  <si>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</si>
  <si>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</si>
  <si>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</si>
  <si>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</si>
  <si>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</si>
  <si>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</si>
  <si>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</si>
  <si>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</si>
  <si>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</si>
  <si>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</si>
  <si>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</si>
  <si>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</si>
  <si>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</si>
  <si>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</si>
  <si>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</si>
  <si>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</si>
  <si>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</si>
  <si>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</si>
  <si>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</si>
  <si>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</si>
  <si>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</si>
  <si>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</si>
  <si>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</si>
  <si>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</si>
  <si>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</si>
  <si>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</si>
  <si>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</si>
  <si>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</si>
  <si>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</si>
  <si>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</si>
  <si>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</si>
  <si>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</si>
  <si>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</si>
  <si>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</si>
  <si>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</si>
  <si>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</si>
  <si>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</si>
  <si>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</si>
  <si>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</si>
  <si>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</si>
  <si>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</si>
  <si>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</si>
  <si>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</si>
  <si>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</si>
  <si>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</si>
  <si>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</si>
  <si>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</si>
  <si>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</si>
  <si>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</si>
  <si>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</si>
  <si>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</si>
  <si>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</si>
  <si>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</si>
  <si>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</si>
  <si>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</si>
  <si>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</si>
  <si>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</si>
  <si>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</si>
  <si>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</si>
  <si>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</si>
  <si>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</si>
  <si>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</si>
  <si>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</si>
  <si>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</si>
  <si>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</si>
  <si>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</si>
  <si>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</si>
  <si>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</si>
  <si>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</si>
  <si>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</si>
  <si>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</si>
  <si>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</si>
  <si>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</si>
  <si>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</si>
  <si>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</si>
  <si>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</si>
  <si>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</si>
  <si>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</si>
  <si>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</si>
  <si>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</si>
  <si>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</si>
  <si>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</si>
  <si>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</si>
  <si>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</si>
  <si>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</si>
  <si>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</si>
  <si>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</si>
  <si>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</si>
  <si>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</si>
  <si>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</si>
  <si>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</si>
  <si>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</si>
  <si>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</si>
  <si>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</si>
  <si>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</si>
  <si>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</si>
  <si>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</si>
  <si>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</si>
  <si>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</si>
  <si>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</si>
  <si>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</si>
  <si>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</si>
  <si>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</si>
  <si>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</si>
  <si>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</si>
  <si>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</si>
  <si>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</si>
  <si>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</si>
  <si>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</si>
  <si>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</si>
  <si>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</si>
  <si>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</si>
  <si>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</si>
  <si>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</si>
  <si>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</si>
  <si>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</si>
  <si>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</si>
  <si>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</si>
  <si>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</si>
  <si>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</si>
  <si>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</si>
  <si>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</si>
  <si>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</si>
  <si>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</si>
  <si>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</si>
  <si>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</si>
  <si>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</si>
  <si>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</si>
  <si>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</si>
  <si>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</si>
  <si>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</si>
  <si>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</si>
  <si>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</si>
  <si>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</si>
  <si>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</si>
  <si>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</si>
  <si>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</si>
  <si>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</si>
  <si>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</si>
  <si>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</si>
  <si>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</si>
  <si>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</si>
  <si>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</si>
  <si>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</si>
  <si>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</si>
  <si>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</si>
  <si>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</si>
  <si>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</si>
  <si>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</si>
  <si>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</si>
  <si>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</si>
  <si>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</si>
  <si>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</si>
  <si>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</si>
  <si>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</si>
  <si>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</si>
  <si>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</si>
  <si>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</si>
  <si>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</si>
  <si>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</si>
  <si>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</si>
  <si>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</si>
  <si>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</si>
  <si>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</si>
  <si>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</si>
  <si>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</si>
  <si>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</si>
  <si>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</si>
  <si>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</si>
  <si>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</si>
  <si>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</si>
  <si>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</si>
  <si>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</si>
  <si>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</si>
  <si>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</si>
  <si>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</si>
  <si>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</si>
  <si>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</si>
  <si>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</si>
  <si>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</si>
  <si>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</si>
  <si>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</si>
  <si>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</si>
  <si>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</si>
  <si>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</si>
  <si>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</si>
  <si>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</si>
  <si>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</si>
  <si>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</si>
  <si>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</si>
  <si>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</si>
  <si>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</si>
  <si>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</si>
  <si>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</si>
  <si>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</si>
  <si>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</si>
  <si>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</si>
  <si>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</si>
  <si>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</si>
  <si>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</si>
  <si>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</si>
  <si>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</si>
  <si>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</si>
  <si>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</si>
  <si>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</si>
  <si>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</si>
  <si>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</si>
  <si>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</si>
  <si>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</si>
  <si>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</si>
  <si>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</si>
  <si>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</si>
  <si>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</si>
  <si>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</si>
  <si>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</si>
  <si>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</si>
  <si>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</si>
  <si>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</si>
  <si>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</si>
  <si>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</si>
  <si>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</si>
  <si>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</si>
  <si>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</si>
  <si>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</si>
  <si>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</si>
  <si>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</si>
  <si>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</si>
  <si>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</si>
  <si>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</si>
  <si>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</si>
  <si>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</si>
  <si>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</si>
  <si>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</si>
  <si>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</si>
  <si>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</si>
  <si>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</si>
  <si>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</si>
  <si>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</si>
  <si>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</si>
  <si>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</si>
  <si>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</si>
  <si>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</si>
  <si>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</si>
  <si>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</si>
  <si>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</si>
  <si>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</si>
  <si>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</si>
  <si>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</si>
  <si>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</si>
  <si>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</si>
  <si>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</si>
  <si>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</si>
  <si>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</si>
  <si>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</si>
  <si>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</si>
  <si>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</si>
  <si>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</si>
  <si>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</si>
  <si>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</si>
  <si>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</si>
  <si>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</si>
  <si>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</si>
  <si>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</si>
  <si>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</si>
  <si>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</si>
  <si>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</si>
  <si>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</si>
  <si>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</si>
  <si>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</si>
  <si>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</si>
  <si>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</si>
  <si>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</si>
  <si>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</si>
  <si>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</si>
  <si>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</si>
  <si>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</si>
  <si>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</si>
  <si>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</si>
  <si>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</si>
  <si>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</si>
  <si>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</si>
  <si>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</si>
  <si>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</si>
  <si>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</si>
  <si>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</si>
  <si>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</si>
  <si>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</si>
  <si>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</si>
  <si>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</si>
  <si>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</si>
  <si>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</si>
  <si>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</si>
  <si>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</si>
  <si>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</si>
  <si>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</si>
  <si>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</si>
  <si>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</si>
  <si>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</si>
  <si>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</si>
  <si>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</si>
  <si>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</si>
  <si>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</si>
  <si>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</si>
  <si>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</si>
  <si>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</si>
  <si>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</si>
  <si>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</si>
  <si>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</si>
  <si>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</si>
  <si>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</si>
  <si>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</si>
  <si>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</si>
  <si>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</si>
  <si>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</si>
  <si>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</si>
  <si>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</si>
  <si>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</si>
  <si>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</si>
  <si>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</si>
  <si>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</si>
  <si>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</si>
  <si>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</si>
  <si>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</si>
  <si>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</si>
  <si>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</si>
  <si>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</si>
  <si>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</si>
  <si>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</si>
  <si>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</si>
  <si>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</si>
  <si>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</si>
  <si>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</si>
  <si>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</si>
  <si>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</si>
  <si>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</si>
  <si>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</si>
  <si>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</si>
  <si>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</si>
  <si>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</si>
  <si>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</si>
  <si>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</si>
  <si>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</si>
  <si>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</si>
  <si>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</si>
  <si>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</si>
  <si>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</si>
  <si>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</si>
  <si>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</si>
  <si>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</si>
  <si>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</si>
  <si>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</si>
  <si>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</si>
  <si>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</si>
  <si>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</si>
  <si>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</si>
  <si>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</si>
  <si>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</si>
  <si>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</si>
  <si>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</si>
  <si>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</si>
  <si>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</si>
  <si>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</si>
  <si>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</si>
  <si>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</si>
  <si>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</si>
  <si>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</si>
  <si>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</si>
  <si>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</si>
  <si>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</si>
  <si>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</si>
  <si>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</si>
  <si>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</si>
  <si>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</si>
  <si>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</si>
  <si>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</si>
  <si>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</si>
  <si>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</si>
  <si>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</si>
  <si>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</si>
  <si>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</si>
  <si>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</si>
  <si>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</si>
  <si>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</si>
  <si>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</si>
  <si>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</si>
  <si>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</si>
  <si>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</si>
  <si>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</si>
  <si>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</si>
  <si>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</si>
  <si>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</si>
  <si>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</si>
  <si>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</si>
  <si>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</si>
  <si>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</si>
  <si>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</si>
  <si>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</si>
  <si>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</si>
  <si>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</si>
  <si>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</si>
  <si>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</si>
  <si>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</si>
  <si>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</si>
  <si>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</si>
  <si>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</si>
  <si>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</si>
  <si>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</si>
  <si>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</si>
  <si>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</si>
  <si>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</si>
  <si>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</si>
  <si>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</si>
  <si>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</si>
  <si>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</si>
  <si>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</si>
  <si>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</si>
  <si>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</si>
  <si>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</si>
  <si>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</si>
  <si>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</si>
  <si>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</si>
  <si>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</si>
  <si>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</si>
  <si>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</si>
  <si>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</si>
  <si>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</si>
  <si>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</si>
  <si>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</si>
  <si>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</si>
  <si>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</si>
  <si>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</si>
  <si>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</si>
  <si>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</si>
  <si>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</si>
  <si>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</si>
  <si>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</si>
  <si>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</si>
  <si>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</si>
  <si>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</si>
  <si>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</si>
  <si>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</si>
  <si>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</si>
  <si>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</si>
  <si>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</si>
  <si>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</si>
  <si>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</si>
  <si>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</si>
  <si>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</si>
  <si>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</si>
  <si>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</si>
  <si>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</si>
  <si>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</si>
  <si>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</si>
  <si>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</si>
  <si>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</si>
  <si>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</si>
  <si>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</si>
  <si>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</si>
  <si>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</si>
  <si>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</si>
  <si>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</si>
  <si>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</si>
  <si>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</si>
  <si>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</si>
  <si>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</si>
  <si>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</si>
  <si>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</si>
  <si>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</si>
  <si>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</si>
  <si>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</si>
  <si>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</si>
  <si>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</si>
  <si>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</si>
  <si>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</si>
  <si>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</si>
  <si>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</si>
  <si>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</si>
  <si>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</si>
  <si>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</si>
  <si>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</si>
  <si>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</si>
  <si>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</si>
  <si>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</si>
  <si>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</si>
  <si>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</si>
  <si>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</si>
  <si>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</si>
  <si>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</si>
  <si>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</si>
  <si>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</si>
  <si>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</si>
  <si>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</si>
  <si>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</si>
  <si>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</si>
  <si>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</si>
  <si>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</si>
  <si>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</si>
  <si>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</si>
  <si>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</si>
  <si>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</si>
  <si>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</si>
  <si>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</si>
  <si>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</si>
  <si>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</si>
  <si>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</si>
  <si>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</si>
  <si>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</si>
  <si>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</si>
  <si>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</si>
  <si>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</si>
  <si>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</si>
  <si>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</si>
  <si>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</si>
  <si>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</si>
  <si>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</si>
  <si>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</si>
  <si>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</si>
  <si>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</si>
  <si>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</si>
  <si>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</si>
  <si>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</si>
  <si>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</si>
  <si>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</si>
  <si>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</si>
  <si>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</si>
  <si>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</si>
  <si>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</si>
  <si>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</si>
  <si>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</si>
  <si>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</si>
  <si>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</si>
  <si>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</si>
  <si>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</si>
  <si>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</si>
  <si>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</si>
  <si>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</si>
  <si>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</si>
  <si>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</si>
  <si>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</si>
  <si>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</si>
  <si>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</si>
  <si>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</si>
  <si>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</si>
  <si>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</si>
  <si>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</si>
  <si>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</si>
  <si>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</si>
  <si>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</si>
  <si>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</si>
  <si>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</si>
  <si>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</si>
  <si>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</si>
  <si>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</si>
  <si>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</si>
  <si>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</si>
  <si>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</si>
  <si>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</si>
  <si>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</si>
  <si>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</si>
  <si>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</si>
  <si>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</si>
  <si>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</si>
  <si>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</si>
  <si>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</si>
  <si>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</si>
  <si>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</si>
  <si>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</si>
  <si>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</si>
  <si>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</si>
  <si>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</si>
  <si>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</si>
  <si>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</si>
  <si>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</si>
  <si>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</si>
  <si>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</si>
  <si>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</si>
  <si>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</si>
  <si>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</si>
  <si>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</si>
  <si>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</si>
  <si>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</si>
  <si>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</si>
  <si>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</si>
  <si>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</si>
  <si>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</si>
  <si>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</si>
  <si>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</si>
  <si>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</si>
  <si>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</si>
  <si>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</si>
  <si>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</si>
  <si>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</si>
  <si>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</si>
  <si>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</si>
  <si>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</si>
  <si>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</si>
  <si>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</si>
  <si>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</si>
  <si>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</si>
  <si>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</si>
  <si>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</si>
  <si>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</si>
  <si>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</si>
  <si>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</si>
  <si>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</si>
  <si>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</si>
  <si>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</si>
  <si>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</si>
  <si>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</si>
  <si>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</si>
  <si>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</si>
  <si>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</si>
  <si>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</si>
  <si>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</si>
  <si>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</si>
  <si>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</si>
  <si>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</si>
  <si>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</si>
  <si>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</si>
  <si>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</si>
  <si>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</si>
  <si>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</si>
  <si>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</si>
  <si>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</si>
  <si>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</si>
  <si>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</si>
  <si>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</si>
  <si>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</si>
  <si>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</si>
  <si>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</si>
  <si>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</si>
  <si>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</si>
  <si>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</si>
  <si>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</si>
  <si>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</si>
  <si>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</si>
  <si>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</si>
  <si>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</si>
  <si>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</si>
  <si>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</si>
  <si>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</si>
  <si>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</si>
  <si>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</si>
  <si>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</si>
  <si>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</si>
  <si>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</si>
  <si>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</si>
  <si>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</si>
  <si>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</si>
  <si>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</si>
  <si>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</si>
  <si>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</si>
  <si>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</si>
  <si>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</si>
  <si>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</si>
  <si>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</si>
  <si>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</si>
  <si>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</si>
  <si>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</si>
  <si>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</si>
  <si>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</si>
  <si>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</si>
  <si>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</si>
  <si>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</si>
  <si>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</si>
  <si>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</si>
  <si>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</si>
  <si>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</si>
  <si>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</si>
  <si>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</si>
  <si>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</si>
  <si>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</si>
  <si>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</si>
  <si>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</si>
  <si>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</si>
  <si>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</si>
  <si>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</si>
  <si>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</si>
  <si>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</si>
  <si>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</si>
  <si>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</si>
  <si>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</si>
  <si>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</si>
  <si>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</si>
  <si>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</si>
  <si>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</si>
  <si>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</si>
  <si>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</si>
  <si>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</si>
  <si>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</si>
  <si>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</si>
  <si>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</si>
  <si>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</si>
  <si>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</si>
  <si>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</si>
  <si>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</si>
  <si>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</si>
  <si>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</si>
  <si>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</si>
  <si>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</si>
  <si>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</si>
  <si>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</si>
  <si>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</si>
  <si>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</si>
  <si>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</si>
  <si>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</si>
  <si>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</si>
  <si>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</si>
  <si>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</si>
  <si>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</si>
  <si>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</si>
  <si>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</si>
  <si>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</si>
  <si>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</si>
  <si>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</si>
  <si>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</si>
  <si>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</si>
  <si>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</si>
  <si>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</si>
  <si>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</si>
  <si>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</si>
  <si>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</si>
  <si>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</si>
  <si>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</si>
  <si>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</si>
  <si>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</si>
  <si>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</si>
  <si>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</si>
  <si>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</si>
  <si>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</si>
  <si>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</si>
  <si>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</si>
  <si>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</si>
  <si>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</si>
  <si>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</si>
  <si>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</si>
  <si>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</si>
  <si>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</si>
  <si>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</si>
  <si>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</si>
  <si>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</si>
  <si>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</si>
  <si>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</si>
  <si>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</si>
  <si>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</si>
  <si>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</si>
  <si>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</si>
  <si>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</si>
  <si>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</si>
  <si>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</si>
  <si>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</si>
  <si>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</si>
  <si>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</si>
  <si>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</si>
  <si>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</si>
  <si>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</si>
  <si>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</si>
  <si>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</si>
  <si>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</si>
  <si>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</si>
  <si>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</si>
  <si>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</si>
  <si>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</si>
  <si>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</si>
  <si>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</si>
  <si>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</si>
  <si>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</si>
  <si>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</si>
  <si>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</si>
  <si>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</si>
  <si>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</si>
  <si>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</si>
  <si>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</si>
  <si>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</si>
  <si>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</si>
  <si>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</si>
  <si>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</si>
  <si>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</si>
  <si>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</si>
  <si>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</si>
  <si>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</si>
  <si>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</si>
  <si>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</si>
  <si>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</si>
  <si>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</si>
  <si>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</si>
  <si>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</si>
  <si>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</si>
  <si>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</si>
  <si>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</si>
  <si>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</si>
  <si>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</si>
  <si>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</si>
  <si>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</si>
  <si>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</si>
  <si>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</si>
  <si>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</si>
  <si>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</si>
  <si>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</si>
  <si>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</si>
  <si>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</si>
  <si>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</si>
  <si>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</si>
  <si>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</si>
  <si>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</si>
  <si>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</si>
  <si>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</si>
  <si>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</si>
  <si>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</si>
  <si>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</si>
  <si>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</si>
  <si>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</si>
  <si>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</si>
  <si>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</si>
  <si>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</si>
  <si>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</si>
  <si>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</si>
  <si>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</si>
  <si>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</si>
  <si>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</si>
  <si>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</si>
  <si>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</si>
  <si>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</si>
  <si>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</si>
  <si>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</si>
  <si>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</si>
  <si>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</si>
  <si>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</si>
  <si>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</si>
  <si>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</si>
  <si>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</si>
  <si>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</si>
  <si>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</si>
  <si>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</si>
  <si>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</si>
  <si>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</si>
  <si>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</si>
  <si>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</si>
  <si>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</si>
  <si>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</si>
  <si>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</si>
  <si>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</si>
  <si>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</si>
  <si>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</si>
  <si>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</si>
  <si>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</si>
  <si>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</si>
  <si>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</si>
  <si>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</si>
  <si>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</si>
  <si>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</si>
  <si>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</si>
  <si>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</si>
  <si>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</si>
  <si>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</si>
  <si>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</si>
  <si>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</si>
  <si>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</si>
  <si>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</si>
  <si>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</si>
  <si>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</si>
  <si>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</si>
  <si>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</si>
  <si>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</si>
  <si>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</si>
  <si>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</si>
  <si>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</si>
  <si>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</si>
  <si>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</si>
  <si>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</si>
  <si>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</si>
  <si>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</si>
  <si>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</si>
  <si>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</si>
  <si>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</si>
  <si>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</si>
  <si>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</si>
  <si>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</si>
  <si>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</si>
  <si>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</si>
  <si>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</si>
  <si>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</si>
  <si>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</si>
  <si>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</si>
  <si>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</si>
  <si>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</si>
  <si>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</si>
  <si>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</si>
  <si>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</si>
  <si>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</si>
  <si>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</si>
  <si>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</si>
  <si>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</si>
  <si>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</si>
  <si>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</si>
  <si>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</si>
  <si>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</si>
  <si>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</si>
  <si>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</si>
  <si>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</si>
  <si>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</si>
  <si>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</si>
  <si>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</si>
  <si>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</si>
  <si>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</si>
  <si>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</si>
  <si>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</si>
  <si>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</si>
  <si>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</si>
  <si>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</si>
  <si>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</si>
  <si>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</si>
  <si>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</si>
  <si>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</si>
  <si>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</si>
  <si>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</si>
  <si>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</si>
  <si>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</si>
  <si>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</si>
  <si>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</si>
  <si>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</si>
  <si>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</si>
  <si>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</si>
  <si>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</si>
  <si>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</si>
  <si>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</si>
  <si>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</si>
  <si>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</si>
  <si>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</si>
  <si>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</si>
  <si>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</si>
  <si>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</si>
  <si>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</si>
  <si>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</si>
  <si>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</si>
  <si>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</si>
  <si>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</si>
  <si>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</si>
  <si>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</si>
  <si>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</si>
  <si>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</si>
  <si>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</si>
  <si>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</si>
  <si>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</si>
  <si>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</si>
  <si>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</si>
  <si>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</si>
  <si>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</si>
  <si>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</si>
  <si>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</si>
  <si>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</si>
  <si>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</si>
  <si>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</si>
  <si>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</si>
  <si>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</si>
  <si>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</si>
  <si>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</si>
  <si>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</si>
  <si>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</si>
  <si>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</si>
  <si>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</si>
  <si>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</si>
  <si>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</si>
  <si>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</si>
  <si>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</si>
  <si>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</si>
  <si>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</si>
  <si>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</si>
  <si>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</si>
  <si>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</si>
  <si>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</si>
  <si>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</si>
  <si>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</si>
  <si>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</si>
  <si>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</si>
  <si>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</si>
  <si>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</si>
  <si>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</si>
  <si>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</si>
  <si>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</si>
  <si>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</si>
  <si>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</si>
  <si>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</si>
  <si>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</si>
  <si>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</si>
  <si>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</si>
  <si>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</si>
  <si>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</si>
  <si>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</si>
  <si>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</si>
  <si>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</si>
  <si>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</si>
  <si>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</si>
  <si>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</si>
  <si>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</si>
  <si>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</si>
  <si>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</si>
  <si>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</si>
  <si>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</si>
  <si>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</si>
  <si>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</si>
  <si>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</si>
  <si>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</si>
  <si>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</si>
  <si>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</si>
  <si>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</si>
  <si>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</si>
  <si>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</si>
  <si>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</si>
  <si>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</si>
  <si>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</si>
  <si>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</si>
  <si>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</si>
  <si>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</si>
  <si>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</si>
  <si>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</si>
  <si>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</si>
  <si>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</si>
  <si>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</si>
  <si>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</si>
  <si>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</si>
  <si>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</si>
  <si>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</si>
  <si>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</si>
  <si>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</si>
  <si>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</si>
  <si>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</si>
  <si>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</si>
  <si>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</si>
  <si>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</si>
  <si>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</si>
  <si>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</si>
  <si>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</si>
  <si>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</si>
  <si>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</si>
  <si>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</si>
  <si>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</si>
  <si>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</si>
  <si>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</si>
  <si>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</si>
  <si>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</si>
  <si>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</si>
  <si>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</si>
  <si>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</si>
  <si>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</si>
  <si>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</si>
  <si>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</si>
  <si>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</si>
  <si>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</si>
  <si>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</si>
  <si>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</si>
  <si>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</si>
  <si>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</si>
  <si>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</si>
  <si>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</si>
  <si>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</si>
  <si>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</si>
  <si>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</si>
  <si>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</si>
  <si>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</si>
  <si>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</si>
  <si>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</si>
  <si>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</si>
  <si>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</si>
  <si>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</si>
  <si>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</si>
  <si>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</si>
  <si>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</si>
  <si>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</si>
  <si>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</si>
  <si>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</si>
  <si>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</si>
  <si>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</si>
  <si>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</si>
  <si>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</si>
  <si>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</si>
  <si>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</si>
  <si>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</si>
  <si>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</si>
  <si>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</si>
  <si>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</si>
  <si>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</si>
  <si>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</si>
  <si>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</si>
  <si>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</si>
  <si>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</si>
  <si>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</si>
  <si>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</si>
  <si>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</si>
  <si>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</si>
  <si>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</si>
  <si>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</si>
  <si>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</si>
  <si>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</si>
  <si>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</si>
  <si>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</si>
  <si>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</si>
  <si>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</si>
  <si>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</si>
  <si>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</si>
  <si>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</si>
  <si>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</si>
  <si>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</si>
  <si>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</si>
  <si>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</si>
  <si>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</si>
  <si>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</si>
  <si>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</si>
  <si>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</si>
  <si>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</si>
  <si>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</si>
  <si>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</si>
  <si>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</si>
  <si>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</si>
  <si>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</si>
  <si>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</si>
  <si>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</si>
  <si>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</si>
  <si>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</si>
  <si>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</si>
  <si>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</si>
  <si>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</si>
  <si>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</si>
  <si>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</si>
  <si>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</si>
  <si>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</si>
  <si>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</si>
  <si>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</si>
  <si>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</si>
  <si>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</si>
  <si>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</si>
  <si>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</si>
  <si>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</si>
  <si>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</si>
  <si>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</si>
  <si>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</si>
  <si>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</si>
  <si>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</si>
  <si>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</si>
  <si>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</si>
  <si>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</si>
  <si>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</si>
  <si>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</si>
  <si>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</si>
  <si>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</si>
  <si>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</si>
  <si>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</si>
  <si>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</si>
  <si>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</si>
  <si>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</si>
  <si>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</si>
  <si>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</si>
  <si>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</si>
  <si>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</si>
  <si>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</si>
  <si>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</si>
  <si>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</si>
  <si>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</si>
  <si>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</si>
  <si>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</si>
  <si>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</si>
  <si>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</si>
  <si>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</si>
  <si>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</si>
  <si>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</si>
  <si>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</si>
  <si>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</si>
  <si>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</si>
  <si>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</si>
  <si>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</si>
  <si>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</si>
  <si>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</si>
  <si>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</si>
  <si>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</si>
  <si>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</si>
  <si>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</si>
  <si>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</si>
  <si>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</si>
  <si>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</si>
  <si>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</si>
  <si>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</si>
  <si>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</si>
  <si>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</si>
  <si>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</si>
  <si>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</si>
  <si>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</si>
  <si>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</si>
  <si>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</si>
  <si>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</si>
  <si>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</si>
  <si>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</si>
  <si>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</si>
  <si>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</si>
  <si>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</si>
  <si>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</si>
  <si>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</si>
  <si>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</si>
  <si>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</si>
  <si>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</si>
  <si>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</si>
  <si>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</si>
  <si>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</si>
  <si>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</si>
  <si>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</si>
  <si>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</si>
  <si>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</si>
  <si>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</si>
  <si>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</si>
  <si>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</si>
  <si>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</si>
  <si>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</si>
  <si>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</si>
  <si>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</si>
  <si>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</si>
  <si>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</si>
  <si>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</si>
  <si>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</si>
  <si>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</si>
  <si>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</si>
  <si>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</si>
  <si>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</si>
  <si>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</si>
  <si>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</si>
  <si>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</si>
  <si>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</si>
  <si>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</si>
  <si>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</si>
  <si>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</si>
  <si>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</si>
  <si>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</si>
  <si>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</si>
  <si>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</si>
  <si>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</si>
  <si>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</si>
  <si>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</si>
  <si>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</si>
  <si>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</si>
  <si>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</si>
  <si>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</si>
  <si>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</si>
  <si>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</si>
  <si>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</si>
  <si>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</si>
  <si>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</si>
  <si>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</si>
  <si>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</si>
  <si>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</si>
  <si>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</si>
  <si>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</si>
  <si>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</si>
  <si>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</si>
  <si>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</si>
  <si>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</si>
  <si>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</si>
  <si>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</si>
  <si>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</si>
  <si>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</si>
  <si>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</si>
  <si>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</si>
  <si>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</si>
  <si>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</si>
  <si>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</si>
  <si>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</si>
  <si>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</si>
  <si>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</si>
  <si>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</si>
  <si>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</si>
  <si>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</si>
  <si>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</si>
  <si>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</si>
  <si>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</si>
  <si>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</si>
  <si>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</si>
  <si>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</si>
  <si>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</si>
  <si>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</si>
  <si>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</si>
  <si>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</si>
  <si>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</si>
  <si>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</si>
  <si>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</si>
  <si>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</si>
  <si>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</si>
  <si>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</si>
  <si>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</si>
  <si>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</si>
  <si>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</si>
  <si>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</si>
  <si>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</si>
  <si>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</si>
  <si>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</si>
  <si>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</si>
  <si>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</si>
  <si>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</si>
  <si>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</si>
  <si>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</si>
  <si>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</si>
  <si>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</si>
  <si>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</si>
  <si>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</si>
  <si>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</si>
  <si>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</si>
  <si>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</si>
  <si>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</si>
  <si>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</si>
  <si>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</si>
  <si>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</si>
  <si>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</si>
  <si>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</si>
  <si>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</si>
  <si>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</si>
  <si>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</si>
  <si>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</si>
  <si>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</si>
  <si>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</si>
  <si>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</si>
  <si>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</si>
  <si>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</si>
  <si>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</si>
  <si>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</si>
  <si>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</si>
  <si>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</si>
  <si>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</si>
  <si>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</si>
  <si>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</si>
  <si>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</si>
  <si>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</si>
  <si>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</si>
  <si>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</si>
  <si>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</si>
  <si>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</si>
  <si>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</si>
  <si>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</si>
  <si>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</si>
  <si>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</si>
  <si>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</si>
  <si>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</si>
  <si>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</si>
  <si>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</si>
  <si>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</si>
  <si>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</si>
  <si>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</si>
  <si>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</si>
  <si>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</si>
  <si>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</si>
  <si>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</si>
  <si>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</si>
  <si>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</si>
  <si>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</si>
  <si>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</si>
  <si>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</si>
  <si>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</si>
  <si>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</si>
  <si>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</si>
  <si>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</si>
  <si>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</si>
  <si>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</si>
  <si>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</si>
  <si>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</si>
  <si>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</si>
  <si>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</si>
  <si>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</si>
  <si>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</si>
  <si>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</si>
  <si>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</si>
  <si>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</si>
  <si>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</si>
  <si>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</si>
  <si>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</si>
  <si>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</si>
  <si>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</si>
  <si>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</si>
  <si>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</si>
  <si>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</si>
  <si>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</si>
  <si>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</si>
  <si>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</si>
  <si>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</si>
  <si>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</si>
  <si>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</si>
  <si>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</si>
  <si>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</si>
  <si>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</si>
  <si>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</si>
  <si>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</si>
  <si>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</si>
  <si>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</si>
  <si>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</si>
  <si>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</si>
  <si>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</si>
  <si>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</si>
  <si>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</si>
  <si>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</si>
  <si>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</si>
  <si>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</si>
  <si>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</si>
  <si>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</si>
  <si>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</si>
  <si>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</si>
  <si>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</si>
  <si>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</si>
  <si>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</si>
  <si>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</si>
  <si>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</si>
  <si>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</si>
  <si>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</si>
  <si>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</si>
  <si>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</si>
  <si>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</si>
  <si>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</si>
  <si>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</si>
  <si>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</si>
  <si>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</si>
  <si>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</si>
  <si>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</si>
  <si>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</si>
  <si>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</si>
  <si>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</si>
  <si>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</si>
  <si>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</si>
  <si>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</si>
  <si>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</si>
  <si>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</si>
  <si>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</si>
  <si>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</si>
  <si>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</si>
  <si>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</si>
  <si>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</si>
  <si>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</si>
  <si>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</si>
  <si>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</si>
  <si>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</si>
  <si>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</si>
  <si>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</si>
  <si>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</si>
  <si>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</si>
  <si>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</si>
  <si>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</si>
  <si>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</si>
  <si>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</si>
  <si>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</si>
  <si>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</si>
  <si>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</si>
  <si>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</si>
  <si>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</si>
  <si>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</si>
  <si>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</si>
  <si>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</si>
  <si>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</si>
  <si>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</si>
  <si>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</si>
  <si>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</si>
  <si>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</si>
  <si>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</si>
  <si>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</si>
  <si>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</si>
  <si>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</si>
  <si>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</si>
  <si>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</si>
  <si>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</si>
  <si>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</si>
  <si>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</si>
  <si>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</si>
  <si>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</si>
  <si>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</si>
  <si>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</si>
  <si>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</si>
  <si>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</si>
  <si>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</si>
  <si>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</si>
  <si>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</si>
  <si>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</si>
  <si>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</si>
  <si>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</si>
  <si>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</si>
  <si>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</si>
  <si>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</si>
  <si>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</si>
  <si>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</si>
  <si>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</si>
  <si>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</si>
  <si>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</si>
  <si>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</si>
  <si>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</si>
  <si>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</si>
  <si>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</si>
  <si>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</si>
  <si>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</si>
  <si>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</si>
  <si>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</si>
  <si>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</si>
  <si>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</si>
  <si>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</si>
  <si>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</si>
  <si>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</si>
  <si>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</si>
  <si>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</si>
  <si>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</si>
  <si>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</si>
  <si>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</si>
  <si>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</si>
  <si>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</si>
  <si>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</si>
  <si>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</si>
  <si>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</si>
  <si>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</si>
  <si>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</si>
  <si>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</si>
  <si>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</si>
  <si>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</si>
  <si>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</si>
  <si>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</si>
  <si>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</si>
  <si>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</si>
  <si>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</si>
  <si>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</si>
  <si>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</si>
  <si>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</si>
  <si>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</si>
  <si>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</si>
  <si>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</si>
  <si>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</si>
  <si>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</si>
  <si>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</si>
  <si>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</si>
  <si>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</si>
  <si>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</si>
  <si>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</si>
  <si>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</si>
  <si>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</si>
  <si>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</si>
  <si>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</si>
  <si>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</si>
  <si>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</si>
  <si>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</si>
  <si>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</si>
  <si>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</si>
  <si>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</si>
  <si>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</si>
  <si>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</si>
  <si>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</si>
  <si>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</si>
  <si>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</si>
  <si>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</si>
  <si>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</si>
  <si>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</si>
  <si>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</si>
  <si>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</si>
  <si>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</si>
  <si>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</si>
  <si>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</si>
  <si>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</si>
  <si>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</si>
  <si>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</si>
  <si>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</si>
  <si>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</si>
  <si>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</si>
  <si>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</si>
  <si>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</si>
  <si>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</si>
  <si>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</si>
  <si>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</si>
  <si>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</si>
  <si>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</si>
  <si>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</si>
  <si>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</si>
  <si>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</si>
  <si>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</si>
  <si>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</si>
  <si>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</si>
  <si>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</si>
  <si>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</si>
  <si>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</si>
  <si>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</si>
  <si>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</si>
  <si>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</si>
  <si>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</si>
  <si>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</si>
  <si>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</si>
  <si>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</si>
  <si>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</si>
  <si>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</si>
  <si>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</si>
  <si>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</si>
  <si>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</si>
  <si>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</si>
  <si>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</si>
  <si>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</si>
  <si>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</si>
  <si>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</si>
  <si>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</si>
  <si>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</si>
  <si>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</si>
  <si>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</si>
  <si>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</si>
  <si>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</si>
  <si>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</si>
  <si>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</si>
  <si>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</si>
  <si>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</si>
  <si>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</si>
  <si>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</si>
  <si>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</si>
  <si>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</si>
  <si>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</si>
  <si>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</si>
  <si>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</si>
  <si>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</si>
  <si>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</si>
  <si>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</si>
  <si>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</si>
  <si>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</si>
  <si>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</si>
  <si>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</si>
  <si>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</si>
  <si>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</si>
  <si>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</si>
  <si>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</si>
  <si>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</si>
  <si>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</si>
  <si>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</si>
  <si>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</si>
  <si>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</si>
  <si>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</si>
  <si>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</si>
  <si>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</si>
  <si>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</si>
  <si>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</si>
  <si>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</si>
  <si>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</si>
  <si>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</si>
  <si>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</si>
  <si>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</si>
  <si>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</si>
  <si>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</si>
  <si>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</si>
  <si>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</si>
  <si>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</si>
  <si>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</si>
  <si>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</si>
  <si>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</si>
  <si>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</si>
  <si>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</si>
  <si>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</si>
  <si>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</si>
  <si>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</si>
  <si>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</si>
  <si>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</si>
  <si>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</si>
  <si>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</si>
  <si>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</si>
  <si>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</si>
  <si>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</si>
  <si>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</si>
  <si>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</si>
  <si>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</si>
  <si>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</si>
  <si>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</si>
  <si>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</si>
  <si>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</si>
  <si>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</si>
  <si>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</si>
  <si>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</si>
  <si>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</si>
  <si>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</si>
  <si>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</si>
  <si>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</si>
  <si>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</si>
  <si>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</si>
  <si>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</si>
  <si>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</si>
  <si>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</si>
  <si>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</si>
  <si>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</si>
  <si>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</si>
  <si>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</si>
  <si>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</si>
  <si>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</si>
  <si>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</si>
  <si>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</si>
  <si>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</si>
  <si>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</si>
  <si>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</si>
  <si>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</si>
  <si>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</si>
  <si>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</si>
  <si>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</si>
  <si>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</si>
  <si>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</si>
  <si>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</si>
  <si>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</si>
  <si>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</si>
  <si>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</si>
  <si>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</si>
  <si>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</si>
  <si>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</si>
  <si>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</si>
  <si>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</si>
  <si>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</si>
  <si>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</si>
  <si>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</si>
  <si>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</si>
  <si>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</si>
  <si>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</si>
  <si>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</si>
  <si>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</si>
  <si>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</si>
  <si>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</si>
  <si>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</si>
  <si>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</si>
  <si>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</si>
  <si>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</si>
  <si>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</si>
  <si>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</si>
  <si>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</si>
  <si>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</si>
  <si>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</si>
  <si>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</si>
  <si>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</si>
  <si>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</si>
  <si>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</si>
  <si>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</si>
  <si>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</si>
  <si>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</si>
  <si>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</si>
  <si>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</si>
  <si>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</si>
  <si>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</si>
  <si>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</si>
  <si>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</si>
  <si>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</si>
  <si>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</si>
  <si>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</si>
  <si>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</si>
  <si>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</si>
  <si>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</si>
  <si>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</si>
  <si>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</si>
  <si>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</si>
  <si>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</si>
  <si>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</si>
  <si>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</si>
  <si>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</si>
  <si>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</si>
  <si>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</si>
  <si>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</si>
  <si>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</si>
  <si>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</si>
  <si>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</si>
  <si>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</si>
  <si>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</si>
  <si>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</si>
  <si>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</si>
  <si>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</si>
  <si>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</si>
  <si>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</si>
  <si>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</si>
  <si>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</si>
  <si>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</si>
  <si>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</si>
  <si>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</si>
  <si>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</si>
  <si>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</si>
  <si>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</si>
  <si>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</si>
  <si>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</si>
  <si>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</si>
  <si>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</si>
  <si>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</si>
  <si>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</si>
  <si>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</si>
  <si>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</si>
  <si>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</si>
  <si>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</si>
  <si>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</si>
  <si>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</si>
  <si>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</si>
  <si>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</si>
  <si>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</si>
  <si>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</si>
  <si>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</si>
  <si>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</si>
  <si>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</si>
  <si>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</si>
  <si>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</si>
  <si>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</si>
  <si>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</si>
  <si>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</si>
  <si>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</si>
  <si>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</si>
  <si>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</si>
  <si>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</si>
  <si>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</si>
  <si>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</si>
  <si>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</si>
  <si>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</si>
  <si>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</si>
  <si>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</si>
  <si>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</si>
  <si>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</si>
  <si>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</si>
  <si>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</si>
  <si>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</si>
  <si>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</si>
  <si>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</si>
  <si>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</si>
  <si>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</si>
  <si>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</si>
  <si>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</si>
  <si>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</si>
  <si>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</si>
  <si>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</si>
  <si>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</si>
  <si>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</si>
  <si>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</si>
  <si>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</si>
  <si>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</si>
  <si>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</si>
  <si>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</si>
  <si>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</si>
  <si>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</si>
  <si>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</si>
  <si>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</si>
  <si>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</si>
  <si>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</si>
  <si>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</si>
  <si>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</si>
  <si>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</si>
  <si>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</si>
  <si>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</si>
  <si>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</si>
  <si>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</si>
  <si>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</si>
  <si>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</si>
  <si>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</si>
  <si>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</si>
  <si>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</si>
  <si>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</si>
  <si>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</si>
  <si>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</si>
  <si>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</si>
  <si>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</si>
  <si>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</si>
  <si>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</si>
  <si>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</si>
  <si>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</si>
  <si>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</si>
  <si>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</si>
  <si>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</si>
  <si>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</si>
  <si>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</si>
  <si>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</si>
  <si>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</si>
  <si>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</si>
  <si>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</si>
  <si>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</si>
  <si>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</si>
  <si>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</si>
  <si>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</si>
  <si>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</si>
  <si>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</si>
  <si>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</si>
  <si>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</si>
  <si>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</si>
  <si>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</si>
  <si>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</si>
  <si>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</si>
  <si>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</si>
  <si>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</si>
  <si>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</si>
  <si>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</si>
  <si>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</si>
  <si>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</si>
  <si>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</si>
  <si>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</si>
  <si>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</si>
  <si>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</si>
  <si>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</si>
  <si>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</si>
  <si>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</si>
  <si>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</si>
  <si>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</si>
  <si>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</si>
  <si>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</si>
  <si>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</si>
  <si>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</si>
  <si>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</si>
  <si>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</si>
  <si>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</si>
  <si>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</si>
  <si>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</si>
  <si>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</si>
  <si>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</si>
  <si>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</si>
  <si>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</si>
  <si>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</si>
  <si>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</si>
  <si>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</si>
  <si>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</si>
  <si>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</si>
  <si>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</si>
  <si>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</si>
  <si>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</si>
  <si>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</si>
  <si>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</si>
  <si>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</si>
  <si>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</si>
  <si>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</si>
  <si>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</si>
  <si>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</si>
  <si>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</si>
  <si>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</si>
  <si>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</si>
  <si>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</si>
  <si>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</si>
  <si>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</si>
  <si>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</si>
  <si>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</si>
  <si>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</si>
  <si>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</si>
  <si>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</si>
  <si>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</si>
  <si>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</si>
  <si>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</si>
  <si>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</si>
  <si>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</si>
  <si>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</si>
  <si>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</si>
  <si>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</si>
  <si>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</si>
  <si>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</si>
  <si>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</si>
  <si>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</si>
  <si>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</si>
  <si>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</si>
  <si>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</si>
  <si>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</si>
  <si>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</si>
  <si>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</si>
  <si>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</si>
  <si>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</si>
  <si>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</si>
  <si>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</si>
  <si>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</si>
  <si>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</si>
  <si>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</si>
  <si>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</si>
  <si>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</si>
  <si>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</si>
  <si>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</si>
  <si>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</si>
  <si>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</si>
  <si>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</si>
  <si>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</si>
  <si>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</si>
  <si>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</si>
  <si>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</si>
  <si>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</si>
  <si>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</si>
  <si>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</si>
  <si>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</si>
  <si>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</si>
  <si>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</si>
  <si>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</si>
  <si>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</si>
  <si>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</si>
  <si>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</si>
  <si>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</si>
  <si>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</si>
  <si>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</si>
  <si>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</si>
  <si>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</si>
  <si>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</si>
  <si>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</si>
  <si>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</si>
  <si>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</si>
  <si>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</si>
  <si>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</si>
  <si>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</si>
  <si>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</si>
  <si>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</si>
  <si>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</si>
  <si>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</si>
  <si>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</si>
  <si>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</si>
  <si>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</si>
  <si>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</si>
  <si>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</si>
  <si>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</si>
  <si>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</si>
  <si>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</si>
  <si>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</si>
  <si>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</si>
  <si>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</si>
  <si>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</si>
  <si>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</si>
  <si>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</si>
  <si>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</si>
  <si>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</si>
  <si>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</si>
  <si>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</si>
  <si>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</si>
  <si>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</si>
  <si>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</si>
  <si>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</si>
  <si>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</si>
  <si>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</si>
  <si>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</si>
  <si>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</si>
  <si>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</si>
  <si>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</si>
  <si>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</si>
  <si>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</si>
  <si>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</si>
  <si>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</si>
  <si>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</si>
  <si>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</si>
  <si>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</si>
  <si>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</si>
  <si>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</si>
  <si>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</si>
  <si>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</si>
  <si>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</si>
  <si>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</si>
  <si>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</si>
  <si>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</si>
  <si>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</si>
  <si>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</si>
  <si>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</si>
  <si>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</si>
  <si>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</si>
  <si>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</si>
  <si>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</si>
  <si>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</si>
  <si>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</si>
  <si>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</si>
  <si>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</si>
  <si>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</si>
  <si>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</si>
  <si>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</si>
  <si>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</si>
  <si>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</si>
  <si>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</si>
  <si>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</si>
  <si>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</si>
  <si>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</si>
  <si>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</si>
  <si>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</si>
  <si>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</si>
  <si>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</si>
  <si>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</si>
  <si>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</si>
  <si>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</si>
  <si>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</si>
  <si>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</si>
  <si>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</si>
  <si>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</si>
  <si>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</si>
  <si>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</si>
  <si>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</si>
  <si>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</si>
  <si>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</si>
  <si>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</si>
  <si>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</si>
  <si>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</si>
  <si>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</si>
  <si>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</si>
  <si>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</si>
  <si>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</si>
  <si>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</si>
  <si>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</si>
  <si>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</si>
  <si>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</si>
  <si>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</si>
  <si>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</si>
  <si>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</si>
  <si>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</si>
  <si>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</si>
  <si>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</si>
  <si>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</si>
  <si>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</si>
  <si>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</si>
  <si>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</si>
  <si>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</si>
  <si>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</si>
  <si>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</si>
  <si>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</si>
  <si>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</si>
  <si>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</si>
  <si>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</si>
  <si>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</si>
  <si>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</si>
  <si>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</si>
  <si>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</si>
  <si>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</si>
  <si>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</si>
  <si>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</si>
  <si>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</si>
  <si>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</si>
  <si>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</si>
  <si>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</si>
  <si>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</si>
  <si>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</si>
  <si>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</si>
  <si>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</si>
  <si>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</si>
  <si>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</si>
  <si>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</si>
  <si>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</si>
  <si>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</si>
  <si>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</si>
  <si>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</si>
  <si>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</si>
  <si>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</si>
  <si>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</si>
  <si>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</si>
  <si>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</si>
  <si>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</si>
  <si>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</si>
  <si>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</si>
  <si>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</si>
  <si>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</si>
  <si>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</si>
  <si>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</si>
  <si>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</si>
  <si>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</si>
  <si>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</si>
  <si>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</si>
  <si>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</si>
  <si>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</si>
  <si>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</si>
  <si>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</si>
  <si>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</si>
  <si>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</si>
  <si>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</si>
  <si>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</si>
  <si>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</si>
  <si>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</si>
  <si>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</si>
  <si>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</si>
  <si>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</si>
  <si>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</si>
  <si>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</si>
  <si>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</si>
  <si>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</si>
  <si>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</si>
  <si>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</si>
  <si>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</si>
  <si>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</si>
  <si>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</si>
  <si>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</si>
  <si>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</si>
  <si>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</si>
  <si>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</si>
  <si>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</si>
  <si>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</si>
  <si>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</si>
  <si>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</si>
  <si>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</si>
  <si>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</si>
  <si>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</si>
  <si>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</si>
  <si>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</si>
  <si>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</si>
  <si>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</si>
  <si>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</si>
  <si>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</si>
  <si>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</si>
  <si>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</si>
  <si>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</si>
  <si>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</si>
  <si>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</si>
  <si>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</si>
  <si>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</si>
  <si>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</si>
  <si>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</si>
  <si>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</si>
  <si>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</si>
  <si>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</si>
  <si>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</si>
  <si>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</si>
  <si>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</si>
  <si>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</si>
  <si>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</si>
  <si>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</si>
  <si>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</si>
  <si>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</si>
  <si>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</si>
  <si>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</si>
  <si>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</si>
  <si>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</si>
  <si>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</si>
  <si>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</si>
  <si>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</si>
  <si>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</si>
  <si>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</si>
  <si>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</si>
  <si>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</si>
  <si>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</si>
  <si>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</si>
  <si>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</si>
  <si>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</si>
  <si>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</si>
  <si>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</si>
  <si>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</si>
  <si>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</si>
  <si>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</si>
  <si>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</si>
  <si>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</si>
  <si>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</si>
  <si>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</si>
  <si>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</si>
  <si>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</si>
  <si>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</si>
  <si>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</si>
  <si>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</si>
  <si>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</si>
  <si>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</si>
  <si>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</si>
  <si>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</si>
  <si>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</si>
  <si>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</si>
  <si>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</si>
  <si>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</si>
  <si>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</si>
  <si>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</si>
  <si>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</si>
  <si>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</si>
  <si>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</si>
  <si>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</si>
  <si>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</si>
  <si>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</si>
  <si>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</si>
  <si>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</si>
  <si>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</si>
  <si>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</si>
  <si>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</si>
  <si>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</si>
  <si>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</si>
  <si>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</si>
  <si>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</si>
  <si>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</si>
  <si>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</si>
  <si>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</si>
  <si>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</si>
  <si>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</si>
  <si>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</si>
  <si>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</si>
  <si>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</si>
  <si>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</si>
  <si>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</si>
  <si>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</si>
  <si>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</si>
  <si>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</si>
  <si>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</si>
  <si>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</si>
  <si>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</si>
  <si>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</si>
  <si>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</si>
  <si>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</si>
  <si>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</si>
  <si>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</si>
  <si>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</si>
  <si>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</si>
  <si>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</si>
  <si>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</si>
  <si>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</si>
  <si>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</si>
  <si>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</si>
  <si>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</si>
  <si>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</si>
  <si>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</si>
  <si>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</si>
  <si>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</si>
  <si>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</si>
  <si>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</si>
  <si>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</si>
  <si>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</si>
  <si>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</si>
  <si>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</si>
  <si>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</si>
  <si>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</si>
  <si>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</si>
  <si>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</si>
  <si>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</si>
  <si>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</si>
  <si>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</si>
  <si>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</si>
  <si>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</si>
  <si>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</si>
  <si>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</si>
  <si>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</si>
  <si>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</si>
  <si>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</si>
  <si>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</si>
  <si>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</si>
  <si>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</si>
  <si>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</si>
  <si>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</si>
  <si>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</si>
  <si>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</si>
  <si>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</si>
  <si>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</si>
  <si>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</si>
  <si>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</si>
  <si>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</si>
  <si>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</si>
  <si>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</si>
  <si>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</si>
  <si>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</si>
  <si>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</si>
  <si>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</si>
  <si>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</si>
  <si>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</si>
  <si>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</si>
  <si>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</si>
  <si>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</si>
  <si>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</si>
  <si>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</si>
  <si>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</si>
  <si>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</si>
  <si>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</si>
  <si>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</si>
  <si>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</si>
  <si>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</si>
  <si>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</si>
  <si>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</si>
  <si>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</si>
  <si>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</si>
  <si>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</si>
  <si>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</si>
  <si>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</si>
  <si>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</si>
  <si>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</si>
  <si>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</si>
  <si>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</si>
  <si>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</si>
  <si>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</si>
  <si>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</si>
  <si>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</si>
  <si>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</si>
  <si>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</si>
  <si>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</si>
  <si>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</si>
  <si>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</si>
  <si>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</si>
  <si>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</si>
  <si>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</si>
  <si>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</si>
  <si>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</si>
  <si>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</si>
  <si>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</si>
  <si>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</si>
  <si>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</si>
  <si>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</si>
  <si>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</si>
  <si>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</si>
  <si>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</si>
  <si>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</si>
  <si>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</si>
  <si>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</si>
  <si>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</si>
  <si>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</si>
  <si>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</si>
  <si>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</si>
  <si>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</si>
  <si>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</si>
  <si>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</si>
  <si>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</si>
  <si>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</si>
  <si>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</si>
  <si>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</si>
  <si>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</si>
  <si>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</si>
  <si>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</si>
  <si>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</si>
  <si>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</si>
  <si>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</si>
  <si>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</si>
  <si>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</si>
  <si>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</si>
  <si>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</si>
  <si>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</si>
  <si>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</si>
  <si>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</si>
  <si>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</si>
  <si>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</si>
  <si>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</si>
  <si>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</si>
  <si>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</si>
  <si>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</si>
  <si>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</si>
  <si>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</si>
  <si>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</si>
  <si>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</si>
  <si>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</si>
  <si>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</si>
  <si>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</si>
  <si>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</si>
  <si>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</si>
  <si>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</si>
  <si>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</si>
  <si>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</si>
  <si>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</si>
  <si>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</si>
  <si>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</si>
  <si>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</si>
  <si>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</si>
  <si>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</si>
  <si>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</si>
  <si>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</si>
  <si>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</si>
  <si>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</si>
  <si>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</si>
  <si>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</si>
  <si>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</si>
  <si>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</si>
  <si>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</si>
  <si>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</si>
  <si>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</si>
  <si>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</si>
  <si>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</si>
  <si>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</si>
  <si>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</si>
  <si>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</si>
  <si>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</si>
  <si>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</si>
  <si>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</si>
  <si>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</si>
  <si>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</si>
  <si>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</si>
  <si>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</si>
  <si>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</si>
  <si>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</si>
  <si>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</si>
  <si>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</si>
  <si>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</si>
  <si>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</si>
  <si>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</si>
  <si>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</si>
  <si>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</si>
  <si>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</si>
  <si>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</si>
  <si>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</si>
  <si>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</si>
  <si>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</si>
  <si>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</si>
  <si>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</si>
  <si>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</si>
  <si>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</si>
  <si>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</si>
  <si>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</si>
  <si>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</si>
  <si>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</si>
  <si>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</si>
  <si>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</si>
  <si>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</si>
  <si>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</si>
  <si>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</si>
  <si>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</si>
  <si>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</si>
  <si>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</si>
  <si>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</si>
  <si>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</si>
  <si>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</si>
  <si>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</si>
  <si>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</si>
  <si>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</si>
  <si>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</si>
  <si>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</si>
  <si>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</si>
  <si>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</si>
  <si>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</si>
  <si>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</si>
  <si>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</si>
  <si>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</si>
  <si>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</si>
  <si>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</si>
  <si>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</si>
  <si>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</si>
  <si>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</si>
  <si>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</si>
  <si>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</si>
  <si>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</si>
  <si>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</si>
  <si>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</si>
  <si>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</si>
  <si>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</si>
  <si>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</si>
  <si>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</si>
  <si>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</si>
  <si>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</si>
  <si>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</si>
  <si>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</si>
  <si>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</si>
  <si>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</si>
  <si>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</si>
  <si>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</si>
  <si>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</si>
  <si>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</si>
  <si>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</si>
  <si>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</si>
  <si>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</si>
  <si>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</si>
  <si>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</si>
  <si>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</si>
  <si>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</si>
  <si>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</si>
  <si>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</si>
  <si>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</si>
  <si>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</si>
  <si>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</si>
  <si>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</si>
  <si>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</si>
  <si>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</si>
  <si>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</si>
  <si>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</si>
  <si>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</si>
  <si>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</si>
  <si>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</si>
  <si>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</si>
  <si>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</si>
  <si>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</si>
  <si>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</si>
  <si>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</si>
  <si>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</si>
  <si>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</si>
  <si>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</si>
  <si>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</si>
  <si>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</si>
  <si>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</si>
  <si>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</si>
  <si>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</si>
  <si>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</si>
  <si>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</si>
  <si>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</si>
  <si>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</si>
  <si>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</si>
  <si>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</si>
  <si>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</si>
  <si>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</si>
  <si>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</si>
  <si>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</si>
  <si>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</si>
  <si>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</si>
  <si>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</si>
  <si>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</si>
  <si>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</si>
  <si>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</si>
  <si>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</si>
  <si>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</si>
  <si>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</si>
  <si>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</si>
  <si>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</si>
  <si>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</si>
  <si>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</si>
  <si>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</si>
  <si>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</si>
  <si>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</si>
  <si>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</si>
  <si>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</si>
  <si>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</si>
  <si>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</si>
  <si>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</si>
  <si>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</si>
  <si>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</si>
  <si>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</si>
  <si>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</si>
  <si>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</si>
  <si>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</si>
  <si>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</si>
  <si>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</si>
  <si>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</si>
  <si>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</si>
  <si>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</si>
  <si>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</si>
  <si>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</si>
  <si>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</si>
  <si>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</si>
  <si>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</si>
  <si>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</si>
  <si>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</si>
  <si>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</si>
  <si>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</si>
  <si>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</si>
  <si>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</si>
  <si>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</si>
  <si>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</si>
  <si>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</si>
  <si>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</si>
  <si>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</si>
  <si>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</si>
  <si>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</si>
  <si>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</si>
  <si>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</si>
  <si>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</si>
  <si>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</si>
  <si>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</si>
  <si>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</si>
  <si>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</si>
  <si>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</si>
  <si>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</si>
  <si>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</si>
  <si>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</si>
  <si>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</si>
  <si>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</si>
  <si>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</si>
  <si>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</si>
  <si>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</si>
  <si>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</si>
  <si>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</si>
  <si>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</si>
  <si>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</si>
  <si>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</si>
  <si>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</si>
  <si>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</si>
  <si>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</si>
  <si>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</si>
  <si>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</si>
  <si>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</si>
  <si>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</si>
  <si>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</si>
  <si>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</si>
  <si>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</si>
  <si>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</si>
  <si>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</si>
  <si>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</si>
  <si>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</si>
  <si>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</si>
  <si>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</si>
  <si>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</si>
  <si>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</si>
  <si>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</si>
  <si>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</si>
  <si>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</si>
  <si>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</si>
  <si>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</si>
  <si>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</si>
  <si>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</si>
  <si>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</si>
  <si>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</si>
  <si>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</si>
  <si>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</si>
  <si>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</si>
  <si>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</si>
  <si>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</si>
  <si>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</si>
  <si>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</si>
  <si>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</si>
  <si>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</si>
  <si>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</si>
  <si>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</si>
  <si>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</si>
  <si>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</si>
  <si>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</si>
  <si>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</si>
  <si>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</si>
  <si>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</si>
  <si>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</si>
  <si>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</si>
  <si>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</si>
  <si>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</si>
  <si>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</si>
  <si>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</si>
  <si>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</si>
  <si>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</si>
  <si>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</si>
  <si>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</si>
  <si>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</si>
  <si>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</si>
  <si>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</si>
  <si>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</si>
  <si>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</si>
  <si>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</si>
  <si>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</si>
  <si>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</si>
  <si>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</si>
  <si>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</si>
  <si>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</si>
  <si>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</si>
  <si>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</si>
  <si>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</si>
  <si>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</si>
  <si>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</si>
  <si>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</si>
  <si>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</si>
  <si>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</si>
  <si>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</si>
  <si>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</si>
  <si>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</si>
  <si>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</si>
  <si>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</si>
  <si>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</si>
  <si>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</si>
  <si>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</si>
  <si>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</si>
  <si>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</si>
  <si>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</si>
  <si>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</si>
  <si>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</si>
  <si>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</si>
  <si>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</si>
  <si>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</si>
  <si>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</si>
  <si>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</si>
  <si>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</si>
  <si>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</si>
  <si>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</si>
  <si>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</si>
  <si>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</si>
  <si>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</si>
  <si>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</si>
  <si>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</si>
  <si>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</si>
  <si>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</si>
  <si>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</si>
  <si>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</si>
  <si>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</si>
  <si>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</si>
  <si>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</si>
  <si>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</si>
  <si>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</si>
  <si>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</si>
  <si>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</si>
  <si>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</si>
  <si>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</si>
  <si>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</si>
  <si>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</si>
  <si>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</si>
  <si>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</si>
  <si>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</si>
  <si>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</si>
  <si>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</si>
  <si>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</si>
  <si>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</si>
  <si>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</si>
  <si>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</si>
  <si>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</si>
  <si>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</si>
  <si>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</si>
  <si>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</si>
  <si>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</si>
  <si>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</si>
  <si>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</si>
  <si>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</si>
  <si>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</si>
  <si>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</si>
  <si>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</si>
  <si>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</si>
  <si>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</si>
  <si>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</si>
  <si>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</si>
  <si>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</si>
  <si>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</si>
  <si>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</si>
  <si>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</si>
  <si>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</si>
  <si>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</si>
  <si>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</si>
  <si>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</si>
  <si>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</si>
  <si>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</si>
  <si>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</si>
  <si>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</si>
  <si>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</si>
  <si>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</si>
  <si>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</si>
  <si>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</si>
  <si>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</si>
  <si>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</si>
  <si>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</si>
  <si>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</si>
  <si>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</si>
  <si>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</si>
  <si>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</si>
  <si>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</si>
  <si>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</si>
  <si>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</si>
  <si>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</si>
  <si>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</si>
  <si>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</si>
  <si>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</si>
  <si>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</si>
  <si>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</si>
  <si>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</si>
  <si>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</si>
  <si>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</si>
  <si>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</si>
  <si>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</si>
  <si>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</si>
  <si>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</si>
  <si>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</si>
  <si>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</si>
  <si>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</si>
  <si>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</si>
  <si>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</si>
  <si>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</si>
  <si>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</si>
  <si>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</si>
  <si>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</si>
  <si>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</si>
  <si>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</si>
  <si>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</si>
  <si>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</si>
  <si>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</si>
  <si>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</si>
  <si>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</si>
  <si>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</si>
  <si>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</si>
  <si>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</si>
  <si>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</si>
  <si>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</si>
  <si>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</si>
  <si>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</si>
  <si>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</si>
  <si>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</si>
  <si>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</si>
  <si>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</si>
  <si>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</si>
  <si>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</si>
  <si>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</si>
  <si>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</si>
  <si>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</si>
  <si>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</si>
  <si>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</si>
  <si>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</si>
  <si>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</si>
  <si>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</si>
  <si>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</si>
  <si>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</si>
  <si>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</si>
  <si>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</si>
  <si>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</si>
  <si>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</si>
  <si>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</si>
  <si>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</si>
  <si>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</si>
  <si>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</si>
  <si>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</si>
  <si>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</si>
  <si>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</si>
  <si>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</si>
  <si>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</si>
  <si>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</si>
  <si>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</si>
  <si>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</si>
  <si>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</si>
  <si>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</si>
  <si>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</si>
  <si>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</si>
  <si>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</si>
  <si>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</si>
  <si>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</si>
  <si>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</si>
  <si>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</si>
  <si>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</si>
  <si>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</si>
  <si>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</si>
  <si>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</si>
  <si>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</si>
  <si>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</si>
  <si>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</si>
  <si>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</si>
  <si>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</si>
  <si>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</si>
  <si>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</si>
  <si>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</si>
  <si>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</si>
  <si>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</si>
  <si>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</si>
  <si>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</si>
  <si>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</si>
  <si>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</si>
  <si>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</si>
  <si>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</si>
  <si>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</si>
  <si>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</si>
  <si>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</si>
  <si>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</si>
  <si>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</si>
  <si>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</si>
  <si>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</si>
  <si>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</si>
  <si>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</si>
  <si>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</si>
  <si>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</si>
  <si>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</si>
  <si>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</si>
  <si>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</si>
  <si>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</si>
  <si>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</si>
  <si>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</si>
  <si>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</si>
  <si>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</si>
  <si>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</si>
  <si>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</si>
  <si>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</si>
  <si>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</si>
  <si>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</si>
  <si>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</si>
  <si>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</si>
  <si>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</si>
  <si>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</si>
  <si>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</si>
  <si>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</si>
  <si>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</si>
  <si>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</si>
  <si>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</si>
  <si>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</si>
  <si>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</si>
  <si>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</si>
  <si>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</si>
  <si>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</si>
  <si>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</si>
  <si>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</si>
  <si>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TotalSales</t>
  </si>
  <si>
    <t>OrderDate2</t>
  </si>
  <si>
    <t>PromotionFlag</t>
  </si>
  <si>
    <t>ReturnedFlag</t>
  </si>
  <si>
    <t>YES</t>
  </si>
  <si>
    <t>NO</t>
  </si>
  <si>
    <t>OrderMonth</t>
  </si>
  <si>
    <t>OrderYear</t>
  </si>
  <si>
    <t>OderMonth/Year</t>
  </si>
  <si>
    <t>Profit</t>
  </si>
  <si>
    <t>DeliveryDays</t>
  </si>
  <si>
    <t>TotalSalesWithDiscount</t>
  </si>
  <si>
    <t>Cost</t>
  </si>
  <si>
    <t>ProfitMargin</t>
  </si>
  <si>
    <t>Sum of TotalSalesWithDiscount</t>
  </si>
  <si>
    <t>Sum of Profit</t>
  </si>
  <si>
    <t>Count of OrderID</t>
  </si>
  <si>
    <t>Average of ProfitMargin</t>
  </si>
  <si>
    <t>Average Order Value</t>
  </si>
  <si>
    <t>Average of Returned</t>
  </si>
  <si>
    <t>Row Labels</t>
  </si>
  <si>
    <t>Jan</t>
  </si>
  <si>
    <t>Feb</t>
  </si>
  <si>
    <t>Mar</t>
  </si>
  <si>
    <t>Apr</t>
  </si>
  <si>
    <t>May</t>
  </si>
  <si>
    <t>Jun</t>
  </si>
  <si>
    <t>Jul</t>
  </si>
  <si>
    <t>Aug</t>
  </si>
  <si>
    <t>Sep</t>
  </si>
  <si>
    <t>Oct</t>
  </si>
  <si>
    <t>Nov</t>
  </si>
  <si>
    <t>Dec</t>
  </si>
  <si>
    <t>Grand Total</t>
  </si>
  <si>
    <t>Monthly Profit</t>
  </si>
  <si>
    <t>Monthly Sales</t>
  </si>
  <si>
    <t>Mar 2024</t>
  </si>
  <si>
    <t>Yes</t>
  </si>
  <si>
    <t>Apr 2024</t>
  </si>
  <si>
    <t>Aug 2024</t>
  </si>
  <si>
    <t>Dec 2024</t>
  </si>
  <si>
    <t>Feb 2024</t>
  </si>
  <si>
    <t>Jan 2024</t>
  </si>
  <si>
    <t>Jul 2024</t>
  </si>
  <si>
    <t>Jun 2024</t>
  </si>
  <si>
    <t>May 2024</t>
  </si>
  <si>
    <t>Nov 2024</t>
  </si>
  <si>
    <t>Oct 2024</t>
  </si>
  <si>
    <t>Sep 2024</t>
  </si>
  <si>
    <t>Sales and Profit By Region</t>
  </si>
  <si>
    <t>Top 5 product by profit</t>
  </si>
  <si>
    <t>Sales By Customer Type</t>
  </si>
  <si>
    <t>Sales by Saleperson</t>
  </si>
  <si>
    <t>Count of Returned</t>
  </si>
  <si>
    <t>Sep 2023</t>
  </si>
  <si>
    <t>Oct 2023</t>
  </si>
  <si>
    <t>Nov 2023</t>
  </si>
  <si>
    <t>May 2025</t>
  </si>
  <si>
    <t>May 2023</t>
  </si>
  <si>
    <t>Mar 2025</t>
  </si>
  <si>
    <t>Mar 2023</t>
  </si>
  <si>
    <t>Jun 2025</t>
  </si>
  <si>
    <t>Jun 2023</t>
  </si>
  <si>
    <t>Jul 2023</t>
  </si>
  <si>
    <t>Jan 2025</t>
  </si>
  <si>
    <t>Jan 2023</t>
  </si>
  <si>
    <t>Feb 2025</t>
  </si>
  <si>
    <t>Feb 2023</t>
  </si>
  <si>
    <t>Dec 2023</t>
  </si>
  <si>
    <t>Aug 2023</t>
  </si>
  <si>
    <t>Apr 2025</t>
  </si>
  <si>
    <t>Apr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</si>
</sst>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yyyy\-mm\-dd"/>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1"/>
      <color theme="1"/>
      <name val="Segoe UI Black"/>
      <family val="2"/>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44" fontId="0" fillId="0" borderId="0" xfId="1" applyFont="1"/>
    <xf numFmtId="2" fontId="1" fillId="0" borderId="2" xfId="1" applyNumberFormat="1" applyFont="1" applyBorder="1" applyAlignment="1">
      <alignment horizontal="center" vertical="top"/>
    </xf>
    <xf numFmtId="2" fontId="0" fillId="0" borderId="0" xfId="1" applyNumberFormat="1" applyFont="1"/>
    <xf numFmtId="2" fontId="1" fillId="0" borderId="2" xfId="0" applyNumberFormat="1" applyFont="1" applyBorder="1" applyAlignment="1">
      <alignment horizontal="center" vertical="top"/>
    </xf>
    <xf numFmtId="2" fontId="0" fillId="0" borderId="0" xfId="0" applyNumberFormat="1"/>
    <xf numFmtId="1" fontId="1" fillId="0" borderId="2" xfId="0" applyNumberFormat="1" applyFont="1" applyBorder="1" applyAlignment="1">
      <alignment horizontal="center" vertical="top"/>
    </xf>
    <xf numFmtId="1" fontId="0" fillId="0" borderId="0" xfId="0" applyNumberFormat="1"/>
    <xf numFmtId="9" fontId="0" fillId="0" borderId="0" xfId="0" applyNumberFormat="1"/>
    <xf numFmtId="4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9" fontId="0" fillId="0" borderId="0" xfId="2" applyFont="1"/>
    <xf numFmtId="0" fontId="4" fillId="2" borderId="0" xfId="0" applyFont="1" applyFill="1"/>
    <xf numFmtId="0" fontId="0" fillId="2" borderId="0" xfId="0" applyFill="1"/>
  </cellXfs>
  <cellStyles count="3">
    <cellStyle name="Currency" xfId="1" builtinId="4"/>
    <cellStyle name="Normal" xfId="0" builtinId="0"/>
    <cellStyle name="Percent" xfId="2" builtinId="5"/>
  </cellStyles>
  <dxfs count="33">
    <dxf>
      <numFmt numFmtId="19" formatCode="m/d/yyyy"/>
    </dxf>
    <dxf>
      <numFmt numFmtId="19" formatCode="m/d/yyyy"/>
    </dxf>
    <dxf>
      <numFmt numFmtId="19" formatCode="m/d/yyyy"/>
    </dxf>
    <dxf>
      <numFmt numFmtId="2" formatCode="0.00"/>
    </dxf>
    <dxf>
      <numFmt numFmtId="2" formatCode="0.00"/>
    </dxf>
    <dxf>
      <numFmt numFmtId="2" formatCode="0.00"/>
    </dxf>
    <dxf>
      <numFmt numFmtId="2" formatCode="0.00"/>
    </dxf>
    <dxf>
      <numFmt numFmtId="2" formatCode="0.00"/>
    </dxf>
    <dxf>
      <numFmt numFmtId="1" formatCode="0"/>
    </dxf>
    <dxf>
      <numFmt numFmtId="19" formatCode="m/d/yyyy"/>
    </dxf>
    <dxf>
      <numFmt numFmtId="19" formatCode="m/d/yyyy"/>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wrapText="1"/>
    </dxf>
    <dxf>
      <numFmt numFmtId="34" formatCode="_(&quot;$&quot;* #,##0.00_);_(&quot;$&quot;* \(#,##0.00\);_(&quot;$&quot;* &quot;-&quot;??_);_(@_)"/>
    </dxf>
    <dxf>
      <numFmt numFmtId="2" formatCode="0.00"/>
    </dxf>
    <dxf>
      <numFmt numFmtId="34" formatCode="_(&quot;$&quot;* #,##0.00_);_(&quot;$&quot;* \(#,##0.00\);_(&quot;$&quot;* &quot;-&quot;??_);_(@_)"/>
    </dxf>
    <dxf>
      <numFmt numFmtId="34" formatCode="_(&quot;$&quot;* #,##0.00_);_(&quot;$&quot;* \(#,##0.00\);_(&quot;$&quot;* &quot;-&quot;??_);_(@_)"/>
    </dxf>
    <dxf>
      <numFmt numFmtId="13" formatCode="0%"/>
    </dxf>
    <dxf>
      <numFmt numFmtId="34" formatCode="_(&quot;$&quot;* #,##0.00_);_(&quot;$&quot;* \(#,##0.00\);_(&quot;$&quot;* &quot;-&quot;??_);_(@_)"/>
    </dxf>
    <dxf>
      <numFmt numFmtId="34" formatCode="_(&quot;$&quot;* #,##0.00_);_(&quot;$&quot;* \(#,##0.00\);_(&quot;$&quot;* &quot;-&quot;??_);_(@_)"/>
    </dxf>
    <dxf>
      <numFmt numFmtId="13" formatCode="0%"/>
    </dxf>
    <dxf>
      <font>
        <b/>
        <i val="0"/>
        <sz val="12"/>
        <color theme="1"/>
        <name val="Segoe UI"/>
        <family val="2"/>
        <scheme val="none"/>
      </font>
      <fill>
        <patternFill patternType="none">
          <bgColor auto="1"/>
        </patternFill>
      </fill>
      <border>
        <bottom style="thin">
          <color theme="4"/>
        </bottom>
        <vertical/>
        <horizontal/>
      </border>
    </dxf>
    <dxf>
      <font>
        <b/>
        <i val="0"/>
        <sz val="10"/>
        <color theme="0"/>
        <name val="Segoe UI"/>
        <family val="2"/>
        <scheme val="none"/>
      </font>
      <fill>
        <patternFill>
          <bgColor theme="0" tint="-4.9989318521683403E-2"/>
        </patternFill>
      </fill>
      <border>
        <left style="thin">
          <color theme="4"/>
        </left>
        <right style="thin">
          <color theme="4"/>
        </right>
        <top style="thin">
          <color theme="4"/>
        </top>
        <bottom style="thin">
          <color theme="4"/>
        </bottom>
        <vertical/>
        <horizontal/>
      </border>
    </dxf>
  </dxfs>
  <tableStyles count="1" defaultTableStyle="TableStyleMedium9" defaultPivotStyle="PivotStyleLight16">
    <tableStyle name="Sales" pivot="0" table="0" count="10" xr9:uid="{24839EE0-6382-4E2A-8FD5-9C8E6F5B44FE}">
      <tableStyleElement type="wholeTable" dxfId="32"/>
      <tableStyleElement type="headerRow" dxfId="3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0"/>
            <color theme="0" tint="-4.9989318521683403E-2"/>
            <name val="Segoe UI"/>
            <family val="2"/>
            <scheme val="none"/>
          </font>
          <fill>
            <patternFill patternType="solid">
              <fgColor theme="4"/>
              <bgColor theme="4"/>
            </patternFill>
          </fill>
          <border>
            <left style="thin">
              <color theme="4"/>
            </left>
            <right style="thin">
              <color theme="4"/>
            </right>
            <top style="thin">
              <color theme="4"/>
            </top>
            <bottom style="thin">
              <color theme="4"/>
            </bottom>
            <vertical/>
            <horizontal/>
          </border>
        </dxf>
        <dxf>
          <font>
            <b/>
            <i val="0"/>
            <sz val="10"/>
            <color rgb="FF959595"/>
            <name val="Segoe UI"/>
            <family val="2"/>
            <scheme val="none"/>
          </font>
          <fill>
            <patternFill patternType="solid">
              <fgColor rgb="FFDFDFDF"/>
              <bgColor theme="8" tint="0.39994506668294322"/>
            </patternFill>
          </fill>
          <border>
            <left style="thin">
              <color rgb="FFDFDFDF"/>
            </left>
            <right style="thin">
              <color rgb="FFDFDFDF"/>
            </right>
            <top style="thin">
              <color rgb="FFDFDFDF"/>
            </top>
            <bottom style="thin">
              <color rgb="FFDFDFDF"/>
            </bottom>
            <vertical/>
            <horizontal/>
          </border>
        </dxf>
        <dxf>
          <font>
            <b/>
            <i val="0"/>
            <sz val="10"/>
            <color theme="1"/>
            <name val="Segoe UI"/>
            <family val="2"/>
            <scheme val="none"/>
          </font>
          <fill>
            <patternFill patternType="solid">
              <fgColor rgb="FFC0C0C0"/>
              <bgColor theme="0" tint="-4.9989318521683403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al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28575" cap="rnd">
              <a:solidFill>
                <a:schemeClr val="accent1"/>
              </a:solidFill>
              <a:round/>
            </a:ln>
            <a:effectLst/>
          </c:spPr>
          <c:marker>
            <c:symbol val="none"/>
          </c:marke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_("$"* #,##0.00_);_("$"* \(#,##0.00\);_("$"* "-"??_);_(@_)</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256612.89699999997</c:v>
                </c:pt>
                <c:pt idx="10">
                  <c:v>283330.62000000005</c:v>
                </c:pt>
                <c:pt idx="11">
                  <c:v>262749.522</c:v>
                </c:pt>
              </c:numCache>
            </c:numRef>
          </c:val>
          <c:smooth val="0"/>
          <c:extLst>
            <c:ext xmlns:c16="http://schemas.microsoft.com/office/drawing/2014/chart" uri="{C3380CC4-5D6E-409C-BE32-E72D297353CC}">
              <c16:uniqueId val="{00000000-A461-44DF-91FF-7B73A4FA6F1A}"/>
            </c:ext>
          </c:extLst>
        </c:ser>
        <c:dLbls>
          <c:showLegendKey val="0"/>
          <c:showVal val="0"/>
          <c:showCatName val="0"/>
          <c:showSerName val="0"/>
          <c:showPercent val="0"/>
          <c:showBubbleSize val="0"/>
        </c:dLbls>
        <c:smooth val="0"/>
        <c:axId val="1681688191"/>
        <c:axId val="1681689151"/>
      </c:lineChart>
      <c:catAx>
        <c:axId val="16816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89151"/>
        <c:crosses val="autoZero"/>
        <c:auto val="1"/>
        <c:lblAlgn val="ctr"/>
        <c:lblOffset val="100"/>
        <c:noMultiLvlLbl val="0"/>
      </c:catAx>
      <c:valAx>
        <c:axId val="168168915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8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Charts!$B$18</c:f>
              <c:strCache>
                <c:ptCount val="1"/>
                <c:pt idx="0">
                  <c:v>Total</c:v>
                </c:pt>
              </c:strCache>
            </c:strRef>
          </c:tx>
          <c:spPr>
            <a:ln w="28575" cap="rnd">
              <a:solidFill>
                <a:schemeClr val="accent1"/>
              </a:solidFill>
              <a:round/>
            </a:ln>
            <a:effectLst/>
          </c:spPr>
          <c:marker>
            <c:symbol val="none"/>
          </c:marker>
          <c:cat>
            <c:strRef>
              <c:f>Charts!$A$19:$A$31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Charts!$B$19:$B$31</c:f>
              <c:numCache>
                <c:formatCode>_("$"* #,##0.00_);_("$"* \(#,##0.00\);_("$"* "-"??_);_(@_)</c:formatCode>
                <c:ptCount val="12"/>
                <c:pt idx="0">
                  <c:v>173743.93150000018</c:v>
                </c:pt>
                <c:pt idx="1">
                  <c:v>140292.54749999996</c:v>
                </c:pt>
                <c:pt idx="2">
                  <c:v>179228.27150000015</c:v>
                </c:pt>
                <c:pt idx="3">
                  <c:v>152955.2525</c:v>
                </c:pt>
                <c:pt idx="4">
                  <c:v>136595.00150000004</c:v>
                </c:pt>
                <c:pt idx="5">
                  <c:v>148571.09300000002</c:v>
                </c:pt>
                <c:pt idx="6">
                  <c:v>96027.153500000015</c:v>
                </c:pt>
                <c:pt idx="7">
                  <c:v>99665.989500000025</c:v>
                </c:pt>
                <c:pt idx="8">
                  <c:v>97767.727000000028</c:v>
                </c:pt>
                <c:pt idx="9">
                  <c:v>87760.493000000002</c:v>
                </c:pt>
                <c:pt idx="10">
                  <c:v>98094.20600000002</c:v>
                </c:pt>
                <c:pt idx="11">
                  <c:v>91294.058000000019</c:v>
                </c:pt>
              </c:numCache>
            </c:numRef>
          </c:val>
          <c:smooth val="0"/>
          <c:extLst>
            <c:ext xmlns:c16="http://schemas.microsoft.com/office/drawing/2014/chart" uri="{C3380CC4-5D6E-409C-BE32-E72D297353CC}">
              <c16:uniqueId val="{00000000-35D8-4705-BD06-0BA6ABC6FF86}"/>
            </c:ext>
          </c:extLst>
        </c:ser>
        <c:dLbls>
          <c:showLegendKey val="0"/>
          <c:showVal val="0"/>
          <c:showCatName val="0"/>
          <c:showSerName val="0"/>
          <c:showPercent val="0"/>
          <c:showBubbleSize val="0"/>
        </c:dLbls>
        <c:smooth val="0"/>
        <c:axId val="1769198335"/>
        <c:axId val="1769198815"/>
      </c:lineChart>
      <c:catAx>
        <c:axId val="176919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198815"/>
        <c:crosses val="autoZero"/>
        <c:auto val="1"/>
        <c:lblAlgn val="ctr"/>
        <c:lblOffset val="100"/>
        <c:noMultiLvlLbl val="0"/>
      </c:catAx>
      <c:valAx>
        <c:axId val="17691988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19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7921877412381"/>
          <c:y val="0.13039934800325997"/>
          <c:w val="0.75283728320724619"/>
          <c:h val="0.72128551168267785"/>
        </c:manualLayout>
      </c:layout>
      <c:barChart>
        <c:barDir val="bar"/>
        <c:grouping val="clustered"/>
        <c:varyColors val="0"/>
        <c:ser>
          <c:idx val="0"/>
          <c:order val="0"/>
          <c:tx>
            <c:strRef>
              <c:f>Charts!$B$33</c:f>
              <c:strCache>
                <c:ptCount val="1"/>
                <c:pt idx="0">
                  <c:v>Total</c:v>
                </c:pt>
              </c:strCache>
            </c:strRef>
          </c:tx>
          <c:spPr>
            <a:solidFill>
              <a:schemeClr val="accent1"/>
            </a:solidFill>
            <a:ln>
              <a:noFill/>
            </a:ln>
            <a:effectLst/>
          </c:spPr>
          <c:invertIfNegative val="0"/>
          <c:cat>
            <c:strRef>
              <c:f>Charts!$A$34:$A$39</c:f>
              <c:strCache>
                <c:ptCount val="5"/>
                <c:pt idx="0">
                  <c:v>South</c:v>
                </c:pt>
                <c:pt idx="1">
                  <c:v>Central</c:v>
                </c:pt>
                <c:pt idx="2">
                  <c:v>West</c:v>
                </c:pt>
                <c:pt idx="3">
                  <c:v>East</c:v>
                </c:pt>
                <c:pt idx="4">
                  <c:v>North</c:v>
                </c:pt>
              </c:strCache>
            </c:strRef>
          </c:cat>
          <c:val>
            <c:numRef>
              <c:f>Charts!$B$34:$B$39</c:f>
              <c:numCache>
                <c:formatCode>_("$"* #,##0.00_);_("$"* \(#,##0.00\);_("$"* "-"??_);_(@_)</c:formatCode>
                <c:ptCount val="5"/>
                <c:pt idx="0">
                  <c:v>827768.18699999992</c:v>
                </c:pt>
                <c:pt idx="1">
                  <c:v>847153.68450000032</c:v>
                </c:pt>
                <c:pt idx="2">
                  <c:v>853478.85900000017</c:v>
                </c:pt>
                <c:pt idx="3">
                  <c:v>883633.71800000104</c:v>
                </c:pt>
                <c:pt idx="4">
                  <c:v>967957.98000000068</c:v>
                </c:pt>
              </c:numCache>
            </c:numRef>
          </c:val>
          <c:extLst>
            <c:ext xmlns:c16="http://schemas.microsoft.com/office/drawing/2014/chart" uri="{C3380CC4-5D6E-409C-BE32-E72D297353CC}">
              <c16:uniqueId val="{00000000-257F-4E80-9078-FEE64ADB30D7}"/>
            </c:ext>
          </c:extLst>
        </c:ser>
        <c:dLbls>
          <c:showLegendKey val="0"/>
          <c:showVal val="0"/>
          <c:showCatName val="0"/>
          <c:showSerName val="0"/>
          <c:showPercent val="0"/>
          <c:showBubbleSize val="0"/>
        </c:dLbls>
        <c:gapWidth val="182"/>
        <c:axId val="1770024943"/>
        <c:axId val="1770025903"/>
      </c:barChart>
      <c:catAx>
        <c:axId val="177002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025903"/>
        <c:crosses val="autoZero"/>
        <c:auto val="1"/>
        <c:lblAlgn val="ctr"/>
        <c:lblOffset val="100"/>
        <c:noMultiLvlLbl val="0"/>
      </c:catAx>
      <c:valAx>
        <c:axId val="177002590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02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Charts!$B$49</c:f>
              <c:strCache>
                <c:ptCount val="1"/>
                <c:pt idx="0">
                  <c:v>Total</c:v>
                </c:pt>
              </c:strCache>
            </c:strRef>
          </c:tx>
          <c:spPr>
            <a:solidFill>
              <a:schemeClr val="accent1"/>
            </a:solidFill>
            <a:ln>
              <a:noFill/>
            </a:ln>
            <a:effectLst/>
          </c:spPr>
          <c:invertIfNegative val="0"/>
          <c:cat>
            <c:strRef>
              <c:f>Charts!$A$50:$A$57</c:f>
              <c:strCache>
                <c:ptCount val="7"/>
                <c:pt idx="0">
                  <c:v>Tablet</c:v>
                </c:pt>
                <c:pt idx="1">
                  <c:v>Laptop</c:v>
                </c:pt>
                <c:pt idx="2">
                  <c:v>Printer</c:v>
                </c:pt>
                <c:pt idx="3">
                  <c:v>Monitor</c:v>
                </c:pt>
                <c:pt idx="4">
                  <c:v>Chair</c:v>
                </c:pt>
                <c:pt idx="5">
                  <c:v>Desk</c:v>
                </c:pt>
                <c:pt idx="6">
                  <c:v>Phone</c:v>
                </c:pt>
              </c:strCache>
            </c:strRef>
          </c:cat>
          <c:val>
            <c:numRef>
              <c:f>Charts!$B$50:$B$57</c:f>
              <c:numCache>
                <c:formatCode>_("$"* #,##0.00_);_("$"* \(#,##0.00\);_("$"* "-"??_);_(@_)</c:formatCode>
                <c:ptCount val="7"/>
                <c:pt idx="0">
                  <c:v>236324.63750000016</c:v>
                </c:pt>
                <c:pt idx="1">
                  <c:v>235698.79550000004</c:v>
                </c:pt>
                <c:pt idx="2">
                  <c:v>232417.24950000003</c:v>
                </c:pt>
                <c:pt idx="3">
                  <c:v>223635.4425</c:v>
                </c:pt>
                <c:pt idx="4">
                  <c:v>215627.78600000014</c:v>
                </c:pt>
                <c:pt idx="5">
                  <c:v>188387.56050000008</c:v>
                </c:pt>
                <c:pt idx="6">
                  <c:v>169904.25300000006</c:v>
                </c:pt>
              </c:numCache>
            </c:numRef>
          </c:val>
          <c:extLst>
            <c:ext xmlns:c16="http://schemas.microsoft.com/office/drawing/2014/chart" uri="{C3380CC4-5D6E-409C-BE32-E72D297353CC}">
              <c16:uniqueId val="{00000000-D970-488D-B055-7D1C665D40A9}"/>
            </c:ext>
          </c:extLst>
        </c:ser>
        <c:dLbls>
          <c:showLegendKey val="0"/>
          <c:showVal val="0"/>
          <c:showCatName val="0"/>
          <c:showSerName val="0"/>
          <c:showPercent val="0"/>
          <c:showBubbleSize val="0"/>
        </c:dLbls>
        <c:gapWidth val="219"/>
        <c:overlap val="-27"/>
        <c:axId val="1329190720"/>
        <c:axId val="1329191200"/>
      </c:barChart>
      <c:catAx>
        <c:axId val="132919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91200"/>
        <c:crosses val="autoZero"/>
        <c:auto val="1"/>
        <c:lblAlgn val="ctr"/>
        <c:lblOffset val="100"/>
        <c:noMultiLvlLbl val="0"/>
      </c:catAx>
      <c:valAx>
        <c:axId val="13291912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Charts!$B$58</c:f>
              <c:strCache>
                <c:ptCount val="1"/>
                <c:pt idx="0">
                  <c:v>Total</c:v>
                </c:pt>
              </c:strCache>
            </c:strRef>
          </c:tx>
          <c:spPr>
            <a:ln w="28575" cap="rnd">
              <a:solidFill>
                <a:schemeClr val="accent1"/>
              </a:solidFill>
              <a:round/>
            </a:ln>
            <a:effectLst/>
          </c:spPr>
          <c:marker>
            <c:symbol val="none"/>
          </c:marker>
          <c:cat>
            <c:strRef>
              <c:f>Charts!$A$59:$A$89</c:f>
              <c:strCache>
                <c:ptCount val="30"/>
                <c:pt idx="0">
                  <c:v>Sep 2024</c:v>
                </c:pt>
                <c:pt idx="1">
                  <c:v>Sep 2023</c:v>
                </c:pt>
                <c:pt idx="2">
                  <c:v>Oct 2024</c:v>
                </c:pt>
                <c:pt idx="3">
                  <c:v>Oct 2023</c:v>
                </c:pt>
                <c:pt idx="4">
                  <c:v>Nov 2024</c:v>
                </c:pt>
                <c:pt idx="5">
                  <c:v>Nov 2023</c:v>
                </c:pt>
                <c:pt idx="6">
                  <c:v>May 2025</c:v>
                </c:pt>
                <c:pt idx="7">
                  <c:v>May 2024</c:v>
                </c:pt>
                <c:pt idx="8">
                  <c:v>May 2023</c:v>
                </c:pt>
                <c:pt idx="9">
                  <c:v>Mar 2025</c:v>
                </c:pt>
                <c:pt idx="10">
                  <c:v>Mar 2024</c:v>
                </c:pt>
                <c:pt idx="11">
                  <c:v>Mar 2023</c:v>
                </c:pt>
                <c:pt idx="12">
                  <c:v>Jun 2025</c:v>
                </c:pt>
                <c:pt idx="13">
                  <c:v>Jun 2024</c:v>
                </c:pt>
                <c:pt idx="14">
                  <c:v>Jun 2023</c:v>
                </c:pt>
                <c:pt idx="15">
                  <c:v>Jul 2024</c:v>
                </c:pt>
                <c:pt idx="16">
                  <c:v>Jul 2023</c:v>
                </c:pt>
                <c:pt idx="17">
                  <c:v>Jan 2025</c:v>
                </c:pt>
                <c:pt idx="18">
                  <c:v>Jan 2024</c:v>
                </c:pt>
                <c:pt idx="19">
                  <c:v>Jan 2023</c:v>
                </c:pt>
                <c:pt idx="20">
                  <c:v>Feb 2025</c:v>
                </c:pt>
                <c:pt idx="21">
                  <c:v>Feb 2024</c:v>
                </c:pt>
                <c:pt idx="22">
                  <c:v>Feb 2023</c:v>
                </c:pt>
                <c:pt idx="23">
                  <c:v>Dec 2024</c:v>
                </c:pt>
                <c:pt idx="24">
                  <c:v>Dec 2023</c:v>
                </c:pt>
                <c:pt idx="25">
                  <c:v>Aug 2024</c:v>
                </c:pt>
                <c:pt idx="26">
                  <c:v>Aug 2023</c:v>
                </c:pt>
                <c:pt idx="27">
                  <c:v>Apr 2025</c:v>
                </c:pt>
                <c:pt idx="28">
                  <c:v>Apr 2024</c:v>
                </c:pt>
                <c:pt idx="29">
                  <c:v>Apr 2023</c:v>
                </c:pt>
              </c:strCache>
            </c:strRef>
          </c:cat>
          <c:val>
            <c:numRef>
              <c:f>Charts!$B$59:$B$89</c:f>
              <c:numCache>
                <c:formatCode>_("$"* #,##0.00_);_("$"* \(#,##0.00\);_("$"* "-"??_);_(@_)</c:formatCode>
                <c:ptCount val="30"/>
                <c:pt idx="0">
                  <c:v>45267.6895</c:v>
                </c:pt>
                <c:pt idx="1">
                  <c:v>52500.037499999991</c:v>
                </c:pt>
                <c:pt idx="2">
                  <c:v>61314.278499999993</c:v>
                </c:pt>
                <c:pt idx="3">
                  <c:v>26446.214499999995</c:v>
                </c:pt>
                <c:pt idx="4">
                  <c:v>48791.404999999999</c:v>
                </c:pt>
                <c:pt idx="5">
                  <c:v>49302.800999999992</c:v>
                </c:pt>
                <c:pt idx="6">
                  <c:v>50819.759000000005</c:v>
                </c:pt>
                <c:pt idx="7">
                  <c:v>45836.764999999999</c:v>
                </c:pt>
                <c:pt idx="8">
                  <c:v>39938.477500000008</c:v>
                </c:pt>
                <c:pt idx="9">
                  <c:v>62609.130999999994</c:v>
                </c:pt>
                <c:pt idx="10">
                  <c:v>48623.587500000009</c:v>
                </c:pt>
                <c:pt idx="11">
                  <c:v>67995.553</c:v>
                </c:pt>
                <c:pt idx="12">
                  <c:v>46915.729499999994</c:v>
                </c:pt>
                <c:pt idx="13">
                  <c:v>54797.492999999995</c:v>
                </c:pt>
                <c:pt idx="14">
                  <c:v>46857.870500000019</c:v>
                </c:pt>
                <c:pt idx="15">
                  <c:v>47176.911499999995</c:v>
                </c:pt>
                <c:pt idx="16">
                  <c:v>48850.241999999998</c:v>
                </c:pt>
                <c:pt idx="17">
                  <c:v>60124.786999999997</c:v>
                </c:pt>
                <c:pt idx="18">
                  <c:v>59115.1175</c:v>
                </c:pt>
                <c:pt idx="19">
                  <c:v>54504.027000000009</c:v>
                </c:pt>
                <c:pt idx="20">
                  <c:v>45187.101000000017</c:v>
                </c:pt>
                <c:pt idx="21">
                  <c:v>46705.338499999983</c:v>
                </c:pt>
                <c:pt idx="22">
                  <c:v>48400.107999999993</c:v>
                </c:pt>
                <c:pt idx="23">
                  <c:v>50439.94249999999</c:v>
                </c:pt>
                <c:pt idx="24">
                  <c:v>40854.1155</c:v>
                </c:pt>
                <c:pt idx="25">
                  <c:v>44213.947999999997</c:v>
                </c:pt>
                <c:pt idx="26">
                  <c:v>55452.041499999999</c:v>
                </c:pt>
                <c:pt idx="27">
                  <c:v>44257.868500000004</c:v>
                </c:pt>
                <c:pt idx="28">
                  <c:v>56726.847500000003</c:v>
                </c:pt>
                <c:pt idx="29">
                  <c:v>51970.536499999995</c:v>
                </c:pt>
              </c:numCache>
            </c:numRef>
          </c:val>
          <c:smooth val="0"/>
          <c:extLst>
            <c:ext xmlns:c16="http://schemas.microsoft.com/office/drawing/2014/chart" uri="{C3380CC4-5D6E-409C-BE32-E72D297353CC}">
              <c16:uniqueId val="{00000000-BD6E-4E60-9558-4B9A1781042B}"/>
            </c:ext>
          </c:extLst>
        </c:ser>
        <c:dLbls>
          <c:showLegendKey val="0"/>
          <c:showVal val="0"/>
          <c:showCatName val="0"/>
          <c:showSerName val="0"/>
          <c:showPercent val="0"/>
          <c:showBubbleSize val="0"/>
        </c:dLbls>
        <c:smooth val="0"/>
        <c:axId val="1463232320"/>
        <c:axId val="1463236640"/>
      </c:lineChart>
      <c:catAx>
        <c:axId val="14632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36640"/>
        <c:crosses val="autoZero"/>
        <c:auto val="1"/>
        <c:lblAlgn val="ctr"/>
        <c:lblOffset val="100"/>
        <c:noMultiLvlLbl val="0"/>
      </c:catAx>
      <c:valAx>
        <c:axId val="14632366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3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[Product-Sales-Region.xlsx]CustomerPromotion!PivotTable6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9285714285714288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11904761904760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CustomerPromotion!$B$3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8D8-4F7F-809F-C823E5D13F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8D8-4F7F-809F-C823E5D13FA5}"/>
              </c:ext>
            </c:extLst>
          </c:dPt>
          <c:dLbls>
            <c:dLbl>
              <c:idx val="0"/>
              <c:layout>
                <c:manualLayout>
                  <c:x val="0.10119047619047608"/>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D8-4F7F-809F-C823E5D13FA5}"/>
                </c:ext>
              </c:extLst>
            </c:dLbl>
            <c:dLbl>
              <c:idx val="1"/>
              <c:layout>
                <c:manualLayout>
                  <c:x val="-8.9285714285714288E-2"/>
                  <c:y val="-0.1712962962962963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8D8-4F7F-809F-C823E5D13F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CustomerPromotion!$A$4:$A$6</c:f>
              <c:strCache>
                <c:ptCount val="2"/>
                <c:pt idx="0">
                  <c:v>Retail</c:v>
                </c:pt>
                <c:pt idx="1">
                  <c:v>Wholesale</c:v>
                </c:pt>
              </c:strCache>
            </c:strRef>
          </c:cat>
          <c:val>
            <c:numRef>
              <c:f>CustomerPromotion!$B$4:$B$6</c:f>
              <c:numCache>
                <c:formatCode>_("$"* #,##0.00_);_("$"* \(#,##0.00\);_("$"* "-"??_);_(@_)</c:formatCode>
                <c:ptCount val="2"/>
                <c:pt idx="0">
                  <c:v>2195525.5929999994</c:v>
                </c:pt>
                <c:pt idx="1">
                  <c:v>2184466.8355000019</c:v>
                </c:pt>
              </c:numCache>
            </c:numRef>
          </c:val>
          <c:extLst>
            <c:ext xmlns:c16="http://schemas.microsoft.com/office/drawing/2014/chart" uri="{C3380CC4-5D6E-409C-BE32-E72D297353CC}">
              <c16:uniqueId val="{00000000-B8D8-4F7F-809F-C823E5D13F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[Product-Sales-Region.xlsx]CustomerPromotion!PivotTable7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CustomerPromotion!$B$8</c:f>
              <c:strCache>
                <c:ptCount val="1"/>
                <c:pt idx="0">
                  <c:v>Total</c:v>
                </c:pt>
              </c:strCache>
            </c:strRef>
          </c:tx>
          <c:spPr>
            <a:solidFill>
              <a:schemeClr val="accent1"/>
            </a:solidFill>
            <a:ln>
              <a:noFill/>
            </a:ln>
            <a:effectLst/>
          </c:spPr>
          <c:invertIfNegative val="0"/>
          <c:cat>
            <c:strRef>
              <c:f>CustomerPromotion!$A$9:$A$15</c:f>
              <c:strCache>
                <c:ptCount val="6"/>
                <c:pt idx="0">
                  <c:v>Diana</c:v>
                </c:pt>
                <c:pt idx="1">
                  <c:v>Eva</c:v>
                </c:pt>
                <c:pt idx="2">
                  <c:v>Carlos</c:v>
                </c:pt>
                <c:pt idx="3">
                  <c:v>Frank</c:v>
                </c:pt>
                <c:pt idx="4">
                  <c:v>Alice</c:v>
                </c:pt>
                <c:pt idx="5">
                  <c:v>Bob</c:v>
                </c:pt>
              </c:strCache>
            </c:strRef>
          </c:cat>
          <c:val>
            <c:numRef>
              <c:f>CustomerPromotion!$B$9:$B$15</c:f>
              <c:numCache>
                <c:formatCode>_("$"* #,##0.00_);_("$"* \(#,##0.00\);_("$"* "-"??_);_(@_)</c:formatCode>
                <c:ptCount val="6"/>
                <c:pt idx="0">
                  <c:v>676568.2495000005</c:v>
                </c:pt>
                <c:pt idx="1">
                  <c:v>698669.57950000011</c:v>
                </c:pt>
                <c:pt idx="2">
                  <c:v>707166.7160000006</c:v>
                </c:pt>
                <c:pt idx="3">
                  <c:v>714641.52200000035</c:v>
                </c:pt>
                <c:pt idx="4">
                  <c:v>786165.8400000002</c:v>
                </c:pt>
                <c:pt idx="5">
                  <c:v>796780.52149999957</c:v>
                </c:pt>
              </c:numCache>
            </c:numRef>
          </c:val>
          <c:extLst>
            <c:ext xmlns:c16="http://schemas.microsoft.com/office/drawing/2014/chart" uri="{C3380CC4-5D6E-409C-BE32-E72D297353CC}">
              <c16:uniqueId val="{00000000-8411-44F5-B119-C13CA1534460}"/>
            </c:ext>
          </c:extLst>
        </c:ser>
        <c:dLbls>
          <c:showLegendKey val="0"/>
          <c:showVal val="0"/>
          <c:showCatName val="0"/>
          <c:showSerName val="0"/>
          <c:showPercent val="0"/>
          <c:showBubbleSize val="0"/>
        </c:dLbls>
        <c:gapWidth val="182"/>
        <c:axId val="1246088111"/>
        <c:axId val="1246087151"/>
      </c:barChart>
      <c:catAx>
        <c:axId val="124608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087151"/>
        <c:crosses val="autoZero"/>
        <c:auto val="1"/>
        <c:lblAlgn val="ctr"/>
        <c:lblOffset val="100"/>
        <c:noMultiLvlLbl val="0"/>
      </c:catAx>
      <c:valAx>
        <c:axId val="124608715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08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[Product-Sales-Region.xlsx]Charts!PivotTable2</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47625" cap="rnd">
              <a:solidFill>
                <a:schemeClr val="accent1">
                  <a:lumMod val="20000"/>
                  <a:lumOff val="80000"/>
                </a:schemeClr>
              </a:solidFill>
              <a:round/>
            </a:ln>
            <a:effectLst/>
          </c:spPr>
          <c:marker>
            <c:symbol val="none"/>
          </c:marke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_("$"* #,##0.00_);_("$"* \(#,##0.00\);_("$"* "-"??_);_(@_)</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256612.89699999997</c:v>
                </c:pt>
                <c:pt idx="10">
                  <c:v>283330.62000000005</c:v>
                </c:pt>
                <c:pt idx="11">
                  <c:v>262749.522</c:v>
                </c:pt>
              </c:numCache>
            </c:numRef>
          </c:val>
          <c:smooth val="0"/>
          <c:extLst>
            <c:ext xmlns:c16="http://schemas.microsoft.com/office/drawing/2014/chart" uri="{C3380CC4-5D6E-409C-BE32-E72D297353CC}">
              <c16:uniqueId val="{00000000-A7A3-4218-9959-6271C564F7AD}"/>
            </c:ext>
          </c:extLst>
        </c:ser>
        <c:dLbls>
          <c:showLegendKey val="0"/>
          <c:showVal val="0"/>
          <c:showCatName val="0"/>
          <c:showSerName val="0"/>
          <c:showPercent val="0"/>
          <c:showBubbleSize val="0"/>
        </c:dLbls>
        <c:smooth val="0"/>
        <c:axId val="1681688191"/>
        <c:axId val="1681689151"/>
      </c:lineChart>
      <c:catAx>
        <c:axId val="16816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1681689151"/>
        <c:crosses val="autoZero"/>
        <c:auto val="1"/>
        <c:lblAlgn val="ctr"/>
        <c:lblOffset val="100"/>
        <c:noMultiLvlLbl val="0"/>
      </c:catAx>
      <c:valAx>
        <c:axId val="1681689151"/>
        <c:scaling>
          <c:orientation val="minMax"/>
        </c:scaling>
        <c:delete val="0"/>
        <c:axPos val="l"/>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16816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[Product-Sales-Region.xlsx]Charts!PivotTable1</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Charts!$B$18</c:f>
              <c:strCache>
                <c:ptCount val="1"/>
                <c:pt idx="0">
                  <c:v>Total</c:v>
                </c:pt>
              </c:strCache>
            </c:strRef>
          </c:tx>
          <c:spPr>
            <a:ln w="44450" cap="rnd">
              <a:solidFill>
                <a:schemeClr val="accent6">
                  <a:lumMod val="60000"/>
                  <a:lumOff val="40000"/>
                </a:schemeClr>
              </a:solidFill>
              <a:round/>
            </a:ln>
            <a:effectLst/>
          </c:spPr>
          <c:marker>
            <c:symbol val="none"/>
          </c:marker>
          <c:cat>
            <c:strRef>
              <c:f>Charts!$A$19:$A$31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Charts!$B$19:$B$31</c:f>
              <c:numCache>
                <c:formatCode>_("$"* #,##0.00_);_("$"* \(#,##0.00\);_("$"* "-"??_);_(@_)</c:formatCode>
                <c:ptCount val="12"/>
                <c:pt idx="0">
                  <c:v>173743.93150000018</c:v>
                </c:pt>
                <c:pt idx="1">
                  <c:v>140292.54749999996</c:v>
                </c:pt>
                <c:pt idx="2">
                  <c:v>179228.27150000015</c:v>
                </c:pt>
                <c:pt idx="3">
                  <c:v>152955.2525</c:v>
                </c:pt>
                <c:pt idx="4">
                  <c:v>136595.00150000004</c:v>
                </c:pt>
                <c:pt idx="5">
                  <c:v>148571.09300000002</c:v>
                </c:pt>
                <c:pt idx="6">
                  <c:v>96027.153500000015</c:v>
                </c:pt>
                <c:pt idx="7">
                  <c:v>99665.989500000025</c:v>
                </c:pt>
                <c:pt idx="8">
                  <c:v>97767.727000000028</c:v>
                </c:pt>
                <c:pt idx="9">
                  <c:v>87760.493000000002</c:v>
                </c:pt>
                <c:pt idx="10">
                  <c:v>98094.20600000002</c:v>
                </c:pt>
                <c:pt idx="11">
                  <c:v>91294.058000000019</c:v>
                </c:pt>
              </c:numCache>
            </c:numRef>
          </c:val>
          <c:smooth val="0"/>
          <c:extLst>
            <c:ext xmlns:c16="http://schemas.microsoft.com/office/drawing/2014/chart" uri="{C3380CC4-5D6E-409C-BE32-E72D297353CC}">
              <c16:uniqueId val="{00000000-7735-4D15-94D7-0C33F781398C}"/>
            </c:ext>
          </c:extLst>
        </c:ser>
        <c:dLbls>
          <c:showLegendKey val="0"/>
          <c:showVal val="0"/>
          <c:showCatName val="0"/>
          <c:showSerName val="0"/>
          <c:showPercent val="0"/>
          <c:showBubbleSize val="0"/>
        </c:dLbls>
        <c:smooth val="0"/>
        <c:axId val="1769198335"/>
        <c:axId val="1769198815"/>
      </c:lineChart>
      <c:catAx>
        <c:axId val="176919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1769198815"/>
        <c:crosses val="autoZero"/>
        <c:auto val="1"/>
        <c:lblAlgn val="ctr"/>
        <c:lblOffset val="100"/>
        <c:noMultiLvlLbl val="0"/>
      </c:catAx>
      <c:valAx>
        <c:axId val="1769198815"/>
        <c:scaling>
          <c:orientation val="minMax"/>
        </c:scaling>
        <c:delete val="0"/>
        <c:axPos val="l"/>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176919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pivotFmt>
    </c:pivotFmts>
    <c:plotArea>
      <c:layout>
        <c:manualLayout>
          <c:layoutTarget val="inner"/>
          <c:xMode val="edge"/>
          <c:yMode val="edge"/>
          <c:x val="0.17727921877412381"/>
          <c:y val="0.13039934800325997"/>
          <c:w val="0.75283728320724619"/>
          <c:h val="0.72128551168267785"/>
        </c:manualLayout>
      </c:layout>
      <c:barChart>
        <c:barDir val="bar"/>
        <c:grouping val="clustered"/>
        <c:varyColors val="0"/>
        <c:ser>
          <c:idx val="0"/>
          <c:order val="0"/>
          <c:tx>
            <c:strRef>
              <c:f>Charts!$B$33</c:f>
              <c:strCache>
                <c:ptCount val="1"/>
                <c:pt idx="0">
                  <c:v>Total</c:v>
                </c:pt>
              </c:strCache>
            </c:strRef>
          </c:tx>
          <c:spPr>
            <a:solidFill>
              <a:schemeClr val="bg1">
                <a:lumMod val="95000"/>
              </a:schemeClr>
            </a:solidFill>
            <a:ln>
              <a:noFill/>
            </a:ln>
            <a:effectLst/>
          </c:spPr>
          <c:invertIfNegative val="0"/>
          <c:cat>
            <c:strRef>
              <c:f>Charts!$A$34:$A$39</c:f>
              <c:strCache>
                <c:ptCount val="5"/>
                <c:pt idx="0">
                  <c:v>South</c:v>
                </c:pt>
                <c:pt idx="1">
                  <c:v>Central</c:v>
                </c:pt>
                <c:pt idx="2">
                  <c:v>West</c:v>
                </c:pt>
                <c:pt idx="3">
                  <c:v>East</c:v>
                </c:pt>
                <c:pt idx="4">
                  <c:v>North</c:v>
                </c:pt>
              </c:strCache>
            </c:strRef>
          </c:cat>
          <c:val>
            <c:numRef>
              <c:f>Charts!$B$34:$B$39</c:f>
              <c:numCache>
                <c:formatCode>_("$"* #,##0.00_);_("$"* \(#,##0.00\);_("$"* "-"??_);_(@_)</c:formatCode>
                <c:ptCount val="5"/>
                <c:pt idx="0">
                  <c:v>827768.18699999992</c:v>
                </c:pt>
                <c:pt idx="1">
                  <c:v>847153.68450000032</c:v>
                </c:pt>
                <c:pt idx="2">
                  <c:v>853478.85900000017</c:v>
                </c:pt>
                <c:pt idx="3">
                  <c:v>883633.71800000104</c:v>
                </c:pt>
                <c:pt idx="4">
                  <c:v>967957.98000000068</c:v>
                </c:pt>
              </c:numCache>
            </c:numRef>
          </c:val>
          <c:extLst>
            <c:ext xmlns:c16="http://schemas.microsoft.com/office/drawing/2014/chart" uri="{C3380CC4-5D6E-409C-BE32-E72D297353CC}">
              <c16:uniqueId val="{00000000-2000-4C5B-8605-C8E5435A580A}"/>
            </c:ext>
          </c:extLst>
        </c:ser>
        <c:dLbls>
          <c:showLegendKey val="0"/>
          <c:showVal val="0"/>
          <c:showCatName val="0"/>
          <c:showSerName val="0"/>
          <c:showPercent val="0"/>
          <c:showBubbleSize val="0"/>
        </c:dLbls>
        <c:gapWidth val="168"/>
        <c:axId val="1770024943"/>
        <c:axId val="1770025903"/>
      </c:barChart>
      <c:catAx>
        <c:axId val="177002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bg1">
                    <a:lumMod val="95000"/>
                  </a:schemeClr>
                </a:solidFill>
                <a:latin typeface="Segoe UI Black" panose="020B0A02040204020203" pitchFamily="34" charset="0"/>
                <a:ea typeface="Segoe UI Black" panose="020B0A02040204020203" pitchFamily="34" charset="0"/>
                <a:cs typeface="+mn-cs"/>
              </a:defRPr>
            </a:pPr>
            <a:endParaRPr lang="en-US"/>
          </a:p>
        </c:txPr>
        <c:crossAx val="1770025903"/>
        <c:crosses val="autoZero"/>
        <c:auto val="1"/>
        <c:lblAlgn val="ctr"/>
        <c:lblOffset val="100"/>
        <c:noMultiLvlLbl val="0"/>
      </c:catAx>
      <c:valAx>
        <c:axId val="1770025903"/>
        <c:scaling>
          <c:orientation val="minMax"/>
        </c:scaling>
        <c:delete val="0"/>
        <c:axPos val="b"/>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17700249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Charts!$B$49</c:f>
              <c:strCache>
                <c:ptCount val="1"/>
                <c:pt idx="0">
                  <c:v>Total</c:v>
                </c:pt>
              </c:strCache>
            </c:strRef>
          </c:tx>
          <c:spPr>
            <a:solidFill>
              <a:schemeClr val="accent1">
                <a:lumMod val="20000"/>
                <a:lumOff val="80000"/>
              </a:schemeClr>
            </a:solidFill>
            <a:ln>
              <a:noFill/>
            </a:ln>
            <a:effectLst/>
          </c:spPr>
          <c:invertIfNegative val="0"/>
          <c:cat>
            <c:strRef>
              <c:f>Charts!$A$50:$A$57</c:f>
              <c:strCache>
                <c:ptCount val="7"/>
                <c:pt idx="0">
                  <c:v>Tablet</c:v>
                </c:pt>
                <c:pt idx="1">
                  <c:v>Laptop</c:v>
                </c:pt>
                <c:pt idx="2">
                  <c:v>Printer</c:v>
                </c:pt>
                <c:pt idx="3">
                  <c:v>Monitor</c:v>
                </c:pt>
                <c:pt idx="4">
                  <c:v>Chair</c:v>
                </c:pt>
                <c:pt idx="5">
                  <c:v>Desk</c:v>
                </c:pt>
                <c:pt idx="6">
                  <c:v>Phone</c:v>
                </c:pt>
              </c:strCache>
            </c:strRef>
          </c:cat>
          <c:val>
            <c:numRef>
              <c:f>Charts!$B$50:$B$57</c:f>
              <c:numCache>
                <c:formatCode>_("$"* #,##0.00_);_("$"* \(#,##0.00\);_("$"* "-"??_);_(@_)</c:formatCode>
                <c:ptCount val="7"/>
                <c:pt idx="0">
                  <c:v>236324.63750000016</c:v>
                </c:pt>
                <c:pt idx="1">
                  <c:v>235698.79550000004</c:v>
                </c:pt>
                <c:pt idx="2">
                  <c:v>232417.24950000003</c:v>
                </c:pt>
                <c:pt idx="3">
                  <c:v>223635.4425</c:v>
                </c:pt>
                <c:pt idx="4">
                  <c:v>215627.78600000014</c:v>
                </c:pt>
                <c:pt idx="5">
                  <c:v>188387.56050000008</c:v>
                </c:pt>
                <c:pt idx="6">
                  <c:v>169904.25300000006</c:v>
                </c:pt>
              </c:numCache>
            </c:numRef>
          </c:val>
          <c:extLst>
            <c:ext xmlns:c16="http://schemas.microsoft.com/office/drawing/2014/chart" uri="{C3380CC4-5D6E-409C-BE32-E72D297353CC}">
              <c16:uniqueId val="{00000000-969A-4CE7-9DFF-CE8B8E5B1FF9}"/>
            </c:ext>
          </c:extLst>
        </c:ser>
        <c:dLbls>
          <c:showLegendKey val="0"/>
          <c:showVal val="0"/>
          <c:showCatName val="0"/>
          <c:showSerName val="0"/>
          <c:showPercent val="0"/>
          <c:showBubbleSize val="0"/>
        </c:dLbls>
        <c:gapWidth val="219"/>
        <c:overlap val="-27"/>
        <c:axId val="1329190720"/>
        <c:axId val="1329191200"/>
      </c:barChart>
      <c:catAx>
        <c:axId val="132919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bg1">
                    <a:lumMod val="95000"/>
                  </a:schemeClr>
                </a:solidFill>
                <a:latin typeface="Segoe UI Black" panose="020B0A02040204020203" pitchFamily="34" charset="0"/>
                <a:ea typeface="Segoe UI Black" panose="020B0A02040204020203" pitchFamily="34" charset="0"/>
                <a:cs typeface="+mn-cs"/>
              </a:defRPr>
            </a:pPr>
            <a:endParaRPr lang="en-US"/>
          </a:p>
        </c:txPr>
        <c:crossAx val="1329191200"/>
        <c:crosses val="autoZero"/>
        <c:auto val="1"/>
        <c:lblAlgn val="ctr"/>
        <c:lblOffset val="100"/>
        <c:noMultiLvlLbl val="0"/>
      </c:catAx>
      <c:valAx>
        <c:axId val="1329191200"/>
        <c:scaling>
          <c:orientation val="minMax"/>
        </c:scaling>
        <c:delete val="0"/>
        <c:axPos val="l"/>
        <c:majorGridlines>
          <c:spPr>
            <a:ln w="9525" cap="flat" cmpd="sng" algn="ctr">
              <a:solidFill>
                <a:schemeClr val="accent1">
                  <a:lumMod val="60000"/>
                  <a:lumOff val="4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baseline="0">
                <a:solidFill>
                  <a:schemeClr val="bg1">
                    <a:lumMod val="95000"/>
                  </a:schemeClr>
                </a:solidFill>
                <a:latin typeface="Segoe UI Black" panose="020B0A02040204020203" pitchFamily="34" charset="0"/>
                <a:ea typeface="Segoe UI Black" panose="020B0A02040204020203" pitchFamily="34" charset="0"/>
                <a:cs typeface="+mn-cs"/>
              </a:defRPr>
            </a:pPr>
            <a:endParaRPr lang="en-US"/>
          </a:p>
        </c:txPr>
        <c:crossAx val="132919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[Product-Sales-Region.xlsx]CustomerPromotion!PivotTable6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9285714285714288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11904761904760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11904761904760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9285714285714288E-2"/>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lumMod val="20000"/>
              <a:lumOff val="80000"/>
            </a:schemeClr>
          </a:solidFill>
          <a:ln w="19050">
            <a:noFill/>
          </a:ln>
          <a:effectLst/>
        </c:spPr>
        <c:marker>
          <c:symbol val="none"/>
        </c:marker>
        <c:dLbl>
          <c:idx val="0"/>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20000"/>
              <a:lumOff val="80000"/>
            </a:schemeClr>
          </a:solidFill>
          <a:ln w="19050">
            <a:noFill/>
          </a:ln>
          <a:effectLst/>
        </c:spPr>
        <c:dLbl>
          <c:idx val="0"/>
          <c:layout>
            <c:manualLayout>
              <c:x val="-1.8262835442507473E-3"/>
              <c:y val="-9.6754689771961069E-2"/>
            </c:manualLayout>
          </c:layout>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60000"/>
              <a:lumOff val="40000"/>
            </a:schemeClr>
          </a:solidFill>
          <a:ln w="19050">
            <a:noFill/>
          </a:ln>
          <a:effectLst/>
        </c:spPr>
        <c:dLbl>
          <c:idx val="0"/>
          <c:layout>
            <c:manualLayout>
              <c:x val="3.3046657345134296E-2"/>
              <c:y val="-0.18511510392921307"/>
            </c:manualLayout>
          </c:layout>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CustomerPromotion!$B$3</c:f>
              <c:strCache>
                <c:ptCount val="1"/>
                <c:pt idx="0">
                  <c:v>Total</c:v>
                </c:pt>
              </c:strCache>
            </c:strRef>
          </c:tx>
          <c:spPr>
            <a:solidFill>
              <a:schemeClr val="accent1">
                <a:lumMod val="20000"/>
                <a:lumOff val="80000"/>
              </a:schemeClr>
            </a:solidFill>
            <a:ln>
              <a:noFill/>
            </a:ln>
          </c:spPr>
          <c:dPt>
            <c:idx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1-7FF2-460B-A697-20CF5985A5B0}"/>
              </c:ext>
            </c:extLst>
          </c:dPt>
          <c:dPt>
            <c:idx val="1"/>
            <c:bubble3D val="0"/>
            <c:spPr>
              <a:solidFill>
                <a:schemeClr val="accent6">
                  <a:lumMod val="60000"/>
                  <a:lumOff val="40000"/>
                </a:schemeClr>
              </a:solidFill>
              <a:ln w="19050">
                <a:noFill/>
              </a:ln>
              <a:effectLst/>
            </c:spPr>
            <c:extLst>
              <c:ext xmlns:c16="http://schemas.microsoft.com/office/drawing/2014/chart" uri="{C3380CC4-5D6E-409C-BE32-E72D297353CC}">
                <c16:uniqueId val="{00000003-7FF2-460B-A697-20CF5985A5B0}"/>
              </c:ext>
            </c:extLst>
          </c:dPt>
          <c:dLbls>
            <c:dLbl>
              <c:idx val="0"/>
              <c:layout>
                <c:manualLayout>
                  <c:x val="-1.8262835442507473E-3"/>
                  <c:y val="-9.67546897719610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F2-460B-A697-20CF5985A5B0}"/>
                </c:ext>
              </c:extLst>
            </c:dLbl>
            <c:dLbl>
              <c:idx val="1"/>
              <c:layout>
                <c:manualLayout>
                  <c:x val="3.3046657345134296E-2"/>
                  <c:y val="-0.1851151039292130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F2-460B-A697-20CF5985A5B0}"/>
                </c:ext>
              </c:extLst>
            </c:dLbl>
            <c:spPr>
              <a:solidFill>
                <a:schemeClr val="tx2">
                  <a:lumMod val="5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CustomerPromotion!$A$4:$A$6</c:f>
              <c:strCache>
                <c:ptCount val="2"/>
                <c:pt idx="0">
                  <c:v>Retail</c:v>
                </c:pt>
                <c:pt idx="1">
                  <c:v>Wholesale</c:v>
                </c:pt>
              </c:strCache>
            </c:strRef>
          </c:cat>
          <c:val>
            <c:numRef>
              <c:f>CustomerPromotion!$B$4:$B$6</c:f>
              <c:numCache>
                <c:formatCode>_("$"* #,##0.00_);_("$"* \(#,##0.00\);_("$"* "-"??_);_(@_)</c:formatCode>
                <c:ptCount val="2"/>
                <c:pt idx="0">
                  <c:v>2195525.5929999994</c:v>
                </c:pt>
                <c:pt idx="1">
                  <c:v>2184466.8355000019</c:v>
                </c:pt>
              </c:numCache>
            </c:numRef>
          </c:val>
          <c:extLst>
            <c:ext xmlns:c16="http://schemas.microsoft.com/office/drawing/2014/chart" uri="{C3380CC4-5D6E-409C-BE32-E72D297353CC}">
              <c16:uniqueId val="{00000004-7FF2-460B-A697-20CF5985A5B0}"/>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[Product-Sales-Region.xlsx]CustomerPromotion!PivotTable7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lumMod val="9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CustomerPromotion!$B$8</c:f>
              <c:strCache>
                <c:ptCount val="1"/>
                <c:pt idx="0">
                  <c:v>Total</c:v>
                </c:pt>
              </c:strCache>
            </c:strRef>
          </c:tx>
          <c:spPr>
            <a:solidFill>
              <a:schemeClr val="accent1">
                <a:lumMod val="20000"/>
                <a:lumOff val="80000"/>
              </a:schemeClr>
            </a:solidFill>
            <a:ln>
              <a:noFill/>
            </a:ln>
            <a:effectLst/>
          </c:spPr>
          <c:invertIfNegative val="0"/>
          <c:cat>
            <c:strRef>
              <c:f>CustomerPromotion!$A$9:$A$15</c:f>
              <c:strCache>
                <c:ptCount val="6"/>
                <c:pt idx="0">
                  <c:v>Diana</c:v>
                </c:pt>
                <c:pt idx="1">
                  <c:v>Eva</c:v>
                </c:pt>
                <c:pt idx="2">
                  <c:v>Carlos</c:v>
                </c:pt>
                <c:pt idx="3">
                  <c:v>Frank</c:v>
                </c:pt>
                <c:pt idx="4">
                  <c:v>Alice</c:v>
                </c:pt>
                <c:pt idx="5">
                  <c:v>Bob</c:v>
                </c:pt>
              </c:strCache>
            </c:strRef>
          </c:cat>
          <c:val>
            <c:numRef>
              <c:f>CustomerPromotion!$B$9:$B$15</c:f>
              <c:numCache>
                <c:formatCode>_("$"* #,##0.00_);_("$"* \(#,##0.00\);_("$"* "-"??_);_(@_)</c:formatCode>
                <c:ptCount val="6"/>
                <c:pt idx="0">
                  <c:v>676568.2495000005</c:v>
                </c:pt>
                <c:pt idx="1">
                  <c:v>698669.57950000011</c:v>
                </c:pt>
                <c:pt idx="2">
                  <c:v>707166.7160000006</c:v>
                </c:pt>
                <c:pt idx="3">
                  <c:v>714641.52200000035</c:v>
                </c:pt>
                <c:pt idx="4">
                  <c:v>786165.8400000002</c:v>
                </c:pt>
                <c:pt idx="5">
                  <c:v>796780.52149999957</c:v>
                </c:pt>
              </c:numCache>
            </c:numRef>
          </c:val>
          <c:extLst>
            <c:ext xmlns:c16="http://schemas.microsoft.com/office/drawing/2014/chart" uri="{C3380CC4-5D6E-409C-BE32-E72D297353CC}">
              <c16:uniqueId val="{00000000-E809-4017-B3F4-6E17857B3263}"/>
            </c:ext>
          </c:extLst>
        </c:ser>
        <c:dLbls>
          <c:showLegendKey val="0"/>
          <c:showVal val="0"/>
          <c:showCatName val="0"/>
          <c:showSerName val="0"/>
          <c:showPercent val="0"/>
          <c:showBubbleSize val="0"/>
        </c:dLbls>
        <c:gapWidth val="182"/>
        <c:axId val="1246088111"/>
        <c:axId val="1246087151"/>
      </c:barChart>
      <c:catAx>
        <c:axId val="124608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bg1">
                    <a:lumMod val="95000"/>
                  </a:schemeClr>
                </a:solidFill>
                <a:latin typeface="Segoe UI Black" panose="020B0A02040204020203" pitchFamily="34" charset="0"/>
                <a:ea typeface="Segoe UI Black" panose="020B0A02040204020203" pitchFamily="34" charset="0"/>
                <a:cs typeface="+mn-cs"/>
              </a:defRPr>
            </a:pPr>
            <a:endParaRPr lang="en-US"/>
          </a:p>
        </c:txPr>
        <c:crossAx val="1246087151"/>
        <c:crosses val="autoZero"/>
        <c:auto val="1"/>
        <c:lblAlgn val="ctr"/>
        <c:lblOffset val="100"/>
        <c:noMultiLvlLbl val="0"/>
      </c:catAx>
      <c:valAx>
        <c:axId val="1246087151"/>
        <c:scaling>
          <c:orientation val="minMax"/>
        </c:scaling>
        <c:delete val="0"/>
        <c:axPos val="b"/>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bg1">
                    <a:lumMod val="95000"/>
                  </a:schemeClr>
                </a:solidFill>
                <a:latin typeface="Segoe UI Black" panose="020B0A02040204020203" pitchFamily="34" charset="0"/>
                <a:ea typeface="Segoe UI Black" panose="020B0A02040204020203" pitchFamily="34" charset="0"/>
                <a:cs typeface="+mn-cs"/>
              </a:defRPr>
            </a:pPr>
            <a:endParaRPr lang="en-US"/>
          </a:p>
        </c:txPr>
        <c:crossAx val="124608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200" b="0" i="0" u="none" strike="noStrike" kern="1200" baseline="0">
          <a:solidFill>
            <a:schemeClr val="bg1">
              <a:lumMod val="95000"/>
            </a:schemeClr>
          </a:solidFill>
          <a:latin typeface="Segoe UI Black" panose="020B0A02040204020203" pitchFamily="34" charset="0"/>
          <a:ea typeface="Segoe UI Black" panose="020B0A02040204020203" pitchFamily="34" charset="0"/>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670560</xdr:colOff>
      <xdr:row>0</xdr:row>
      <xdr:rowOff>148590</xdr:rowOff>
    </xdr:from>
    <xdr:to>
      <xdr:col>10</xdr:col>
      <xdr:colOff>7620</xdr:colOff>
      <xdr:row>13</xdr:row>
      <xdr:rowOff>148590</xdr:rowOff>
    </xdr:to>
    <xdr:graphicFrame macro="">
      <xdr:nvGraphicFramePr>
        <xdr:cNvPr id="2" name="Chart 1">
          <a:extLst>
            <a:ext uri="{FF2B5EF4-FFF2-40B4-BE49-F238E27FC236}">
              <a16:creationId xmlns:a16="http://schemas.microsoft.com/office/drawing/2014/main" id="{50D3988C-21ED-1AA1-58AC-2BF2BF576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693420</xdr:colOff>
      <xdr:row>18</xdr:row>
      <xdr:rowOff>80010</xdr:rowOff>
    </xdr:from>
    <xdr:to>
      <xdr:col>10</xdr:col>
      <xdr:colOff>167640</xdr:colOff>
      <xdr:row>28</xdr:row>
      <xdr:rowOff>45720</xdr:rowOff>
    </xdr:to>
    <xdr:graphicFrame macro="">
      <xdr:nvGraphicFramePr>
        <xdr:cNvPr id="5" name="Chart 4">
          <a:extLst>
            <a:ext uri="{FF2B5EF4-FFF2-40B4-BE49-F238E27FC236}">
              <a16:creationId xmlns:a16="http://schemas.microsoft.com/office/drawing/2014/main" id="{D1E086A2-D1AC-39BB-E6D8-6896383C3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30</xdr:row>
      <xdr:rowOff>102870</xdr:rowOff>
    </xdr:from>
    <xdr:to>
      <xdr:col>11</xdr:col>
      <xdr:colOff>563880</xdr:colOff>
      <xdr:row>39</xdr:row>
      <xdr:rowOff>15240</xdr:rowOff>
    </xdr:to>
    <xdr:graphicFrame macro="">
      <xdr:nvGraphicFramePr>
        <xdr:cNvPr id="6" name="Chart 5">
          <a:extLst>
            <a:ext uri="{FF2B5EF4-FFF2-40B4-BE49-F238E27FC236}">
              <a16:creationId xmlns:a16="http://schemas.microsoft.com/office/drawing/2014/main" id="{5105CC33-5B5B-177B-341C-F7B044D87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335280</xdr:colOff>
      <xdr:row>48</xdr:row>
      <xdr:rowOff>99060</xdr:rowOff>
    </xdr:from>
    <xdr:to>
      <xdr:col>10</xdr:col>
      <xdr:colOff>320040</xdr:colOff>
      <xdr:row>57</xdr:row>
      <xdr:rowOff>171450</xdr:rowOff>
    </xdr:to>
    <xdr:graphicFrame macro="">
      <xdr:nvGraphicFramePr>
        <xdr:cNvPr id="3" name="Chart 2">
          <a:extLst>
            <a:ext uri="{FF2B5EF4-FFF2-40B4-BE49-F238E27FC236}">
              <a16:creationId xmlns:a16="http://schemas.microsoft.com/office/drawing/2014/main" id="{3A7845D3-34D1-89BC-6CB2-A8B2D39D3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373380</xdr:colOff>
      <xdr:row>58</xdr:row>
      <xdr:rowOff>171450</xdr:rowOff>
    </xdr:from>
    <xdr:to>
      <xdr:col>13</xdr:col>
      <xdr:colOff>419100</xdr:colOff>
      <xdr:row>73</xdr:row>
      <xdr:rowOff>171450</xdr:rowOff>
    </xdr:to>
    <xdr:graphicFrame macro="">
      <xdr:nvGraphicFramePr>
        <xdr:cNvPr id="4" name="Chart 3">
          <a:extLst>
            <a:ext uri="{FF2B5EF4-FFF2-40B4-BE49-F238E27FC236}">
              <a16:creationId xmlns:a16="http://schemas.microsoft.com/office/drawing/2014/main" id="{663E5CB4-1913-2B86-19C9-1D6D419BB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327660</xdr:colOff>
      <xdr:row>1</xdr:row>
      <xdr:rowOff>0</xdr:rowOff>
    </xdr:from>
    <xdr:to>
      <xdr:col>10</xdr:col>
      <xdr:colOff>0</xdr:colOff>
      <xdr:row>11</xdr:row>
      <xdr:rowOff>160020</xdr:rowOff>
    </xdr:to>
    <xdr:graphicFrame macro="">
      <xdr:nvGraphicFramePr>
        <xdr:cNvPr id="4" name="Sales by Customer Type">
          <a:extLst>
            <a:ext uri="{FF2B5EF4-FFF2-40B4-BE49-F238E27FC236}">
              <a16:creationId xmlns:a16="http://schemas.microsoft.com/office/drawing/2014/main" id="{EB4B385D-C8D3-9510-0F5D-7DA3D0EC7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457200</xdr:colOff>
      <xdr:row>2</xdr:row>
      <xdr:rowOff>175260</xdr:rowOff>
    </xdr:from>
    <xdr:to>
      <xdr:col>9</xdr:col>
      <xdr:colOff>457200</xdr:colOff>
      <xdr:row>16</xdr:row>
      <xdr:rowOff>81915</xdr:rowOff>
    </xdr:to>
    <mc:AlternateContent xmlns:mc="http://schemas.openxmlformats.org/markup-compatibility/2006" xmlns:a14="http://schemas.microsoft.com/office/drawing/2010/main">
      <mc:Choice Requires="a14">
        <xdr:graphicFrame macro="">
          <xdr:nvGraphicFramePr>
            <xdr:cNvPr id="6" name="OrderMonth">
              <a:extLst>
                <a:ext uri="{FF2B5EF4-FFF2-40B4-BE49-F238E27FC236}">
                  <a16:creationId xmlns:a16="http://schemas.microsoft.com/office/drawing/2014/main" id="{9B8B8296-A121-FE7C-1BF0-2ED696ECACE2}"/>
                </a:ext>
              </a:extLst>
            </xdr:cNvPr>
            <xdr:cNvGraphicFramePr/>
          </xdr:nvGraphicFramePr>
          <xdr:xfrm>
            <a:off x="0" y="0"/>
            <a:ext cx="0" cy="0"/>
          </xdr:xfrm>
          <a:graphic>
            <a:graphicData uri="http://schemas.microsoft.com/office/drawing/2010/slicer">
              <sle:slicer xmlns:sle="http://schemas.microsoft.com/office/drawing/2010/slicer" name="OrderMonth"/>
            </a:graphicData>
          </a:graphic>
        </xdr:graphicFrame>
      </mc:Choice>
      <mc:Fallback xmlns="">
        <xdr:sp macro="" textlink="">
          <xdr:nvSpPr>
            <xdr:cNvPr id="0" name=""/>
            <xdr:cNvSpPr>
              <a:spLocks noTextEdit="1"/>
            </xdr:cNvSpPr>
          </xdr:nvSpPr>
          <xdr:spPr>
            <a:xfrm>
              <a:off x="5433060" y="541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327660</xdr:colOff>
      <xdr:row>5</xdr:row>
      <xdr:rowOff>106680</xdr:rowOff>
    </xdr:from>
    <xdr:to>
      <xdr:col>10</xdr:col>
      <xdr:colOff>327660</xdr:colOff>
      <xdr:row>19</xdr:row>
      <xdr:rowOff>13335</xdr:rowOff>
    </xdr:to>
    <mc:AlternateContent xmlns:mc="http://schemas.openxmlformats.org/markup-compatibility/2006" xmlns:a14="http://schemas.microsoft.com/office/drawing/2010/main">
      <mc:Choice Requires="a14">
        <xdr:graphicFrame macro="">
          <xdr:nvGraphicFramePr>
            <xdr:cNvPr id="7" name="OrderYear">
              <a:extLst>
                <a:ext uri="{FF2B5EF4-FFF2-40B4-BE49-F238E27FC236}">
                  <a16:creationId xmlns:a16="http://schemas.microsoft.com/office/drawing/2014/main" id="{D29E26C7-B9F4-2D48-7B88-44F459B2C112}"/>
                </a:ext>
              </a:extLst>
            </xdr:cNvPr>
            <xdr:cNvGraphicFramePr/>
          </xdr:nvGraphicFramePr>
          <xdr:xfrm>
            <a:off x="0" y="0"/>
            <a:ext cx="0" cy="0"/>
          </xdr:xfrm>
          <a:graphic>
            <a:graphicData uri="http://schemas.microsoft.com/office/drawing/2010/slicer">
              <sle:slicer xmlns:sle="http://schemas.microsoft.com/office/drawing/2010/slicer" name="OrderYear"/>
            </a:graphicData>
          </a:graphic>
        </xdr:graphicFrame>
      </mc:Choice>
      <mc:Fallback xmlns="">
        <xdr:sp macro="" textlink="">
          <xdr:nvSpPr>
            <xdr:cNvPr id="0" name=""/>
            <xdr:cNvSpPr>
              <a:spLocks noTextEdit="1"/>
            </xdr:cNvSpPr>
          </xdr:nvSpPr>
          <xdr:spPr>
            <a:xfrm>
              <a:off x="5913120" y="1021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198120</xdr:colOff>
      <xdr:row>8</xdr:row>
      <xdr:rowOff>38100</xdr:rowOff>
    </xdr:from>
    <xdr:to>
      <xdr:col>11</xdr:col>
      <xdr:colOff>198120</xdr:colOff>
      <xdr:row>21</xdr:row>
      <xdr:rowOff>127635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DF2B5A6-8527-4908-BF49-7D32BBC154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93180" y="1501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68580</xdr:colOff>
      <xdr:row>10</xdr:row>
      <xdr:rowOff>152400</xdr:rowOff>
    </xdr:from>
    <xdr:to>
      <xdr:col>12</xdr:col>
      <xdr:colOff>68580</xdr:colOff>
      <xdr:row>24</xdr:row>
      <xdr:rowOff>59055</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FF6590BB-E11A-858C-AEDB-F75D9040421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873240" y="1981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548640</xdr:colOff>
      <xdr:row>13</xdr:row>
      <xdr:rowOff>83820</xdr:rowOff>
    </xdr:from>
    <xdr:to>
      <xdr:col>12</xdr:col>
      <xdr:colOff>548640</xdr:colOff>
      <xdr:row>26</xdr:row>
      <xdr:rowOff>173355</xdr:rowOff>
    </xdr:to>
    <mc:AlternateContent xmlns:mc="http://schemas.openxmlformats.org/markup-compatibility/2006" xmlns:a14="http://schemas.microsoft.com/office/drawing/2010/main">
      <mc:Choice Requires="a14">
        <xdr:graphicFrame macro="">
          <xdr:nvGraphicFramePr>
            <xdr:cNvPr id="10" name="CustomerType">
              <a:extLst>
                <a:ext uri="{FF2B5EF4-FFF2-40B4-BE49-F238E27FC236}">
                  <a16:creationId xmlns:a16="http://schemas.microsoft.com/office/drawing/2014/main" id="{74766638-F5AD-3661-5058-33F4C71D6745}"/>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7353300" y="2461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16</xdr:row>
      <xdr:rowOff>15240</xdr:rowOff>
    </xdr:from>
    <xdr:to>
      <xdr:col>13</xdr:col>
      <xdr:colOff>419100</xdr:colOff>
      <xdr:row>29</xdr:row>
      <xdr:rowOff>104775</xdr:rowOff>
    </xdr:to>
    <mc:AlternateContent xmlns:mc="http://schemas.openxmlformats.org/markup-compatibility/2006" xmlns:a14="http://schemas.microsoft.com/office/drawing/2010/main">
      <mc:Choice Requires="a14">
        <xdr:graphicFrame macro="">
          <xdr:nvGraphicFramePr>
            <xdr:cNvPr id="11" name="Salesperson">
              <a:extLst>
                <a:ext uri="{FF2B5EF4-FFF2-40B4-BE49-F238E27FC236}">
                  <a16:creationId xmlns:a16="http://schemas.microsoft.com/office/drawing/2014/main" id="{82D8B04F-0BCC-42C4-3961-C73D2155EF4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833360" y="2941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297180</xdr:colOff>
      <xdr:row>8</xdr:row>
      <xdr:rowOff>133350</xdr:rowOff>
    </xdr:from>
    <xdr:to>
      <xdr:col>10</xdr:col>
      <xdr:colOff>601980</xdr:colOff>
      <xdr:row>23</xdr:row>
      <xdr:rowOff>133350</xdr:rowOff>
    </xdr:to>
    <xdr:graphicFrame macro="">
      <xdr:nvGraphicFramePr>
        <xdr:cNvPr id="2" name="Chart 1">
          <a:extLst>
            <a:ext uri="{FF2B5EF4-FFF2-40B4-BE49-F238E27FC236}">
              <a16:creationId xmlns:a16="http://schemas.microsoft.com/office/drawing/2014/main" id="{985DA1C7-7B1F-FC21-AB23-F4E3A56B1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381000</xdr:colOff>
      <xdr:row>12</xdr:row>
      <xdr:rowOff>1</xdr:rowOff>
    </xdr:from>
    <xdr:to>
      <xdr:col>29</xdr:col>
      <xdr:colOff>158749</xdr:colOff>
      <xdr:row>27</xdr:row>
      <xdr:rowOff>169334</xdr:rowOff>
    </xdr:to>
    <xdr:sp macro="" textlink="">
      <xdr:nvSpPr>
        <xdr:cNvPr id="8" name="Rectangle: Rounded Corners 7">
          <a:extLst>
            <a:ext uri="{FF2B5EF4-FFF2-40B4-BE49-F238E27FC236}">
              <a16:creationId xmlns:a16="http://schemas.microsoft.com/office/drawing/2014/main" id="{E3B88D26-856A-65EE-66F6-DF1A67B2BFBA}"/>
            </a:ext>
          </a:extLst>
        </xdr:cNvPr>
        <xdr:cNvSpPr/>
      </xdr:nvSpPr>
      <xdr:spPr>
        <a:xfrm>
          <a:off x="8921750" y="2286001"/>
          <a:ext cx="8826499" cy="3042708"/>
        </a:xfrm>
        <a:prstGeom prst="roundRect">
          <a:avLst>
            <a:gd name="adj" fmla="val 68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140335</xdr:colOff>
      <xdr:row>0</xdr:row>
      <xdr:rowOff>39134</xdr:rowOff>
    </xdr:from>
    <xdr:to>
      <xdr:col>29</xdr:col>
      <xdr:colOff>158750</xdr:colOff>
      <xdr:row>5</xdr:row>
      <xdr:rowOff>127000</xdr:rowOff>
    </xdr:to>
    <xdr:sp macro="" textlink="">
      <xdr:nvSpPr>
        <xdr:cNvPr id="4" name="Rectangle: Rounded Corners 3">
          <a:extLst>
            <a:ext uri="{FF2B5EF4-FFF2-40B4-BE49-F238E27FC236}">
              <a16:creationId xmlns:a16="http://schemas.microsoft.com/office/drawing/2014/main" id="{4A216A15-40D2-8244-989F-A86F77BC89E1}"/>
            </a:ext>
          </a:extLst>
        </xdr:cNvPr>
        <xdr:cNvSpPr/>
      </xdr:nvSpPr>
      <xdr:spPr>
        <a:xfrm>
          <a:off x="140335" y="39134"/>
          <a:ext cx="17607915" cy="1040366"/>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316789</xdr:colOff>
      <xdr:row>0</xdr:row>
      <xdr:rowOff>79374</xdr:rowOff>
    </xdr:from>
    <xdr:to>
      <xdr:col>28</xdr:col>
      <xdr:colOff>444501</xdr:colOff>
      <xdr:row>5</xdr:row>
      <xdr:rowOff>47625</xdr:rowOff>
    </xdr:to>
    <xdr:sp macro="" textlink="">
      <xdr:nvSpPr>
        <xdr:cNvPr id="5" name="TextBox 4">
          <a:extLst>
            <a:ext uri="{FF2B5EF4-FFF2-40B4-BE49-F238E27FC236}">
              <a16:creationId xmlns:a16="http://schemas.microsoft.com/office/drawing/2014/main" id="{0ED8E5B1-FAD6-BCE6-756F-1C2D0F30A78F}"/>
            </a:ext>
          </a:extLst>
        </xdr:cNvPr>
        <xdr:cNvSpPr txBox="1"/>
      </xdr:nvSpPr>
      <xdr:spPr>
        <a:xfrm>
          <a:off x="316789" y="79374"/>
          <a:ext cx="17113962" cy="920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Segoe UI" panose="020B0502040204020203" pitchFamily="34" charset="0"/>
              <a:ea typeface="Segoe UI Black" panose="020B0A02040204020203" pitchFamily="34" charset="0"/>
              <a:cs typeface="Segoe UI" panose="020B0502040204020203" pitchFamily="34" charset="0"/>
            </a:rPr>
            <a:t>   SALES</a:t>
          </a:r>
          <a:r>
            <a:rPr lang="en-US" sz="2000" b="1"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AND PROFIT DASHBOARD	</a:t>
          </a:r>
        </a:p>
        <a:p>
          <a:pPr algn="ctr"/>
          <a:r>
            <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UrbanTrend Retail – Performance Overview</a:t>
          </a:r>
        </a:p>
      </xdr:txBody>
    </xdr:sp>
    <xdr:clientData/>
  </xdr:twoCellAnchor>
  <xdr:twoCellAnchor>
    <xdr:from>
      <xdr:col>0</xdr:col>
      <xdr:colOff>88603</xdr:colOff>
      <xdr:row>6</xdr:row>
      <xdr:rowOff>-1</xdr:rowOff>
    </xdr:from>
    <xdr:to>
      <xdr:col>4</xdr:col>
      <xdr:colOff>426192</xdr:colOff>
      <xdr:row>11</xdr:row>
      <xdr:rowOff>122774</xdr:rowOff>
    </xdr:to>
    <xdr:sp macro="" textlink="">
      <xdr:nvSpPr>
        <xdr:cNvPr id="6" name="Rectangle: Rounded Corners 5">
          <a:extLst>
            <a:ext uri="{FF2B5EF4-FFF2-40B4-BE49-F238E27FC236}">
              <a16:creationId xmlns:a16="http://schemas.microsoft.com/office/drawing/2014/main" id="{F9E54F57-80B5-35A0-9426-7FA6A84B499A}"/>
            </a:ext>
          </a:extLst>
        </xdr:cNvPr>
        <xdr:cNvSpPr/>
      </xdr:nvSpPr>
      <xdr:spPr>
        <a:xfrm>
          <a:off x="88603" y="1142999"/>
          <a:ext cx="2845839" cy="10752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349691</xdr:colOff>
      <xdr:row>6</xdr:row>
      <xdr:rowOff>34158</xdr:rowOff>
    </xdr:from>
    <xdr:to>
      <xdr:col>4</xdr:col>
      <xdr:colOff>260838</xdr:colOff>
      <xdr:row>8</xdr:row>
      <xdr:rowOff>106014</xdr:rowOff>
    </xdr:to>
    <xdr:sp macro="" textlink="KPI!A6">
      <xdr:nvSpPr>
        <xdr:cNvPr id="13" name="TextBox 12">
          <a:extLst>
            <a:ext uri="{FF2B5EF4-FFF2-40B4-BE49-F238E27FC236}">
              <a16:creationId xmlns:a16="http://schemas.microsoft.com/office/drawing/2014/main" id="{5DB1C1DB-E7D7-38B5-232A-43519C9F0709}"/>
            </a:ext>
          </a:extLst>
        </xdr:cNvPr>
        <xdr:cNvSpPr txBox="1"/>
      </xdr:nvSpPr>
      <xdr:spPr>
        <a:xfrm>
          <a:off x="349691" y="1177158"/>
          <a:ext cx="2419397" cy="45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E6F319-BD49-4396-93CA-674F3BAB0F83}" type="TxLink">
            <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pPr marL="0" indent="0" algn="ctr"/>
            <a:t> $4,379,992.43 </a:t>
          </a:fld>
          <a:endPar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0</xdr:col>
      <xdr:colOff>332285</xdr:colOff>
      <xdr:row>8</xdr:row>
      <xdr:rowOff>51672</xdr:rowOff>
    </xdr:from>
    <xdr:to>
      <xdr:col>4</xdr:col>
      <xdr:colOff>278243</xdr:colOff>
      <xdr:row>10</xdr:row>
      <xdr:rowOff>179308</xdr:rowOff>
    </xdr:to>
    <xdr:sp macro="" textlink="">
      <xdr:nvSpPr>
        <xdr:cNvPr id="15" name="TextBox 14">
          <a:extLst>
            <a:ext uri="{FF2B5EF4-FFF2-40B4-BE49-F238E27FC236}">
              <a16:creationId xmlns:a16="http://schemas.microsoft.com/office/drawing/2014/main" id="{AAC595B6-F95E-8335-D673-615B5FA0F130}"/>
            </a:ext>
          </a:extLst>
        </xdr:cNvPr>
        <xdr:cNvSpPr txBox="1"/>
      </xdr:nvSpPr>
      <xdr:spPr>
        <a:xfrm>
          <a:off x="332285" y="1575672"/>
          <a:ext cx="2454208" cy="508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Total</a:t>
          </a:r>
          <a:r>
            <a:rPr lang="en-US" sz="1800" b="1" baseline="0">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 Sales</a:t>
          </a:r>
          <a:endPar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534505</xdr:colOff>
      <xdr:row>5</xdr:row>
      <xdr:rowOff>174625</xdr:rowOff>
    </xdr:from>
    <xdr:to>
      <xdr:col>9</xdr:col>
      <xdr:colOff>364094</xdr:colOff>
      <xdr:row>11</xdr:row>
      <xdr:rowOff>122775</xdr:rowOff>
    </xdr:to>
    <xdr:sp macro="" textlink="">
      <xdr:nvSpPr>
        <xdr:cNvPr id="18" name="Rectangle: Rounded Corners 17">
          <a:extLst>
            <a:ext uri="{FF2B5EF4-FFF2-40B4-BE49-F238E27FC236}">
              <a16:creationId xmlns:a16="http://schemas.microsoft.com/office/drawing/2014/main" id="{19B7537C-3A0D-DEE6-860B-C3B8B1C0A8D8}"/>
            </a:ext>
          </a:extLst>
        </xdr:cNvPr>
        <xdr:cNvSpPr/>
      </xdr:nvSpPr>
      <xdr:spPr>
        <a:xfrm>
          <a:off x="3042755" y="1127125"/>
          <a:ext cx="2845839" cy="109115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168882</xdr:colOff>
      <xdr:row>6</xdr:row>
      <xdr:rowOff>34158</xdr:rowOff>
    </xdr:from>
    <xdr:to>
      <xdr:col>9</xdr:col>
      <xdr:colOff>175279</xdr:colOff>
      <xdr:row>8</xdr:row>
      <xdr:rowOff>106014</xdr:rowOff>
    </xdr:to>
    <xdr:sp macro="" textlink="KPI!B6">
      <xdr:nvSpPr>
        <xdr:cNvPr id="19" name="TextBox 18">
          <a:extLst>
            <a:ext uri="{FF2B5EF4-FFF2-40B4-BE49-F238E27FC236}">
              <a16:creationId xmlns:a16="http://schemas.microsoft.com/office/drawing/2014/main" id="{24052DFB-DB71-F570-FCD3-54C212E04547}"/>
            </a:ext>
          </a:extLst>
        </xdr:cNvPr>
        <xdr:cNvSpPr txBox="1"/>
      </xdr:nvSpPr>
      <xdr:spPr>
        <a:xfrm>
          <a:off x="3280382" y="1177158"/>
          <a:ext cx="2419397" cy="45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A6ADA3-54CC-4C01-A242-476CF0F5F8A7}" type="TxLink">
            <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pPr marL="0" indent="0" algn="ctr"/>
            <a:t> $1,501,995.72 </a:t>
          </a:fld>
          <a:endPar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5</xdr:col>
      <xdr:colOff>153651</xdr:colOff>
      <xdr:row>8</xdr:row>
      <xdr:rowOff>60729</xdr:rowOff>
    </xdr:from>
    <xdr:to>
      <xdr:col>9</xdr:col>
      <xdr:colOff>194859</xdr:colOff>
      <xdr:row>11</xdr:row>
      <xdr:rowOff>5485</xdr:rowOff>
    </xdr:to>
    <xdr:sp macro="" textlink="">
      <xdr:nvSpPr>
        <xdr:cNvPr id="20" name="TextBox 19">
          <a:extLst>
            <a:ext uri="{FF2B5EF4-FFF2-40B4-BE49-F238E27FC236}">
              <a16:creationId xmlns:a16="http://schemas.microsoft.com/office/drawing/2014/main" id="{15B511CB-504C-AB16-4C25-6D2B2DB50B45}"/>
            </a:ext>
          </a:extLst>
        </xdr:cNvPr>
        <xdr:cNvSpPr txBox="1"/>
      </xdr:nvSpPr>
      <xdr:spPr>
        <a:xfrm>
          <a:off x="3265151" y="1584729"/>
          <a:ext cx="2454208" cy="51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Total </a:t>
          </a:r>
          <a:r>
            <a:rPr lang="en-US" sz="1800" b="1" baseline="0">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Profit</a:t>
          </a:r>
        </a:p>
      </xdr:txBody>
    </xdr:sp>
    <xdr:clientData/>
  </xdr:twoCellAnchor>
  <xdr:twoCellAnchor>
    <xdr:from>
      <xdr:col>9</xdr:col>
      <xdr:colOff>472407</xdr:colOff>
      <xdr:row>6</xdr:row>
      <xdr:rowOff>-1</xdr:rowOff>
    </xdr:from>
    <xdr:to>
      <xdr:col>14</xdr:col>
      <xdr:colOff>301996</xdr:colOff>
      <xdr:row>11</xdr:row>
      <xdr:rowOff>122774</xdr:rowOff>
    </xdr:to>
    <xdr:sp macro="" textlink="">
      <xdr:nvSpPr>
        <xdr:cNvPr id="21" name="Rectangle: Rounded Corners 20">
          <a:extLst>
            <a:ext uri="{FF2B5EF4-FFF2-40B4-BE49-F238E27FC236}">
              <a16:creationId xmlns:a16="http://schemas.microsoft.com/office/drawing/2014/main" id="{52C077CA-BE7C-3A62-DBF2-14EA1C610C46}"/>
            </a:ext>
          </a:extLst>
        </xdr:cNvPr>
        <xdr:cNvSpPr/>
      </xdr:nvSpPr>
      <xdr:spPr>
        <a:xfrm>
          <a:off x="5996907" y="1142999"/>
          <a:ext cx="2845839" cy="10752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83322</xdr:colOff>
      <xdr:row>6</xdr:row>
      <xdr:rowOff>34158</xdr:rowOff>
    </xdr:from>
    <xdr:to>
      <xdr:col>14</xdr:col>
      <xdr:colOff>89719</xdr:colOff>
      <xdr:row>8</xdr:row>
      <xdr:rowOff>106014</xdr:rowOff>
    </xdr:to>
    <xdr:sp macro="" textlink="KPI!C6">
      <xdr:nvSpPr>
        <xdr:cNvPr id="22" name="TextBox 21">
          <a:extLst>
            <a:ext uri="{FF2B5EF4-FFF2-40B4-BE49-F238E27FC236}">
              <a16:creationId xmlns:a16="http://schemas.microsoft.com/office/drawing/2014/main" id="{1AF1A2E9-FB5E-CAA6-A998-B08DD8962EB7}"/>
            </a:ext>
          </a:extLst>
        </xdr:cNvPr>
        <xdr:cNvSpPr txBox="1"/>
      </xdr:nvSpPr>
      <xdr:spPr>
        <a:xfrm>
          <a:off x="6211072" y="1177158"/>
          <a:ext cx="2419397" cy="45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315E2C-BFF2-4DFB-BAD0-A23FE16262F6}" type="TxLink">
            <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pPr marL="0" indent="0" algn="ctr"/>
            <a:t>31%</a:t>
          </a:fld>
          <a:endPar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10</xdr:col>
      <xdr:colOff>78970</xdr:colOff>
      <xdr:row>8</xdr:row>
      <xdr:rowOff>24501</xdr:rowOff>
    </xdr:from>
    <xdr:to>
      <xdr:col>14</xdr:col>
      <xdr:colOff>120178</xdr:colOff>
      <xdr:row>10</xdr:row>
      <xdr:rowOff>159757</xdr:rowOff>
    </xdr:to>
    <xdr:sp macro="" textlink="">
      <xdr:nvSpPr>
        <xdr:cNvPr id="23" name="TextBox 22">
          <a:extLst>
            <a:ext uri="{FF2B5EF4-FFF2-40B4-BE49-F238E27FC236}">
              <a16:creationId xmlns:a16="http://schemas.microsoft.com/office/drawing/2014/main" id="{B6B0DFAA-3B2B-8C3A-4BD4-0E648AB8BDAD}"/>
            </a:ext>
          </a:extLst>
        </xdr:cNvPr>
        <xdr:cNvSpPr txBox="1"/>
      </xdr:nvSpPr>
      <xdr:spPr>
        <a:xfrm>
          <a:off x="6206720" y="1548501"/>
          <a:ext cx="2454208" cy="51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Profit Margin %</a:t>
          </a:r>
          <a:endPar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14</xdr:col>
      <xdr:colOff>410309</xdr:colOff>
      <xdr:row>6</xdr:row>
      <xdr:rowOff>15875</xdr:rowOff>
    </xdr:from>
    <xdr:to>
      <xdr:col>19</xdr:col>
      <xdr:colOff>239898</xdr:colOff>
      <xdr:row>11</xdr:row>
      <xdr:rowOff>122774</xdr:rowOff>
    </xdr:to>
    <xdr:sp macro="" textlink="">
      <xdr:nvSpPr>
        <xdr:cNvPr id="24" name="Rectangle: Rounded Corners 23">
          <a:extLst>
            <a:ext uri="{FF2B5EF4-FFF2-40B4-BE49-F238E27FC236}">
              <a16:creationId xmlns:a16="http://schemas.microsoft.com/office/drawing/2014/main" id="{D894C3CD-6739-172D-3912-6A2E4D8EFA54}"/>
            </a:ext>
          </a:extLst>
        </xdr:cNvPr>
        <xdr:cNvSpPr/>
      </xdr:nvSpPr>
      <xdr:spPr>
        <a:xfrm>
          <a:off x="8951059" y="1158875"/>
          <a:ext cx="2845839" cy="1059399"/>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601013</xdr:colOff>
      <xdr:row>6</xdr:row>
      <xdr:rowOff>34158</xdr:rowOff>
    </xdr:from>
    <xdr:to>
      <xdr:col>19</xdr:col>
      <xdr:colOff>4160</xdr:colOff>
      <xdr:row>8</xdr:row>
      <xdr:rowOff>106014</xdr:rowOff>
    </xdr:to>
    <xdr:sp macro="" textlink="KPI!D6">
      <xdr:nvSpPr>
        <xdr:cNvPr id="25" name="TextBox 24">
          <a:extLst>
            <a:ext uri="{FF2B5EF4-FFF2-40B4-BE49-F238E27FC236}">
              <a16:creationId xmlns:a16="http://schemas.microsoft.com/office/drawing/2014/main" id="{4C619AB9-7E99-B82E-C4A5-DC6BB355C86B}"/>
            </a:ext>
          </a:extLst>
        </xdr:cNvPr>
        <xdr:cNvSpPr txBox="1"/>
      </xdr:nvSpPr>
      <xdr:spPr>
        <a:xfrm>
          <a:off x="9141763" y="1177158"/>
          <a:ext cx="2419397" cy="45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BD51D9-DE4B-42F0-B570-AE0228F07A8F}" type="TxLink">
            <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pPr marL="0" indent="0" algn="ctr"/>
            <a:t>1500</a:t>
          </a:fld>
          <a:endPar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15</xdr:col>
      <xdr:colOff>21694</xdr:colOff>
      <xdr:row>8</xdr:row>
      <xdr:rowOff>33558</xdr:rowOff>
    </xdr:from>
    <xdr:to>
      <xdr:col>19</xdr:col>
      <xdr:colOff>62902</xdr:colOff>
      <xdr:row>10</xdr:row>
      <xdr:rowOff>168814</xdr:rowOff>
    </xdr:to>
    <xdr:sp macro="" textlink="">
      <xdr:nvSpPr>
        <xdr:cNvPr id="26" name="TextBox 25">
          <a:extLst>
            <a:ext uri="{FF2B5EF4-FFF2-40B4-BE49-F238E27FC236}">
              <a16:creationId xmlns:a16="http://schemas.microsoft.com/office/drawing/2014/main" id="{A22FF193-65F4-BBED-A145-607C040EA097}"/>
            </a:ext>
          </a:extLst>
        </xdr:cNvPr>
        <xdr:cNvSpPr txBox="1"/>
      </xdr:nvSpPr>
      <xdr:spPr>
        <a:xfrm>
          <a:off x="9165694" y="1557558"/>
          <a:ext cx="2454208" cy="51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Total</a:t>
          </a:r>
          <a:r>
            <a:rPr lang="en-US" sz="1800" b="1" baseline="0">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 </a:t>
          </a:r>
          <a:r>
            <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Orders</a:t>
          </a:r>
        </a:p>
      </xdr:txBody>
    </xdr:sp>
    <xdr:clientData/>
  </xdr:twoCellAnchor>
  <xdr:twoCellAnchor>
    <xdr:from>
      <xdr:col>0</xdr:col>
      <xdr:colOff>95186</xdr:colOff>
      <xdr:row>12</xdr:row>
      <xdr:rowOff>1</xdr:rowOff>
    </xdr:from>
    <xdr:to>
      <xdr:col>14</xdr:col>
      <xdr:colOff>306918</xdr:colOff>
      <xdr:row>27</xdr:row>
      <xdr:rowOff>169334</xdr:rowOff>
    </xdr:to>
    <xdr:sp macro="" textlink="">
      <xdr:nvSpPr>
        <xdr:cNvPr id="2" name="Rectangle: Rounded Corners 1">
          <a:extLst>
            <a:ext uri="{FF2B5EF4-FFF2-40B4-BE49-F238E27FC236}">
              <a16:creationId xmlns:a16="http://schemas.microsoft.com/office/drawing/2014/main" id="{828765F8-80B4-27A2-B139-74DA07E5C886}"/>
            </a:ext>
          </a:extLst>
        </xdr:cNvPr>
        <xdr:cNvSpPr/>
      </xdr:nvSpPr>
      <xdr:spPr>
        <a:xfrm>
          <a:off x="95186" y="2286001"/>
          <a:ext cx="8752482" cy="3042708"/>
        </a:xfrm>
        <a:prstGeom prst="roundRect">
          <a:avLst>
            <a:gd name="adj" fmla="val 65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190499</xdr:colOff>
      <xdr:row>15</xdr:row>
      <xdr:rowOff>43132</xdr:rowOff>
    </xdr:from>
    <xdr:to>
      <xdr:col>14</xdr:col>
      <xdr:colOff>273169</xdr:colOff>
      <xdr:row>27</xdr:row>
      <xdr:rowOff>100641</xdr:rowOff>
    </xdr:to>
    <xdr:graphicFrame macro="">
      <xdr:nvGraphicFramePr>
        <xdr:cNvPr id="3" name="Chart 2">
          <a:extLst>
            <a:ext uri="{FF2B5EF4-FFF2-40B4-BE49-F238E27FC236}">
              <a16:creationId xmlns:a16="http://schemas.microsoft.com/office/drawing/2014/main" id="{CDDB5D6A-1BD4-4474-96A0-B0F828957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455083</xdr:colOff>
      <xdr:row>15</xdr:row>
      <xdr:rowOff>71886</xdr:rowOff>
    </xdr:from>
    <xdr:to>
      <xdr:col>28</xdr:col>
      <xdr:colOff>592665</xdr:colOff>
      <xdr:row>27</xdr:row>
      <xdr:rowOff>84666</xdr:rowOff>
    </xdr:to>
    <xdr:graphicFrame macro="">
      <xdr:nvGraphicFramePr>
        <xdr:cNvPr id="7" name="Chart 6">
          <a:extLst>
            <a:ext uri="{FF2B5EF4-FFF2-40B4-BE49-F238E27FC236}">
              <a16:creationId xmlns:a16="http://schemas.microsoft.com/office/drawing/2014/main" id="{A23CAACC-4EC0-44E5-A020-4EFC0B14D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129396</xdr:colOff>
      <xdr:row>28</xdr:row>
      <xdr:rowOff>86264</xdr:rowOff>
    </xdr:from>
    <xdr:to>
      <xdr:col>10</xdr:col>
      <xdr:colOff>71887</xdr:colOff>
      <xdr:row>45</xdr:row>
      <xdr:rowOff>63500</xdr:rowOff>
    </xdr:to>
    <xdr:sp macro="" textlink="">
      <xdr:nvSpPr>
        <xdr:cNvPr id="9" name="Rectangle: Rounded Corners 8">
          <a:extLst>
            <a:ext uri="{FF2B5EF4-FFF2-40B4-BE49-F238E27FC236}">
              <a16:creationId xmlns:a16="http://schemas.microsoft.com/office/drawing/2014/main" id="{53C0C673-F855-03C3-A927-5E1C23033EE1}"/>
            </a:ext>
          </a:extLst>
        </xdr:cNvPr>
        <xdr:cNvSpPr/>
      </xdr:nvSpPr>
      <xdr:spPr>
        <a:xfrm>
          <a:off x="129396" y="5436139"/>
          <a:ext cx="6070241" cy="3215736"/>
        </a:xfrm>
        <a:prstGeom prst="roundRect">
          <a:avLst>
            <a:gd name="adj" fmla="val 638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a:p>
      </xdr:txBody>
    </xdr:sp>
    <xdr:clientData/>
  </xdr:twoCellAnchor>
  <xdr:twoCellAnchor>
    <xdr:from>
      <xdr:col>10</xdr:col>
      <xdr:colOff>179716</xdr:colOff>
      <xdr:row>28</xdr:row>
      <xdr:rowOff>86264</xdr:rowOff>
    </xdr:from>
    <xdr:to>
      <xdr:col>20</xdr:col>
      <xdr:colOff>273169</xdr:colOff>
      <xdr:row>45</xdr:row>
      <xdr:rowOff>63500</xdr:rowOff>
    </xdr:to>
    <xdr:sp macro="" textlink="">
      <xdr:nvSpPr>
        <xdr:cNvPr id="10" name="Rectangle: Rounded Corners 9">
          <a:extLst>
            <a:ext uri="{FF2B5EF4-FFF2-40B4-BE49-F238E27FC236}">
              <a16:creationId xmlns:a16="http://schemas.microsoft.com/office/drawing/2014/main" id="{1DE213E8-51F4-E5D7-C9C0-C6503226EA6D}"/>
            </a:ext>
          </a:extLst>
        </xdr:cNvPr>
        <xdr:cNvSpPr/>
      </xdr:nvSpPr>
      <xdr:spPr>
        <a:xfrm>
          <a:off x="6307466" y="5436139"/>
          <a:ext cx="6125953" cy="3215736"/>
        </a:xfrm>
        <a:prstGeom prst="roundRect">
          <a:avLst>
            <a:gd name="adj" fmla="val 358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345056</xdr:colOff>
      <xdr:row>28</xdr:row>
      <xdr:rowOff>86264</xdr:rowOff>
    </xdr:from>
    <xdr:to>
      <xdr:col>29</xdr:col>
      <xdr:colOff>158749</xdr:colOff>
      <xdr:row>62</xdr:row>
      <xdr:rowOff>63500</xdr:rowOff>
    </xdr:to>
    <xdr:sp macro="" textlink="">
      <xdr:nvSpPr>
        <xdr:cNvPr id="11" name="Rectangle: Rounded Corners 10">
          <a:extLst>
            <a:ext uri="{FF2B5EF4-FFF2-40B4-BE49-F238E27FC236}">
              <a16:creationId xmlns:a16="http://schemas.microsoft.com/office/drawing/2014/main" id="{DE433735-292F-71D6-6E94-1836CA686436}"/>
            </a:ext>
          </a:extLst>
        </xdr:cNvPr>
        <xdr:cNvSpPr/>
      </xdr:nvSpPr>
      <xdr:spPr>
        <a:xfrm>
          <a:off x="12505306" y="5436139"/>
          <a:ext cx="5242943" cy="6454236"/>
        </a:xfrm>
        <a:prstGeom prst="roundRect">
          <a:avLst>
            <a:gd name="adj" fmla="val 214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100641</xdr:colOff>
      <xdr:row>45</xdr:row>
      <xdr:rowOff>158152</xdr:rowOff>
    </xdr:from>
    <xdr:to>
      <xdr:col>10</xdr:col>
      <xdr:colOff>86263</xdr:colOff>
      <xdr:row>62</xdr:row>
      <xdr:rowOff>57509</xdr:rowOff>
    </xdr:to>
    <xdr:sp macro="" textlink="">
      <xdr:nvSpPr>
        <xdr:cNvPr id="12" name="Rectangle: Rounded Corners 11">
          <a:extLst>
            <a:ext uri="{FF2B5EF4-FFF2-40B4-BE49-F238E27FC236}">
              <a16:creationId xmlns:a16="http://schemas.microsoft.com/office/drawing/2014/main" id="{741E542D-853A-FF3B-BC36-9A3F426C010E}"/>
            </a:ext>
          </a:extLst>
        </xdr:cNvPr>
        <xdr:cNvSpPr/>
      </xdr:nvSpPr>
      <xdr:spPr>
        <a:xfrm>
          <a:off x="100641" y="8597661"/>
          <a:ext cx="6110377" cy="3076754"/>
        </a:xfrm>
        <a:prstGeom prst="roundRect">
          <a:avLst>
            <a:gd name="adj" fmla="val 54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172528</xdr:colOff>
      <xdr:row>45</xdr:row>
      <xdr:rowOff>158152</xdr:rowOff>
    </xdr:from>
    <xdr:to>
      <xdr:col>20</xdr:col>
      <xdr:colOff>273170</xdr:colOff>
      <xdr:row>62</xdr:row>
      <xdr:rowOff>57509</xdr:rowOff>
    </xdr:to>
    <xdr:sp macro="" textlink="">
      <xdr:nvSpPr>
        <xdr:cNvPr id="14" name="Rectangle: Rounded Corners 13">
          <a:extLst>
            <a:ext uri="{FF2B5EF4-FFF2-40B4-BE49-F238E27FC236}">
              <a16:creationId xmlns:a16="http://schemas.microsoft.com/office/drawing/2014/main" id="{3432F4F5-5BC5-3C70-FB38-2EEA6DF24431}"/>
            </a:ext>
          </a:extLst>
        </xdr:cNvPr>
        <xdr:cNvSpPr/>
      </xdr:nvSpPr>
      <xdr:spPr>
        <a:xfrm>
          <a:off x="6300278" y="8746527"/>
          <a:ext cx="6133142" cy="3137857"/>
        </a:xfrm>
        <a:prstGeom prst="roundRect">
          <a:avLst>
            <a:gd name="adj" fmla="val 451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129396</xdr:colOff>
      <xdr:row>31</xdr:row>
      <xdr:rowOff>71887</xdr:rowOff>
    </xdr:from>
    <xdr:to>
      <xdr:col>9</xdr:col>
      <xdr:colOff>589471</xdr:colOff>
      <xdr:row>44</xdr:row>
      <xdr:rowOff>158151</xdr:rowOff>
    </xdr:to>
    <xdr:graphicFrame macro="">
      <xdr:nvGraphicFramePr>
        <xdr:cNvPr id="16" name="Chart 15">
          <a:extLst>
            <a:ext uri="{FF2B5EF4-FFF2-40B4-BE49-F238E27FC236}">
              <a16:creationId xmlns:a16="http://schemas.microsoft.com/office/drawing/2014/main" id="{76B97C2B-C787-4E43-85E6-40B25EC6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172528</xdr:colOff>
      <xdr:row>31</xdr:row>
      <xdr:rowOff>43132</xdr:rowOff>
    </xdr:from>
    <xdr:to>
      <xdr:col>20</xdr:col>
      <xdr:colOff>230038</xdr:colOff>
      <xdr:row>44</xdr:row>
      <xdr:rowOff>111125</xdr:rowOff>
    </xdr:to>
    <xdr:graphicFrame macro="">
      <xdr:nvGraphicFramePr>
        <xdr:cNvPr id="17" name="Chart 16">
          <a:extLst>
            <a:ext uri="{FF2B5EF4-FFF2-40B4-BE49-F238E27FC236}">
              <a16:creationId xmlns:a16="http://schemas.microsoft.com/office/drawing/2014/main" id="{EAC1E6BA-CEAC-404D-B742-03C32A562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215661</xdr:colOff>
      <xdr:row>47</xdr:row>
      <xdr:rowOff>68035</xdr:rowOff>
    </xdr:from>
    <xdr:to>
      <xdr:col>20</xdr:col>
      <xdr:colOff>100643</xdr:colOff>
      <xdr:row>61</xdr:row>
      <xdr:rowOff>158152</xdr:rowOff>
    </xdr:to>
    <xdr:graphicFrame macro="">
      <xdr:nvGraphicFramePr>
        <xdr:cNvPr id="34" name="Sales by Customer Type">
          <a:extLst>
            <a:ext uri="{FF2B5EF4-FFF2-40B4-BE49-F238E27FC236}">
              <a16:creationId xmlns:a16="http://schemas.microsoft.com/office/drawing/2014/main" id="{12DE1013-46D7-4CFD-91C4-98CB002DF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559179</xdr:colOff>
      <xdr:row>39</xdr:row>
      <xdr:rowOff>156612</xdr:rowOff>
    </xdr:from>
    <xdr:to>
      <xdr:col>25</xdr:col>
      <xdr:colOff>142234</xdr:colOff>
      <xdr:row>51</xdr:row>
      <xdr:rowOff>31750</xdr:rowOff>
    </xdr:to>
    <mc:AlternateContent xmlns:mc="http://schemas.openxmlformats.org/markup-compatibility/2006" xmlns:a14="http://schemas.microsoft.com/office/drawing/2010/main">
      <mc:Choice Requires="a14">
        <xdr:graphicFrame macro="">
          <xdr:nvGraphicFramePr>
            <xdr:cNvPr id="37" name="OrderMonth 1">
              <a:extLst>
                <a:ext uri="{FF2B5EF4-FFF2-40B4-BE49-F238E27FC236}">
                  <a16:creationId xmlns:a16="http://schemas.microsoft.com/office/drawing/2014/main" id="{E84EA298-8100-4D9C-9E81-5F67B724DE92}"/>
                </a:ext>
              </a:extLst>
            </xdr:cNvPr>
            <xdr:cNvGraphicFramePr/>
          </xdr:nvGraphicFramePr>
          <xdr:xfrm>
            <a:off x="0" y="0"/>
            <a:ext cx="0" cy="0"/>
          </xdr:xfrm>
          <a:graphic>
            <a:graphicData uri="http://schemas.microsoft.com/office/drawing/2010/slicer">
              <sle:slicer xmlns:sle="http://schemas.microsoft.com/office/drawing/2010/slicer" name="OrderMonth 1"/>
            </a:graphicData>
          </a:graphic>
        </xdr:graphicFrame>
      </mc:Choice>
      <mc:Fallback xmlns="">
        <xdr:sp macro="" textlink="">
          <xdr:nvSpPr>
            <xdr:cNvPr id="0" name=""/>
            <xdr:cNvSpPr>
              <a:spLocks noTextEdit="1"/>
            </xdr:cNvSpPr>
          </xdr:nvSpPr>
          <xdr:spPr>
            <a:xfrm>
              <a:off x="12698016" y="7103217"/>
              <a:ext cx="2595613" cy="1969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503209</xdr:colOff>
      <xdr:row>30</xdr:row>
      <xdr:rowOff>174172</xdr:rowOff>
    </xdr:from>
    <xdr:to>
      <xdr:col>28</xdr:col>
      <xdr:colOff>428625</xdr:colOff>
      <xdr:row>34</xdr:row>
      <xdr:rowOff>143774</xdr:rowOff>
    </xdr:to>
    <mc:AlternateContent xmlns:mc="http://schemas.openxmlformats.org/markup-compatibility/2006" xmlns:a14="http://schemas.microsoft.com/office/drawing/2010/main">
      <mc:Choice Requires="a14">
        <xdr:graphicFrame macro="">
          <xdr:nvGraphicFramePr>
            <xdr:cNvPr id="38" name="OrderYear 1">
              <a:extLst>
                <a:ext uri="{FF2B5EF4-FFF2-40B4-BE49-F238E27FC236}">
                  <a16:creationId xmlns:a16="http://schemas.microsoft.com/office/drawing/2014/main" id="{4513CECE-7EDC-4FF3-956D-44EECEF1D28B}"/>
                </a:ext>
              </a:extLst>
            </xdr:cNvPr>
            <xdr:cNvGraphicFramePr/>
          </xdr:nvGraphicFramePr>
          <xdr:xfrm>
            <a:off x="0" y="0"/>
            <a:ext cx="0" cy="0"/>
          </xdr:xfrm>
          <a:graphic>
            <a:graphicData uri="http://schemas.microsoft.com/office/drawing/2010/slicer">
              <sle:slicer xmlns:sle="http://schemas.microsoft.com/office/drawing/2010/slicer" name="OrderYear 1"/>
            </a:graphicData>
          </a:graphic>
        </xdr:graphicFrame>
      </mc:Choice>
      <mc:Fallback xmlns="">
        <xdr:sp macro="" textlink="">
          <xdr:nvSpPr>
            <xdr:cNvPr id="0" name=""/>
            <xdr:cNvSpPr>
              <a:spLocks noTextEdit="1"/>
            </xdr:cNvSpPr>
          </xdr:nvSpPr>
          <xdr:spPr>
            <a:xfrm>
              <a:off x="12642046" y="5525893"/>
              <a:ext cx="4690696" cy="678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585280</xdr:colOff>
      <xdr:row>51</xdr:row>
      <xdr:rowOff>108859</xdr:rowOff>
    </xdr:from>
    <xdr:to>
      <xdr:col>24</xdr:col>
      <xdr:colOff>21</xdr:colOff>
      <xdr:row>61</xdr:row>
      <xdr:rowOff>27216</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F7EBA52E-2AB4-4C12-8261-9F2C7955D5F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724117" y="9181975"/>
              <a:ext cx="1824788" cy="169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139800</xdr:colOff>
      <xdr:row>51</xdr:row>
      <xdr:rowOff>111125</xdr:rowOff>
    </xdr:from>
    <xdr:to>
      <xdr:col>28</xdr:col>
      <xdr:colOff>492125</xdr:colOff>
      <xdr:row>61</xdr:row>
      <xdr:rowOff>21309</xdr:rowOff>
    </xdr:to>
    <mc:AlternateContent xmlns:mc="http://schemas.openxmlformats.org/markup-compatibility/2006" xmlns:a14="http://schemas.microsoft.com/office/drawing/2010/main">
      <mc:Choice Requires="a14">
        <xdr:graphicFrame macro="">
          <xdr:nvGraphicFramePr>
            <xdr:cNvPr id="40" name="Product 1">
              <a:extLst>
                <a:ext uri="{FF2B5EF4-FFF2-40B4-BE49-F238E27FC236}">
                  <a16:creationId xmlns:a16="http://schemas.microsoft.com/office/drawing/2014/main" id="{1EE3BD7C-868D-4F59-9E9F-6873B142A29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4688684" y="9321577"/>
              <a:ext cx="2602977" cy="1544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525633</xdr:colOff>
      <xdr:row>35</xdr:row>
      <xdr:rowOff>79939</xdr:rowOff>
    </xdr:from>
    <xdr:to>
      <xdr:col>28</xdr:col>
      <xdr:colOff>460374</xdr:colOff>
      <xdr:row>39</xdr:row>
      <xdr:rowOff>81642</xdr:rowOff>
    </xdr:to>
    <mc:AlternateContent xmlns:mc="http://schemas.openxmlformats.org/markup-compatibility/2006" xmlns:a14="http://schemas.microsoft.com/office/drawing/2010/main">
      <mc:Choice Requires="a14">
        <xdr:graphicFrame macro="">
          <xdr:nvGraphicFramePr>
            <xdr:cNvPr id="41" name="CustomerType 1">
              <a:extLst>
                <a:ext uri="{FF2B5EF4-FFF2-40B4-BE49-F238E27FC236}">
                  <a16:creationId xmlns:a16="http://schemas.microsoft.com/office/drawing/2014/main" id="{C927D8B5-8956-4714-A71A-CAFE140BBCF1}"/>
                </a:ext>
              </a:extLst>
            </xdr:cNvPr>
            <xdr:cNvGraphicFramePr/>
          </xdr:nvGraphicFramePr>
          <xdr:xfrm>
            <a:off x="0" y="0"/>
            <a:ext cx="0" cy="0"/>
          </xdr:xfrm>
          <a:graphic>
            <a:graphicData uri="http://schemas.microsoft.com/office/drawing/2010/slicer">
              <sle:slicer xmlns:sle="http://schemas.microsoft.com/office/drawing/2010/slicer" name="CustomerType 1"/>
            </a:graphicData>
          </a:graphic>
        </xdr:graphicFrame>
      </mc:Choice>
      <mc:Fallback xmlns="">
        <xdr:sp macro="" textlink="">
          <xdr:nvSpPr>
            <xdr:cNvPr id="0" name=""/>
            <xdr:cNvSpPr>
              <a:spLocks noTextEdit="1"/>
            </xdr:cNvSpPr>
          </xdr:nvSpPr>
          <xdr:spPr>
            <a:xfrm>
              <a:off x="12664471" y="6317706"/>
              <a:ext cx="4653893" cy="710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440305</xdr:colOff>
      <xdr:row>39</xdr:row>
      <xdr:rowOff>157432</xdr:rowOff>
    </xdr:from>
    <xdr:to>
      <xdr:col>28</xdr:col>
      <xdr:colOff>440305</xdr:colOff>
      <xdr:row>51</xdr:row>
      <xdr:rowOff>40822</xdr:rowOff>
    </xdr:to>
    <mc:AlternateContent xmlns:mc="http://schemas.openxmlformats.org/markup-compatibility/2006" xmlns:a14="http://schemas.microsoft.com/office/drawing/2010/main">
      <mc:Choice Requires="a14">
        <xdr:graphicFrame macro="">
          <xdr:nvGraphicFramePr>
            <xdr:cNvPr id="42" name="Salesperson 1">
              <a:extLst>
                <a:ext uri="{FF2B5EF4-FFF2-40B4-BE49-F238E27FC236}">
                  <a16:creationId xmlns:a16="http://schemas.microsoft.com/office/drawing/2014/main" id="{0613D517-3FB1-4B21-BE8A-C075667700C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5616805" y="7602807"/>
              <a:ext cx="1809750" cy="2169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201283</xdr:colOff>
      <xdr:row>12</xdr:row>
      <xdr:rowOff>143775</xdr:rowOff>
    </xdr:from>
    <xdr:to>
      <xdr:col>14</xdr:col>
      <xdr:colOff>172528</xdr:colOff>
      <xdr:row>14</xdr:row>
      <xdr:rowOff>172530</xdr:rowOff>
    </xdr:to>
    <xdr:sp macro="" textlink="">
      <xdr:nvSpPr>
        <xdr:cNvPr id="44" name="TextBox 43">
          <a:extLst>
            <a:ext uri="{FF2B5EF4-FFF2-40B4-BE49-F238E27FC236}">
              <a16:creationId xmlns:a16="http://schemas.microsoft.com/office/drawing/2014/main" id="{DE878DF2-306D-4FBF-EDDF-65C0D6BB0799}"/>
            </a:ext>
          </a:extLst>
        </xdr:cNvPr>
        <xdr:cNvSpPr txBox="1"/>
      </xdr:nvSpPr>
      <xdr:spPr>
        <a:xfrm>
          <a:off x="201283" y="2429775"/>
          <a:ext cx="8511995" cy="409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Monthly</a:t>
          </a:r>
          <a:r>
            <a:rPr lang="en-US" sz="1600" b="1" baseline="0">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 Sales Trend Analysis</a:t>
          </a:r>
          <a:endParaRPr lang="en-US" sz="1600" b="1">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14</xdr:col>
      <xdr:colOff>460076</xdr:colOff>
      <xdr:row>12</xdr:row>
      <xdr:rowOff>129398</xdr:rowOff>
    </xdr:from>
    <xdr:to>
      <xdr:col>28</xdr:col>
      <xdr:colOff>517585</xdr:colOff>
      <xdr:row>14</xdr:row>
      <xdr:rowOff>158153</xdr:rowOff>
    </xdr:to>
    <xdr:sp macro="" textlink="">
      <xdr:nvSpPr>
        <xdr:cNvPr id="46" name="TextBox 45">
          <a:extLst>
            <a:ext uri="{FF2B5EF4-FFF2-40B4-BE49-F238E27FC236}">
              <a16:creationId xmlns:a16="http://schemas.microsoft.com/office/drawing/2014/main" id="{CA4834F8-4FFB-64CE-33D2-A0DB45631657}"/>
            </a:ext>
          </a:extLst>
        </xdr:cNvPr>
        <xdr:cNvSpPr txBox="1"/>
      </xdr:nvSpPr>
      <xdr:spPr>
        <a:xfrm>
          <a:off x="9000826" y="2415398"/>
          <a:ext cx="8503009" cy="409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Monthly</a:t>
          </a:r>
          <a:r>
            <a:rPr lang="en-US" sz="1600" b="1" baseline="0">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 Profit Trend Analysis</a:t>
          </a:r>
          <a:endParaRPr lang="en-US" sz="1600" b="1">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0</xdr:col>
      <xdr:colOff>115020</xdr:colOff>
      <xdr:row>28</xdr:row>
      <xdr:rowOff>43132</xdr:rowOff>
    </xdr:from>
    <xdr:to>
      <xdr:col>9</xdr:col>
      <xdr:colOff>503208</xdr:colOff>
      <xdr:row>31</xdr:row>
      <xdr:rowOff>43132</xdr:rowOff>
    </xdr:to>
    <xdr:sp macro="" textlink="">
      <xdr:nvSpPr>
        <xdr:cNvPr id="47" name="TextBox 46">
          <a:extLst>
            <a:ext uri="{FF2B5EF4-FFF2-40B4-BE49-F238E27FC236}">
              <a16:creationId xmlns:a16="http://schemas.microsoft.com/office/drawing/2014/main" id="{82517EF8-5745-C97A-5498-5F60DDCE3B82}"/>
            </a:ext>
          </a:extLst>
        </xdr:cNvPr>
        <xdr:cNvSpPr txBox="1"/>
      </xdr:nvSpPr>
      <xdr:spPr>
        <a:xfrm>
          <a:off x="115020" y="5305245"/>
          <a:ext cx="5909094" cy="560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Sales by Region</a:t>
          </a:r>
        </a:p>
      </xdr:txBody>
    </xdr:sp>
    <xdr:clientData/>
  </xdr:twoCellAnchor>
  <xdr:twoCellAnchor>
    <xdr:from>
      <xdr:col>0</xdr:col>
      <xdr:colOff>129398</xdr:colOff>
      <xdr:row>45</xdr:row>
      <xdr:rowOff>143774</xdr:rowOff>
    </xdr:from>
    <xdr:to>
      <xdr:col>9</xdr:col>
      <xdr:colOff>517586</xdr:colOff>
      <xdr:row>48</xdr:row>
      <xdr:rowOff>115019</xdr:rowOff>
    </xdr:to>
    <xdr:sp macro="" textlink="">
      <xdr:nvSpPr>
        <xdr:cNvPr id="49" name="TextBox 48">
          <a:extLst>
            <a:ext uri="{FF2B5EF4-FFF2-40B4-BE49-F238E27FC236}">
              <a16:creationId xmlns:a16="http://schemas.microsoft.com/office/drawing/2014/main" id="{A14FC4EE-3FBF-DCB1-64E2-FB5C7793C6CA}"/>
            </a:ext>
          </a:extLst>
        </xdr:cNvPr>
        <xdr:cNvSpPr txBox="1"/>
      </xdr:nvSpPr>
      <xdr:spPr>
        <a:xfrm>
          <a:off x="129398" y="8583283"/>
          <a:ext cx="5909094" cy="531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Sales By Salesperson</a:t>
          </a:r>
        </a:p>
      </xdr:txBody>
    </xdr:sp>
    <xdr:clientData/>
  </xdr:twoCellAnchor>
  <xdr:twoCellAnchor>
    <xdr:from>
      <xdr:col>10</xdr:col>
      <xdr:colOff>230040</xdr:colOff>
      <xdr:row>45</xdr:row>
      <xdr:rowOff>158152</xdr:rowOff>
    </xdr:from>
    <xdr:to>
      <xdr:col>20</xdr:col>
      <xdr:colOff>100644</xdr:colOff>
      <xdr:row>48</xdr:row>
      <xdr:rowOff>129397</xdr:rowOff>
    </xdr:to>
    <xdr:sp macro="" textlink="">
      <xdr:nvSpPr>
        <xdr:cNvPr id="54" name="TextBox 53">
          <a:extLst>
            <a:ext uri="{FF2B5EF4-FFF2-40B4-BE49-F238E27FC236}">
              <a16:creationId xmlns:a16="http://schemas.microsoft.com/office/drawing/2014/main" id="{C2583649-910B-B95A-C903-6CAC8F8E9147}"/>
            </a:ext>
          </a:extLst>
        </xdr:cNvPr>
        <xdr:cNvSpPr txBox="1"/>
      </xdr:nvSpPr>
      <xdr:spPr>
        <a:xfrm>
          <a:off x="6354795" y="8597661"/>
          <a:ext cx="5909094" cy="531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Sales by Customer Type</a:t>
          </a:r>
        </a:p>
      </xdr:txBody>
    </xdr:sp>
    <xdr:clientData/>
  </xdr:twoCellAnchor>
  <xdr:twoCellAnchor>
    <xdr:from>
      <xdr:col>10</xdr:col>
      <xdr:colOff>230040</xdr:colOff>
      <xdr:row>28</xdr:row>
      <xdr:rowOff>71887</xdr:rowOff>
    </xdr:from>
    <xdr:to>
      <xdr:col>20</xdr:col>
      <xdr:colOff>100644</xdr:colOff>
      <xdr:row>31</xdr:row>
      <xdr:rowOff>43132</xdr:rowOff>
    </xdr:to>
    <xdr:sp macro="" textlink="">
      <xdr:nvSpPr>
        <xdr:cNvPr id="55" name="TextBox 54">
          <a:extLst>
            <a:ext uri="{FF2B5EF4-FFF2-40B4-BE49-F238E27FC236}">
              <a16:creationId xmlns:a16="http://schemas.microsoft.com/office/drawing/2014/main" id="{E6A478BE-4B71-3751-4A31-62FFD4DF9606}"/>
            </a:ext>
          </a:extLst>
        </xdr:cNvPr>
        <xdr:cNvSpPr txBox="1"/>
      </xdr:nvSpPr>
      <xdr:spPr>
        <a:xfrm>
          <a:off x="6354795" y="5334000"/>
          <a:ext cx="5909094" cy="531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Profit by Product</a:t>
          </a:r>
        </a:p>
      </xdr:txBody>
    </xdr:sp>
    <xdr:clientData/>
  </xdr:twoCellAnchor>
  <xdr:twoCellAnchor>
    <xdr:from>
      <xdr:col>20</xdr:col>
      <xdr:colOff>474453</xdr:colOff>
      <xdr:row>28</xdr:row>
      <xdr:rowOff>71887</xdr:rowOff>
    </xdr:from>
    <xdr:to>
      <xdr:col>28</xdr:col>
      <xdr:colOff>388188</xdr:colOff>
      <xdr:row>31</xdr:row>
      <xdr:rowOff>43132</xdr:rowOff>
    </xdr:to>
    <xdr:sp macro="" textlink="">
      <xdr:nvSpPr>
        <xdr:cNvPr id="56" name="TextBox 55">
          <a:extLst>
            <a:ext uri="{FF2B5EF4-FFF2-40B4-BE49-F238E27FC236}">
              <a16:creationId xmlns:a16="http://schemas.microsoft.com/office/drawing/2014/main" id="{F58FF4FF-3A94-4A5F-41DA-541A58189787}"/>
            </a:ext>
          </a:extLst>
        </xdr:cNvPr>
        <xdr:cNvSpPr txBox="1"/>
      </xdr:nvSpPr>
      <xdr:spPr>
        <a:xfrm>
          <a:off x="12637698" y="5334000"/>
          <a:ext cx="4744528" cy="531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Filters</a:t>
          </a:r>
        </a:p>
      </xdr:txBody>
    </xdr:sp>
    <xdr:clientData/>
  </xdr:twoCellAnchor>
  <xdr:twoCellAnchor>
    <xdr:from>
      <xdr:col>24</xdr:col>
      <xdr:colOff>286115</xdr:colOff>
      <xdr:row>6</xdr:row>
      <xdr:rowOff>0</xdr:rowOff>
    </xdr:from>
    <xdr:to>
      <xdr:col>29</xdr:col>
      <xdr:colOff>158751</xdr:colOff>
      <xdr:row>11</xdr:row>
      <xdr:rowOff>122774</xdr:rowOff>
    </xdr:to>
    <xdr:sp macro="" textlink="">
      <xdr:nvSpPr>
        <xdr:cNvPr id="35" name="Rectangle: Rounded Corners 34">
          <a:extLst>
            <a:ext uri="{FF2B5EF4-FFF2-40B4-BE49-F238E27FC236}">
              <a16:creationId xmlns:a16="http://schemas.microsoft.com/office/drawing/2014/main" id="{BED1E595-8ED1-CBE0-39CB-E1E19F77F2D9}"/>
            </a:ext>
          </a:extLst>
        </xdr:cNvPr>
        <xdr:cNvSpPr/>
      </xdr:nvSpPr>
      <xdr:spPr>
        <a:xfrm>
          <a:off x="14859365" y="1143000"/>
          <a:ext cx="2888886" cy="107527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547202</xdr:colOff>
      <xdr:row>6</xdr:row>
      <xdr:rowOff>65908</xdr:rowOff>
    </xdr:from>
    <xdr:to>
      <xdr:col>28</xdr:col>
      <xdr:colOff>553599</xdr:colOff>
      <xdr:row>8</xdr:row>
      <xdr:rowOff>137764</xdr:rowOff>
    </xdr:to>
    <xdr:sp macro="" textlink="KPI!E6">
      <xdr:nvSpPr>
        <xdr:cNvPr id="43" name="TextBox 42">
          <a:extLst>
            <a:ext uri="{FF2B5EF4-FFF2-40B4-BE49-F238E27FC236}">
              <a16:creationId xmlns:a16="http://schemas.microsoft.com/office/drawing/2014/main" id="{E795DBD8-BFF9-BBDF-4CD3-BA9C20A0BF5E}"/>
            </a:ext>
          </a:extLst>
        </xdr:cNvPr>
        <xdr:cNvSpPr txBox="1"/>
      </xdr:nvSpPr>
      <xdr:spPr>
        <a:xfrm>
          <a:off x="15120452" y="1208908"/>
          <a:ext cx="2419397" cy="45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681F39-F929-4AAD-86BE-3C0F9B8377C2}" type="TxLink">
            <a:rPr lang="en-US" sz="2000" b="1" i="0" u="none" strike="noStrike">
              <a:solidFill>
                <a:srgbClr val="FF0000"/>
              </a:solidFill>
              <a:latin typeface="Segoe UI" panose="020B0502040204020203" pitchFamily="34" charset="0"/>
              <a:ea typeface="Segoe UI Black" panose="020B0A02040204020203" pitchFamily="34" charset="0"/>
              <a:cs typeface="Segoe UI" panose="020B0502040204020203" pitchFamily="34" charset="0"/>
            </a:rPr>
            <a:pPr marL="0" indent="0" algn="ctr"/>
            <a:t>25%</a:t>
          </a:fld>
          <a:endParaRPr lang="en-US" sz="2000" b="1" i="0" u="none" strike="noStrike">
            <a:solidFill>
              <a:srgbClr val="FF000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24</xdr:col>
      <xdr:colOff>529797</xdr:colOff>
      <xdr:row>8</xdr:row>
      <xdr:rowOff>56252</xdr:rowOff>
    </xdr:from>
    <xdr:to>
      <xdr:col>28</xdr:col>
      <xdr:colOff>571005</xdr:colOff>
      <xdr:row>11</xdr:row>
      <xdr:rowOff>1008</xdr:rowOff>
    </xdr:to>
    <xdr:sp macro="" textlink="">
      <xdr:nvSpPr>
        <xdr:cNvPr id="45" name="TextBox 44">
          <a:extLst>
            <a:ext uri="{FF2B5EF4-FFF2-40B4-BE49-F238E27FC236}">
              <a16:creationId xmlns:a16="http://schemas.microsoft.com/office/drawing/2014/main" id="{C04ADDE0-1D33-E242-F5E8-ADCD18E6A917}"/>
            </a:ext>
          </a:extLst>
        </xdr:cNvPr>
        <xdr:cNvSpPr txBox="1"/>
      </xdr:nvSpPr>
      <xdr:spPr>
        <a:xfrm>
          <a:off x="15103047" y="1580252"/>
          <a:ext cx="2454208" cy="516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Return Rate %</a:t>
          </a:r>
        </a:p>
      </xdr:txBody>
    </xdr:sp>
    <xdr:clientData/>
  </xdr:twoCellAnchor>
  <xdr:twoCellAnchor>
    <xdr:from>
      <xdr:col>19</xdr:col>
      <xdr:colOff>348211</xdr:colOff>
      <xdr:row>6</xdr:row>
      <xdr:rowOff>15875</xdr:rowOff>
    </xdr:from>
    <xdr:to>
      <xdr:col>24</xdr:col>
      <xdr:colOff>177800</xdr:colOff>
      <xdr:row>11</xdr:row>
      <xdr:rowOff>122775</xdr:rowOff>
    </xdr:to>
    <xdr:sp macro="" textlink="">
      <xdr:nvSpPr>
        <xdr:cNvPr id="52" name="Rectangle: Rounded Corners 51">
          <a:extLst>
            <a:ext uri="{FF2B5EF4-FFF2-40B4-BE49-F238E27FC236}">
              <a16:creationId xmlns:a16="http://schemas.microsoft.com/office/drawing/2014/main" id="{F9DB741B-8754-4C50-E555-4E82614475CB}"/>
            </a:ext>
          </a:extLst>
        </xdr:cNvPr>
        <xdr:cNvSpPr/>
      </xdr:nvSpPr>
      <xdr:spPr>
        <a:xfrm>
          <a:off x="11905211" y="1158875"/>
          <a:ext cx="2845839" cy="105940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39215</xdr:colOff>
      <xdr:row>6</xdr:row>
      <xdr:rowOff>34109</xdr:rowOff>
    </xdr:from>
    <xdr:to>
      <xdr:col>24</xdr:col>
      <xdr:colOff>45612</xdr:colOff>
      <xdr:row>8</xdr:row>
      <xdr:rowOff>105965</xdr:rowOff>
    </xdr:to>
    <xdr:sp macro="" textlink="KPI!F4">
      <xdr:nvSpPr>
        <xdr:cNvPr id="53" name="TextBox 52">
          <a:extLst>
            <a:ext uri="{FF2B5EF4-FFF2-40B4-BE49-F238E27FC236}">
              <a16:creationId xmlns:a16="http://schemas.microsoft.com/office/drawing/2014/main" id="{5922A064-4976-62B3-98DB-BE431C0B83B9}"/>
            </a:ext>
          </a:extLst>
        </xdr:cNvPr>
        <xdr:cNvSpPr txBox="1"/>
      </xdr:nvSpPr>
      <xdr:spPr>
        <a:xfrm>
          <a:off x="12199465" y="1177109"/>
          <a:ext cx="2419397" cy="452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91F87D-2DD9-4AC9-B300-7E68531455F0}" type="TxLink">
            <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pPr marL="0" indent="0" algn="ctr"/>
            <a:t> $2,919.99 </a:t>
          </a:fld>
          <a:endParaRPr lang="en-US" sz="2000" b="1" i="0" u="none" strike="noStrike">
            <a:solidFill>
              <a:schemeClr val="accent3">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19</xdr:col>
      <xdr:colOff>430257</xdr:colOff>
      <xdr:row>7</xdr:row>
      <xdr:rowOff>147861</xdr:rowOff>
    </xdr:from>
    <xdr:to>
      <xdr:col>24</xdr:col>
      <xdr:colOff>198473</xdr:colOff>
      <xdr:row>11</xdr:row>
      <xdr:rowOff>66638</xdr:rowOff>
    </xdr:to>
    <xdr:sp macro="" textlink="">
      <xdr:nvSpPr>
        <xdr:cNvPr id="57" name="TextBox 56">
          <a:extLst>
            <a:ext uri="{FF2B5EF4-FFF2-40B4-BE49-F238E27FC236}">
              <a16:creationId xmlns:a16="http://schemas.microsoft.com/office/drawing/2014/main" id="{D0972082-284C-472F-C5A5-1D66F45C886D}"/>
            </a:ext>
          </a:extLst>
        </xdr:cNvPr>
        <xdr:cNvSpPr txBox="1"/>
      </xdr:nvSpPr>
      <xdr:spPr>
        <a:xfrm>
          <a:off x="11987257" y="1481361"/>
          <a:ext cx="2784466" cy="68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 </a:t>
          </a:r>
          <a:r>
            <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Average</a:t>
          </a:r>
          <a:r>
            <a:rPr lang="en-US" sz="1800" b="1" baseline="0">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 </a:t>
          </a:r>
          <a:r>
            <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Order</a:t>
          </a:r>
          <a:r>
            <a:rPr lang="en-US" sz="1800" b="1" baseline="0">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 </a:t>
          </a:r>
          <a:r>
            <a:rPr lang="en-US" sz="1800" b="1">
              <a:solidFill>
                <a:schemeClr val="accent6">
                  <a:lumMod val="20000"/>
                  <a:lumOff val="80000"/>
                </a:schemeClr>
              </a:solidFill>
              <a:latin typeface="Segoe UI" panose="020B0502040204020203" pitchFamily="34" charset="0"/>
              <a:ea typeface="Segoe UI Black" panose="020B0A02040204020203" pitchFamily="34" charset="0"/>
              <a:cs typeface="Segoe UI" panose="020B0502040204020203" pitchFamily="34" charset="0"/>
            </a:rPr>
            <a:t>Value</a:t>
          </a:r>
        </a:p>
      </xdr:txBody>
    </xdr:sp>
    <xdr:clientData/>
  </xdr:twoCellAnchor>
  <xdr:twoCellAnchor>
    <xdr:from>
      <xdr:col>0</xdr:col>
      <xdr:colOff>111125</xdr:colOff>
      <xdr:row>48</xdr:row>
      <xdr:rowOff>63499</xdr:rowOff>
    </xdr:from>
    <xdr:to>
      <xdr:col>9</xdr:col>
      <xdr:colOff>508000</xdr:colOff>
      <xdr:row>62</xdr:row>
      <xdr:rowOff>28574</xdr:rowOff>
    </xdr:to>
    <xdr:graphicFrame macro="">
      <xdr:nvGraphicFramePr>
        <xdr:cNvPr id="58" name="Chart 57">
          <a:extLst>
            <a:ext uri="{FF2B5EF4-FFF2-40B4-BE49-F238E27FC236}">
              <a16:creationId xmlns:a16="http://schemas.microsoft.com/office/drawing/2014/main" id="{C815A40C-A77C-4B4C-80A1-79B734E52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parveen Chahal" refreshedDate="46124.225352199071" createdVersion="8" refreshedVersion="8" minRefreshableVersion="3" recordCount="1500" xr:uid="{FB918DD9-7BAF-488C-8172-3405DC3B5FCA}">
  <cacheSource type="worksheet">
    <worksheetSource name="CleanedTable"/>
  </cacheSource>
  <cacheFields count="29">
    <cacheField name="OrderDate" numFmtId="14">
      <sharedItems containsSemiMixedTypes="0" containsNonDate="0" containsDate="1" containsString="0" minDate="2023-01-01T00:00:00" maxDate="2025-07-01T00:00:00"/>
    </cacheField>
    <cacheField name="OrderMonth" numFmtId="14">
      <sharedItems count="12">
        <s v="Feb"/>
        <s v="Dec"/>
        <s v="May"/>
        <s v="Jun"/>
        <s v="Jan"/>
        <s v="Oct"/>
        <s v="Mar"/>
        <s v="Apr"/>
        <s v="Jul"/>
        <s v="Nov"/>
        <s v="Aug"/>
        <s v="Sep"/>
      </sharedItems>
    </cacheField>
    <cacheField name="OrderYear" numFmtId="14">
      <sharedItems count="3">
        <s v="2023"/>
        <s v="2024"/>
        <s v="2025"/>
      </sharedItems>
    </cacheField>
    <cacheField name="OderMonth/Year" numFmtId="14">
      <sharedItems count="30">
        <s v="Feb 2023"/>
        <s v="Dec 2024"/>
        <s v="May 2023"/>
        <s v="Feb 2025"/>
        <s v="Jun 2023"/>
        <s v="Feb 2024"/>
        <s v="Jan 2023"/>
        <s v="Oct 2024"/>
        <s v="Mar 2025"/>
        <s v="Apr 2024"/>
        <s v="Jul 2024"/>
        <s v="Jul 2023"/>
        <s v="Jan 2025"/>
        <s v="May 2025"/>
        <s v="May 2024"/>
        <s v="Nov 2023"/>
        <s v="Jun 2025"/>
        <s v="Mar 2023"/>
        <s v="Aug 2023"/>
        <s v="Oct 2023"/>
        <s v="Nov 2024"/>
        <s v="Apr 2023"/>
        <s v="Sep 2023"/>
        <s v="Jun 2024"/>
        <s v="Jan 2024"/>
        <s v="Mar 2024"/>
        <s v="Sep 2024"/>
        <s v="Dec 2023"/>
        <s v="Apr 2025"/>
        <s v="Aug 2024"/>
      </sharedItems>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1">
      <sharedItems containsSemiMixedTypes="0" containsString="0" containsNumber="1" containsInteger="1" minValue="1" maxValue="20"/>
    </cacheField>
    <cacheField name="UnitPrice" numFmtId="2">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2">
      <sharedItems containsSemiMixedTypes="0" containsString="0" containsNumber="1" minValue="0" maxValue="0.15"/>
    </cacheField>
    <cacheField name="Salesperson" numFmtId="0">
      <sharedItems count="6">
        <s v="Eva"/>
        <s v="Alice"/>
        <s v="Frank"/>
        <s v="Carlos"/>
        <s v="Diana"/>
        <s v="Bob"/>
      </sharedItems>
    </cacheField>
    <cacheField name="TotalSalesWithDiscount" numFmtId="0">
      <sharedItems containsSemiMixedTypes="0" containsString="0" containsNumber="1" minValue="6.9699999999999989" maxValue="11077"/>
    </cacheField>
    <cacheField name="Cost" numFmtId="0">
      <sharedItems containsSemiMixedTypes="0" containsString="0" containsNumber="1" minValue="4.919999999999999" maxValue="6915.5999999999995"/>
    </cacheField>
    <cacheField name="Profit" numFmtId="2">
      <sharedItems containsSemiMixedTypes="0" containsString="0" containsNumber="1" minValue="-43.526000000000003" maxValue="4397.59"/>
    </cacheField>
    <cacheField name="ProfitMargin" numFmtId="2">
      <sharedItems containsSemiMixedTypes="0" containsString="0" containsNumber="1" minValue="-4.0602582496413211" maxValue="0.39932327121438416"/>
    </cacheField>
    <cacheField name="TotalSales" numFmtId="2">
      <sharedItems containsSemiMixedTypes="0" containsString="0" containsNumber="1" minValue="6.9699999999999989" maxValue="11077"/>
    </cacheField>
    <cacheField name="PaymentMethod" numFmtId="0">
      <sharedItems/>
    </cacheField>
    <cacheField name="Promotion" numFmtId="0">
      <sharedItems containsBlank="1"/>
    </cacheField>
    <cacheField name="PromotionFlag" numFmtId="0">
      <sharedItems count="2">
        <s v="YES"/>
        <s v="NO"/>
      </sharedItems>
    </cacheField>
    <cacheField name="Returned" numFmtId="0">
      <sharedItems containsSemiMixedTypes="0" containsString="0" containsNumber="1" containsInteger="1" minValue="0" maxValue="1"/>
    </cacheField>
    <cacheField name="ReturnedFlag" numFmtId="0">
      <sharedItems count="2">
        <s v="NO"/>
        <s v="Yes"/>
      </sharedItems>
    </cacheField>
    <cacheField name="OrderID" numFmtId="0">
      <sharedItems count="1500">
        <s v="REG100000"/>
        <s v="REG100001"/>
        <s v="REG100002"/>
        <s v="REG100003"/>
        <s v="REG100004"/>
        <s v="REG100005"/>
        <s v="REG100006"/>
        <s v="REG100007"/>
        <s v="REG100008"/>
        <s v="REG100009"/>
        <s v="REG100010"/>
        <s v="REG100011"/>
        <s v="REG100012"/>
        <s v="REG100013"/>
        <s v="REG100014"/>
        <s v="REG100015"/>
        <s v="REG100016"/>
        <s v="REG100017"/>
        <s v="REG100018"/>
        <s v="REG100019"/>
        <s v="REG100020"/>
        <s v="REG100021"/>
        <s v="REG100022"/>
        <s v="REG100023"/>
        <s v="REG100024"/>
        <s v="REG100025"/>
        <s v="REG100026"/>
        <s v="REG100027"/>
        <s v="REG100028"/>
        <s v="REG100029"/>
        <s v="REG100030"/>
        <s v="REG100031"/>
        <s v="REG100032"/>
        <s v="REG100033"/>
        <s v="REG100034"/>
        <s v="REG100035"/>
        <s v="REG100036"/>
        <s v="REG100037"/>
        <s v="REG100038"/>
        <s v="REG100039"/>
        <s v="REG100040"/>
        <s v="REG100041"/>
        <s v="REG100042"/>
        <s v="REG100043"/>
        <s v="REG100044"/>
        <s v="REG100045"/>
        <s v="REG100046"/>
        <s v="REG100047"/>
        <s v="REG100048"/>
        <s v="REG100049"/>
        <s v="REG100050"/>
        <s v="REG100051"/>
        <s v="REG100052"/>
        <s v="REG100053"/>
        <s v="REG100054"/>
        <s v="REG100055"/>
        <s v="REG100056"/>
        <s v="REG100057"/>
        <s v="REG100058"/>
        <s v="REG100059"/>
        <s v="REG100060"/>
        <s v="REG100061"/>
        <s v="REG100062"/>
        <s v="REG100063"/>
        <s v="REG100064"/>
        <s v="REG100065"/>
        <s v="REG100066"/>
        <s v="REG100067"/>
        <s v="REG100068"/>
        <s v="REG100069"/>
        <s v="REG100070"/>
        <s v="REG100071"/>
        <s v="REG100072"/>
        <s v="REG100073"/>
        <s v="REG100074"/>
        <s v="REG100075"/>
        <s v="REG100076"/>
        <s v="REG100077"/>
        <s v="REG100078"/>
        <s v="REG100079"/>
        <s v="REG100080"/>
        <s v="REG100081"/>
        <s v="REG100082"/>
        <s v="REG100083"/>
        <s v="REG100084"/>
        <s v="REG100085"/>
        <s v="REG100086"/>
        <s v="REG100087"/>
        <s v="REG100088"/>
        <s v="REG100089"/>
        <s v="REG100090"/>
        <s v="REG100091"/>
        <s v="REG100092"/>
        <s v="REG100093"/>
        <s v="REG100094"/>
        <s v="REG100095"/>
        <s v="REG100096"/>
        <s v="REG100097"/>
        <s v="REG100098"/>
        <s v="REG100099"/>
        <s v="REG100100"/>
        <s v="REG100101"/>
        <s v="REG100102"/>
        <s v="REG100103"/>
        <s v="REG100104"/>
        <s v="REG100105"/>
        <s v="REG100106"/>
        <s v="REG100107"/>
        <s v="REG100108"/>
        <s v="REG100109"/>
        <s v="REG100110"/>
        <s v="REG100111"/>
        <s v="REG100112"/>
        <s v="REG100113"/>
        <s v="REG100114"/>
        <s v="REG100115"/>
        <s v="REG100116"/>
        <s v="REG100117"/>
        <s v="REG100118"/>
        <s v="REG100119"/>
        <s v="REG100120"/>
        <s v="REG100121"/>
        <s v="REG100122"/>
        <s v="REG100123"/>
        <s v="REG100124"/>
        <s v="REG100125"/>
        <s v="REG100126"/>
        <s v="REG100127"/>
        <s v="REG100128"/>
        <s v="REG100129"/>
        <s v="REG100130"/>
        <s v="REG100131"/>
        <s v="REG100132"/>
        <s v="REG100133"/>
        <s v="REG100134"/>
        <s v="REG100135"/>
        <s v="REG100136"/>
        <s v="REG100137"/>
        <s v="REG100138"/>
        <s v="REG100139"/>
        <s v="REG100140"/>
        <s v="REG100141"/>
        <s v="REG100142"/>
        <s v="REG100143"/>
        <s v="REG100144"/>
        <s v="REG100145"/>
        <s v="REG100146"/>
        <s v="REG100147"/>
        <s v="REG100148"/>
        <s v="REG100149"/>
        <s v="REG100150"/>
        <s v="REG100151"/>
        <s v="REG100152"/>
        <s v="REG100153"/>
        <s v="REG100154"/>
        <s v="REG100155"/>
        <s v="REG100156"/>
        <s v="REG100157"/>
        <s v="REG100158"/>
        <s v="REG100159"/>
        <s v="REG100160"/>
        <s v="REG100161"/>
        <s v="REG100162"/>
        <s v="REG100163"/>
        <s v="REG100164"/>
        <s v="REG100165"/>
        <s v="REG100166"/>
        <s v="REG100167"/>
        <s v="REG100168"/>
        <s v="REG100169"/>
        <s v="REG100170"/>
        <s v="REG100171"/>
        <s v="REG100172"/>
        <s v="REG100173"/>
        <s v="REG100174"/>
        <s v="REG100175"/>
        <s v="REG100176"/>
        <s v="REG100177"/>
        <s v="REG100178"/>
        <s v="REG100179"/>
        <s v="REG100180"/>
        <s v="REG100181"/>
        <s v="REG100182"/>
        <s v="REG100183"/>
        <s v="REG100184"/>
        <s v="REG100185"/>
        <s v="REG100186"/>
        <s v="REG100187"/>
        <s v="REG100188"/>
        <s v="REG100189"/>
        <s v="REG100190"/>
        <s v="REG100191"/>
        <s v="REG100192"/>
        <s v="REG100193"/>
        <s v="REG100194"/>
        <s v="REG100195"/>
        <s v="REG100196"/>
        <s v="REG100197"/>
        <s v="REG100198"/>
        <s v="REG100199"/>
        <s v="REG100200"/>
        <s v="REG100201"/>
        <s v="REG100202"/>
        <s v="REG100203"/>
        <s v="REG100204"/>
        <s v="REG100205"/>
        <s v="REG100206"/>
        <s v="REG100207"/>
        <s v="REG100208"/>
        <s v="REG100209"/>
        <s v="REG100210"/>
        <s v="REG100211"/>
        <s v="REG100212"/>
        <s v="REG100213"/>
        <s v="REG100214"/>
        <s v="REG100215"/>
        <s v="REG100216"/>
        <s v="REG100217"/>
        <s v="REG100218"/>
        <s v="REG100219"/>
        <s v="REG100220"/>
        <s v="REG100221"/>
        <s v="REG100222"/>
        <s v="REG100223"/>
        <s v="REG100224"/>
        <s v="REG100225"/>
        <s v="REG100226"/>
        <s v="REG100227"/>
        <s v="REG100228"/>
        <s v="REG100229"/>
        <s v="REG100230"/>
        <s v="REG100231"/>
        <s v="REG100232"/>
        <s v="REG100233"/>
        <s v="REG100234"/>
        <s v="REG100235"/>
        <s v="REG100236"/>
        <s v="REG100237"/>
        <s v="REG100238"/>
        <s v="REG100239"/>
        <s v="REG100240"/>
        <s v="REG100241"/>
        <s v="REG100242"/>
        <s v="REG100243"/>
        <s v="REG100244"/>
        <s v="REG100245"/>
        <s v="REG100246"/>
        <s v="REG100247"/>
        <s v="REG100248"/>
        <s v="REG100249"/>
        <s v="REG100250"/>
        <s v="REG100251"/>
        <s v="REG100252"/>
        <s v="REG100253"/>
        <s v="REG100254"/>
        <s v="REG100255"/>
        <s v="REG100256"/>
        <s v="REG100257"/>
        <s v="REG100258"/>
        <s v="REG100259"/>
        <s v="REG100260"/>
        <s v="REG100261"/>
        <s v="REG100262"/>
        <s v="REG100263"/>
        <s v="REG100264"/>
        <s v="REG100265"/>
        <s v="REG100266"/>
        <s v="REG100267"/>
        <s v="REG100268"/>
        <s v="REG100269"/>
        <s v="REG100270"/>
        <s v="REG100271"/>
        <s v="REG100272"/>
        <s v="REG100273"/>
        <s v="REG100274"/>
        <s v="REG100275"/>
        <s v="REG100276"/>
        <s v="REG100277"/>
        <s v="REG100278"/>
        <s v="REG100279"/>
        <s v="REG100280"/>
        <s v="REG100281"/>
        <s v="REG100282"/>
        <s v="REG100283"/>
        <s v="REG100284"/>
        <s v="REG100285"/>
        <s v="REG100286"/>
        <s v="REG100287"/>
        <s v="REG100288"/>
        <s v="REG100289"/>
        <s v="REG100290"/>
        <s v="REG100291"/>
        <s v="REG100292"/>
        <s v="REG100293"/>
        <s v="REG100294"/>
        <s v="REG100295"/>
        <s v="REG100296"/>
        <s v="REG100297"/>
        <s v="REG100298"/>
        <s v="REG100299"/>
        <s v="REG100300"/>
        <s v="REG100301"/>
        <s v="REG100302"/>
        <s v="REG100303"/>
        <s v="REG100304"/>
        <s v="REG100305"/>
        <s v="REG100306"/>
        <s v="REG100307"/>
        <s v="REG100308"/>
        <s v="REG100309"/>
        <s v="REG100310"/>
        <s v="REG100311"/>
        <s v="REG100312"/>
        <s v="REG100313"/>
        <s v="REG100314"/>
        <s v="REG100315"/>
        <s v="REG100316"/>
        <s v="REG100317"/>
        <s v="REG100318"/>
        <s v="REG100319"/>
        <s v="REG100320"/>
        <s v="REG100321"/>
        <s v="REG100322"/>
        <s v="REG100323"/>
        <s v="REG100324"/>
        <s v="REG100325"/>
        <s v="REG100326"/>
        <s v="REG100327"/>
        <s v="REG100328"/>
        <s v="REG100329"/>
        <s v="REG100330"/>
        <s v="REG100331"/>
        <s v="REG100332"/>
        <s v="REG100333"/>
        <s v="REG100334"/>
        <s v="REG100335"/>
        <s v="REG100336"/>
        <s v="REG100337"/>
        <s v="REG100338"/>
        <s v="REG100339"/>
        <s v="REG100340"/>
        <s v="REG100341"/>
        <s v="REG100342"/>
        <s v="REG100343"/>
        <s v="REG100344"/>
        <s v="REG100345"/>
        <s v="REG100346"/>
        <s v="REG100347"/>
        <s v="REG100348"/>
        <s v="REG100349"/>
        <s v="REG100350"/>
        <s v="REG100351"/>
        <s v="REG100352"/>
        <s v="REG100353"/>
        <s v="REG100354"/>
        <s v="REG100355"/>
        <s v="REG100356"/>
        <s v="REG100357"/>
        <s v="REG100358"/>
        <s v="REG100359"/>
        <s v="REG100360"/>
        <s v="REG100361"/>
        <s v="REG100362"/>
        <s v="REG100363"/>
        <s v="REG100364"/>
        <s v="REG100365"/>
        <s v="REG100366"/>
        <s v="REG100367"/>
        <s v="REG100368"/>
        <s v="REG100369"/>
        <s v="REG100370"/>
        <s v="REG100371"/>
        <s v="REG100372"/>
        <s v="REG100373"/>
        <s v="REG100374"/>
        <s v="REG100375"/>
        <s v="REG100376"/>
        <s v="REG100377"/>
        <s v="REG100378"/>
        <s v="REG100379"/>
        <s v="REG100380"/>
        <s v="REG100381"/>
        <s v="REG100382"/>
        <s v="REG100383"/>
        <s v="REG100384"/>
        <s v="REG100385"/>
        <s v="REG100386"/>
        <s v="REG100387"/>
        <s v="REG100388"/>
        <s v="REG100389"/>
        <s v="REG100390"/>
        <s v="REG100391"/>
        <s v="REG100392"/>
        <s v="REG100393"/>
        <s v="REG100394"/>
        <s v="REG100395"/>
        <s v="REG100396"/>
        <s v="REG100397"/>
        <s v="REG100398"/>
        <s v="REG100399"/>
        <s v="REG100400"/>
        <s v="REG100401"/>
        <s v="REG100402"/>
        <s v="REG100403"/>
        <s v="REG100404"/>
        <s v="REG100405"/>
        <s v="REG100406"/>
        <s v="REG100407"/>
        <s v="REG100408"/>
        <s v="REG100409"/>
        <s v="REG100410"/>
        <s v="REG100411"/>
        <s v="REG100412"/>
        <s v="REG100413"/>
        <s v="REG100414"/>
        <s v="REG100415"/>
        <s v="REG100416"/>
        <s v="REG100417"/>
        <s v="REG100418"/>
        <s v="REG100419"/>
        <s v="REG100420"/>
        <s v="REG100421"/>
        <s v="REG100422"/>
        <s v="REG100423"/>
        <s v="REG100424"/>
        <s v="REG100425"/>
        <s v="REG100426"/>
        <s v="REG100427"/>
        <s v="REG100428"/>
        <s v="REG100429"/>
        <s v="REG100430"/>
        <s v="REG100431"/>
        <s v="REG100432"/>
        <s v="REG100433"/>
        <s v="REG100434"/>
        <s v="REG100435"/>
        <s v="REG100436"/>
        <s v="REG100437"/>
        <s v="REG100438"/>
        <s v="REG100439"/>
        <s v="REG100440"/>
        <s v="REG100441"/>
        <s v="REG100442"/>
        <s v="REG100443"/>
        <s v="REG100444"/>
        <s v="REG100445"/>
        <s v="REG100446"/>
        <s v="REG100447"/>
        <s v="REG100448"/>
        <s v="REG100449"/>
        <s v="REG100450"/>
        <s v="REG100451"/>
        <s v="REG100452"/>
        <s v="REG100453"/>
        <s v="REG100454"/>
        <s v="REG100455"/>
        <s v="REG100456"/>
        <s v="REG100457"/>
        <s v="REG100458"/>
        <s v="REG100459"/>
        <s v="REG100460"/>
        <s v="REG100461"/>
        <s v="REG100462"/>
        <s v="REG100463"/>
        <s v="REG100464"/>
        <s v="REG100465"/>
        <s v="REG100466"/>
        <s v="REG100467"/>
        <s v="REG100468"/>
        <s v="REG100469"/>
        <s v="REG100470"/>
        <s v="REG100471"/>
        <s v="REG100472"/>
        <s v="REG100473"/>
        <s v="REG100474"/>
        <s v="REG100475"/>
        <s v="REG100476"/>
        <s v="REG100477"/>
        <s v="REG100478"/>
        <s v="REG100479"/>
        <s v="REG100480"/>
        <s v="REG100481"/>
        <s v="REG100482"/>
        <s v="REG100483"/>
        <s v="REG100484"/>
        <s v="REG100485"/>
        <s v="REG100486"/>
        <s v="REG100487"/>
        <s v="REG100488"/>
        <s v="REG100489"/>
        <s v="REG100490"/>
        <s v="REG100491"/>
        <s v="REG100492"/>
        <s v="REG100493"/>
        <s v="REG100494"/>
        <s v="REG100495"/>
        <s v="REG100496"/>
        <s v="REG100497"/>
        <s v="REG100498"/>
        <s v="REG100499"/>
        <s v="REG100500"/>
        <s v="REG100501"/>
        <s v="REG100502"/>
        <s v="REG100503"/>
        <s v="REG100504"/>
        <s v="REG100505"/>
        <s v="REG100506"/>
        <s v="REG100507"/>
        <s v="REG100508"/>
        <s v="REG100509"/>
        <s v="REG100510"/>
        <s v="REG100511"/>
        <s v="REG100512"/>
        <s v="REG100513"/>
        <s v="REG100514"/>
        <s v="REG100515"/>
        <s v="REG100516"/>
        <s v="REG100517"/>
        <s v="REG100518"/>
        <s v="REG100519"/>
        <s v="REG100520"/>
        <s v="REG100521"/>
        <s v="REG100522"/>
        <s v="REG100523"/>
        <s v="REG100524"/>
        <s v="REG100525"/>
        <s v="REG100526"/>
        <s v="REG100527"/>
        <s v="REG100528"/>
        <s v="REG100529"/>
        <s v="REG100530"/>
        <s v="REG100531"/>
        <s v="REG100532"/>
        <s v="REG100533"/>
        <s v="REG100534"/>
        <s v="REG100535"/>
        <s v="REG100536"/>
        <s v="REG100537"/>
        <s v="REG100538"/>
        <s v="REG100539"/>
        <s v="REG100540"/>
        <s v="REG100541"/>
        <s v="REG100542"/>
        <s v="REG100543"/>
        <s v="REG100544"/>
        <s v="REG100545"/>
        <s v="REG100546"/>
        <s v="REG100547"/>
        <s v="REG100548"/>
        <s v="REG100549"/>
        <s v="REG100550"/>
        <s v="REG100551"/>
        <s v="REG100552"/>
        <s v="REG100553"/>
        <s v="REG100554"/>
        <s v="REG100555"/>
        <s v="REG100556"/>
        <s v="REG100557"/>
        <s v="REG100558"/>
        <s v="REG100559"/>
        <s v="REG100560"/>
        <s v="REG100561"/>
        <s v="REG100562"/>
        <s v="REG100563"/>
        <s v="REG100564"/>
        <s v="REG100565"/>
        <s v="REG100566"/>
        <s v="REG100567"/>
        <s v="REG100568"/>
        <s v="REG100569"/>
        <s v="REG100570"/>
        <s v="REG100571"/>
        <s v="REG100572"/>
        <s v="REG100573"/>
        <s v="REG100574"/>
        <s v="REG100575"/>
        <s v="REG100576"/>
        <s v="REG100577"/>
        <s v="REG100578"/>
        <s v="REG100579"/>
        <s v="REG100580"/>
        <s v="REG100581"/>
        <s v="REG100582"/>
        <s v="REG100583"/>
        <s v="REG100584"/>
        <s v="REG100585"/>
        <s v="REG100586"/>
        <s v="REG100587"/>
        <s v="REG100588"/>
        <s v="REG100589"/>
        <s v="REG100590"/>
        <s v="REG100591"/>
        <s v="REG100592"/>
        <s v="REG100593"/>
        <s v="REG100594"/>
        <s v="REG100595"/>
        <s v="REG100596"/>
        <s v="REG100597"/>
        <s v="REG100598"/>
        <s v="REG100599"/>
        <s v="REG100600"/>
        <s v="REG100601"/>
        <s v="REG100602"/>
        <s v="REG100603"/>
        <s v="REG100604"/>
        <s v="REG100605"/>
        <s v="REG100606"/>
        <s v="REG100607"/>
        <s v="REG100608"/>
        <s v="REG100609"/>
        <s v="REG100610"/>
        <s v="REG100611"/>
        <s v="REG100612"/>
        <s v="REG100613"/>
        <s v="REG100614"/>
        <s v="REG100615"/>
        <s v="REG100616"/>
        <s v="REG100617"/>
        <s v="REG100618"/>
        <s v="REG100619"/>
        <s v="REG100620"/>
        <s v="REG100621"/>
        <s v="REG100622"/>
        <s v="REG100623"/>
        <s v="REG100624"/>
        <s v="REG100625"/>
        <s v="REG100626"/>
        <s v="REG100627"/>
        <s v="REG100628"/>
        <s v="REG100629"/>
        <s v="REG100630"/>
        <s v="REG100631"/>
        <s v="REG100632"/>
        <s v="REG100633"/>
        <s v="REG100634"/>
        <s v="REG100635"/>
        <s v="REG100636"/>
        <s v="REG100637"/>
        <s v="REG100638"/>
        <s v="REG100639"/>
        <s v="REG100640"/>
        <s v="REG100641"/>
        <s v="REG100642"/>
        <s v="REG100643"/>
        <s v="REG100644"/>
        <s v="REG100645"/>
        <s v="REG100646"/>
        <s v="REG100647"/>
        <s v="REG100648"/>
        <s v="REG100649"/>
        <s v="REG100650"/>
        <s v="REG100651"/>
        <s v="REG100652"/>
        <s v="REG100653"/>
        <s v="REG100654"/>
        <s v="REG100655"/>
        <s v="REG100656"/>
        <s v="REG100657"/>
        <s v="REG100658"/>
        <s v="REG100659"/>
        <s v="REG100660"/>
        <s v="REG100661"/>
        <s v="REG100662"/>
        <s v="REG100663"/>
        <s v="REG100664"/>
        <s v="REG100665"/>
        <s v="REG100666"/>
        <s v="REG100667"/>
        <s v="REG100668"/>
        <s v="REG100669"/>
        <s v="REG100670"/>
        <s v="REG100671"/>
        <s v="REG100672"/>
        <s v="REG100673"/>
        <s v="REG100674"/>
        <s v="REG100675"/>
        <s v="REG100676"/>
        <s v="REG100677"/>
        <s v="REG100678"/>
        <s v="REG100679"/>
        <s v="REG100680"/>
        <s v="REG100681"/>
        <s v="REG100682"/>
        <s v="REG100683"/>
        <s v="REG100684"/>
        <s v="REG100685"/>
        <s v="REG100686"/>
        <s v="REG100687"/>
        <s v="REG100688"/>
        <s v="REG100689"/>
        <s v="REG100690"/>
        <s v="REG100691"/>
        <s v="REG100692"/>
        <s v="REG100693"/>
        <s v="REG100694"/>
        <s v="REG100695"/>
        <s v="REG100696"/>
        <s v="REG100697"/>
        <s v="REG100698"/>
        <s v="REG100699"/>
        <s v="REG100700"/>
        <s v="REG100701"/>
        <s v="REG100702"/>
        <s v="REG100703"/>
        <s v="REG100704"/>
        <s v="REG100705"/>
        <s v="REG100706"/>
        <s v="REG100707"/>
        <s v="REG100708"/>
        <s v="REG100709"/>
        <s v="REG100710"/>
        <s v="REG100711"/>
        <s v="REG100712"/>
        <s v="REG100713"/>
        <s v="REG100714"/>
        <s v="REG100715"/>
        <s v="REG100716"/>
        <s v="REG100717"/>
        <s v="REG100718"/>
        <s v="REG100719"/>
        <s v="REG100720"/>
        <s v="REG100721"/>
        <s v="REG100722"/>
        <s v="REG100723"/>
        <s v="REG100724"/>
        <s v="REG100725"/>
        <s v="REG100726"/>
        <s v="REG100727"/>
        <s v="REG100728"/>
        <s v="REG100729"/>
        <s v="REG100730"/>
        <s v="REG100731"/>
        <s v="REG100732"/>
        <s v="REG100733"/>
        <s v="REG100734"/>
        <s v="REG100735"/>
        <s v="REG100736"/>
        <s v="REG100737"/>
        <s v="REG100738"/>
        <s v="REG100739"/>
        <s v="REG100740"/>
        <s v="REG100741"/>
        <s v="REG100742"/>
        <s v="REG100743"/>
        <s v="REG100744"/>
        <s v="REG100745"/>
        <s v="REG100746"/>
        <s v="REG100747"/>
        <s v="REG100748"/>
        <s v="REG100749"/>
        <s v="REG100750"/>
        <s v="REG100751"/>
        <s v="REG100752"/>
        <s v="REG100753"/>
        <s v="REG100754"/>
        <s v="REG100755"/>
        <s v="REG100756"/>
        <s v="REG100757"/>
        <s v="REG100758"/>
        <s v="REG100759"/>
        <s v="REG100760"/>
        <s v="REG100761"/>
        <s v="REG100762"/>
        <s v="REG100763"/>
        <s v="REG100764"/>
        <s v="REG100765"/>
        <s v="REG100766"/>
        <s v="REG100767"/>
        <s v="REG100768"/>
        <s v="REG100769"/>
        <s v="REG100770"/>
        <s v="REG100771"/>
        <s v="REG100772"/>
        <s v="REG100773"/>
        <s v="REG100774"/>
        <s v="REG100775"/>
        <s v="REG100776"/>
        <s v="REG100777"/>
        <s v="REG100778"/>
        <s v="REG100779"/>
        <s v="REG100780"/>
        <s v="REG100781"/>
        <s v="REG100782"/>
        <s v="REG100783"/>
        <s v="REG100784"/>
        <s v="REG100785"/>
        <s v="REG100786"/>
        <s v="REG100787"/>
        <s v="REG100788"/>
        <s v="REG100789"/>
        <s v="REG100790"/>
        <s v="REG100791"/>
        <s v="REG100792"/>
        <s v="REG100793"/>
        <s v="REG100794"/>
        <s v="REG100795"/>
        <s v="REG100796"/>
        <s v="REG100797"/>
        <s v="REG100798"/>
        <s v="REG100799"/>
        <s v="REG100800"/>
        <s v="REG100801"/>
        <s v="REG100802"/>
        <s v="REG100803"/>
        <s v="REG100804"/>
        <s v="REG100805"/>
        <s v="REG100806"/>
        <s v="REG100807"/>
        <s v="REG100808"/>
        <s v="REG100809"/>
        <s v="REG100810"/>
        <s v="REG100811"/>
        <s v="REG100812"/>
        <s v="REG100813"/>
        <s v="REG100814"/>
        <s v="REG100815"/>
        <s v="REG100816"/>
        <s v="REG100817"/>
        <s v="REG100818"/>
        <s v="REG100819"/>
        <s v="REG100820"/>
        <s v="REG100821"/>
        <s v="REG100822"/>
        <s v="REG100823"/>
        <s v="REG100824"/>
        <s v="REG100825"/>
        <s v="REG100826"/>
        <s v="REG100827"/>
        <s v="REG100828"/>
        <s v="REG100829"/>
        <s v="REG100830"/>
        <s v="REG100831"/>
        <s v="REG100832"/>
        <s v="REG100833"/>
        <s v="REG100834"/>
        <s v="REG100835"/>
        <s v="REG100836"/>
        <s v="REG100837"/>
        <s v="REG100838"/>
        <s v="REG100839"/>
        <s v="REG100840"/>
        <s v="REG100841"/>
        <s v="REG100842"/>
        <s v="REG100843"/>
        <s v="REG100844"/>
        <s v="REG100845"/>
        <s v="REG100846"/>
        <s v="REG100847"/>
        <s v="REG100848"/>
        <s v="REG100849"/>
        <s v="REG100850"/>
        <s v="REG100851"/>
        <s v="REG100852"/>
        <s v="REG100853"/>
        <s v="REG100854"/>
        <s v="REG100855"/>
        <s v="REG100856"/>
        <s v="REG100857"/>
        <s v="REG100858"/>
        <s v="REG100859"/>
        <s v="REG100860"/>
        <s v="REG100861"/>
        <s v="REG100862"/>
        <s v="REG100863"/>
        <s v="REG100864"/>
        <s v="REG100865"/>
        <s v="REG100866"/>
        <s v="REG100867"/>
        <s v="REG100868"/>
        <s v="REG100869"/>
        <s v="REG100870"/>
        <s v="REG100871"/>
        <s v="REG100872"/>
        <s v="REG100873"/>
        <s v="REG100874"/>
        <s v="REG100875"/>
        <s v="REG100876"/>
        <s v="REG100877"/>
        <s v="REG100878"/>
        <s v="REG100879"/>
        <s v="REG100880"/>
        <s v="REG100881"/>
        <s v="REG100882"/>
        <s v="REG100883"/>
        <s v="REG100884"/>
        <s v="REG100885"/>
        <s v="REG100886"/>
        <s v="REG100887"/>
        <s v="REG100888"/>
        <s v="REG100889"/>
        <s v="REG100890"/>
        <s v="REG100891"/>
        <s v="REG100892"/>
        <s v="REG100893"/>
        <s v="REG100894"/>
        <s v="REG100895"/>
        <s v="REG100896"/>
        <s v="REG100897"/>
        <s v="REG100898"/>
        <s v="REG100899"/>
        <s v="REG100900"/>
        <s v="REG100901"/>
        <s v="REG100902"/>
        <s v="REG100903"/>
        <s v="REG100904"/>
        <s v="REG100905"/>
        <s v="REG100906"/>
        <s v="REG100907"/>
        <s v="REG100908"/>
        <s v="REG100909"/>
        <s v="REG100910"/>
        <s v="REG100911"/>
        <s v="REG100912"/>
        <s v="REG100913"/>
        <s v="REG100914"/>
        <s v="REG100915"/>
        <s v="REG100916"/>
        <s v="REG100917"/>
        <s v="REG100918"/>
        <s v="REG100919"/>
        <s v="REG100920"/>
        <s v="REG100921"/>
        <s v="REG100922"/>
        <s v="REG100923"/>
        <s v="REG100924"/>
        <s v="REG100925"/>
        <s v="REG100926"/>
        <s v="REG100927"/>
        <s v="REG100928"/>
        <s v="REG100929"/>
        <s v="REG100930"/>
        <s v="REG100931"/>
        <s v="REG100932"/>
        <s v="REG100933"/>
        <s v="REG100934"/>
        <s v="REG100935"/>
        <s v="REG100936"/>
        <s v="REG100937"/>
        <s v="REG100938"/>
        <s v="REG100939"/>
        <s v="REG100940"/>
        <s v="REG100941"/>
        <s v="REG100942"/>
        <s v="REG100943"/>
        <s v="REG100944"/>
        <s v="REG100945"/>
        <s v="REG100946"/>
        <s v="REG100947"/>
        <s v="REG100948"/>
        <s v="REG100949"/>
        <s v="REG100950"/>
        <s v="REG100951"/>
        <s v="REG100952"/>
        <s v="REG100953"/>
        <s v="REG100954"/>
        <s v="REG100955"/>
        <s v="REG100956"/>
        <s v="REG100957"/>
        <s v="REG100958"/>
        <s v="REG100959"/>
        <s v="REG100960"/>
        <s v="REG100961"/>
        <s v="REG100962"/>
        <s v="REG100963"/>
        <s v="REG100964"/>
        <s v="REG100965"/>
        <s v="REG100966"/>
        <s v="REG100967"/>
        <s v="REG100968"/>
        <s v="REG100969"/>
        <s v="REG100970"/>
        <s v="REG100971"/>
        <s v="REG100972"/>
        <s v="REG100973"/>
        <s v="REG100974"/>
        <s v="REG100975"/>
        <s v="REG100976"/>
        <s v="REG100977"/>
        <s v="REG100978"/>
        <s v="REG100979"/>
        <s v="REG100980"/>
        <s v="REG100981"/>
        <s v="REG100982"/>
        <s v="REG100983"/>
        <s v="REG100984"/>
        <s v="REG100985"/>
        <s v="REG100986"/>
        <s v="REG100987"/>
        <s v="REG100988"/>
        <s v="REG100989"/>
        <s v="REG100990"/>
        <s v="REG100991"/>
        <s v="REG100992"/>
        <s v="REG100993"/>
        <s v="REG100994"/>
        <s v="REG100995"/>
        <s v="REG100996"/>
        <s v="REG100997"/>
        <s v="REG100998"/>
        <s v="REG100999"/>
        <s v="REG101000"/>
        <s v="REG101001"/>
        <s v="REG101002"/>
        <s v="REG101003"/>
        <s v="REG101004"/>
        <s v="REG101005"/>
        <s v="REG101006"/>
        <s v="REG101007"/>
        <s v="REG101008"/>
        <s v="REG101009"/>
        <s v="REG101010"/>
        <s v="REG101011"/>
        <s v="REG101012"/>
        <s v="REG101013"/>
        <s v="REG101014"/>
        <s v="REG101015"/>
        <s v="REG101016"/>
        <s v="REG101017"/>
        <s v="REG101018"/>
        <s v="REG101019"/>
        <s v="REG101020"/>
        <s v="REG101021"/>
        <s v="REG101022"/>
        <s v="REG101023"/>
        <s v="REG101024"/>
        <s v="REG101025"/>
        <s v="REG101026"/>
        <s v="REG101027"/>
        <s v="REG101028"/>
        <s v="REG101029"/>
        <s v="REG101030"/>
        <s v="REG101031"/>
        <s v="REG101032"/>
        <s v="REG101033"/>
        <s v="REG101034"/>
        <s v="REG101035"/>
        <s v="REG101036"/>
        <s v="REG101037"/>
        <s v="REG101038"/>
        <s v="REG101039"/>
        <s v="REG101040"/>
        <s v="REG101041"/>
        <s v="REG101042"/>
        <s v="REG101043"/>
        <s v="REG101044"/>
        <s v="REG101045"/>
        <s v="REG101046"/>
        <s v="REG101047"/>
        <s v="REG101048"/>
        <s v="REG101049"/>
        <s v="REG101050"/>
        <s v="REG101051"/>
        <s v="REG101052"/>
        <s v="REG101053"/>
        <s v="REG101054"/>
        <s v="REG101055"/>
        <s v="REG101056"/>
        <s v="REG101057"/>
        <s v="REG101058"/>
        <s v="REG101059"/>
        <s v="REG101060"/>
        <s v="REG101061"/>
        <s v="REG101062"/>
        <s v="REG101063"/>
        <s v="REG101064"/>
        <s v="REG101065"/>
        <s v="REG101066"/>
        <s v="REG101067"/>
        <s v="REG101068"/>
        <s v="REG101069"/>
        <s v="REG101070"/>
        <s v="REG101071"/>
        <s v="REG101072"/>
        <s v="REG101073"/>
        <s v="REG101074"/>
        <s v="REG101075"/>
        <s v="REG101076"/>
        <s v="REG101077"/>
        <s v="REG101078"/>
        <s v="REG101079"/>
        <s v="REG101080"/>
        <s v="REG101081"/>
        <s v="REG101082"/>
        <s v="REG101083"/>
        <s v="REG101084"/>
        <s v="REG101085"/>
        <s v="REG101086"/>
        <s v="REG101087"/>
        <s v="REG101088"/>
        <s v="REG101089"/>
        <s v="REG101090"/>
        <s v="REG101091"/>
        <s v="REG101092"/>
        <s v="REG101093"/>
        <s v="REG101094"/>
        <s v="REG101095"/>
        <s v="REG101096"/>
        <s v="REG101097"/>
        <s v="REG101098"/>
        <s v="REG101099"/>
        <s v="REG101100"/>
        <s v="REG101101"/>
        <s v="REG101102"/>
        <s v="REG101103"/>
        <s v="REG101104"/>
        <s v="REG101105"/>
        <s v="REG101106"/>
        <s v="REG101107"/>
        <s v="REG101108"/>
        <s v="REG101109"/>
        <s v="REG101110"/>
        <s v="REG101111"/>
        <s v="REG101112"/>
        <s v="REG101113"/>
        <s v="REG101114"/>
        <s v="REG101115"/>
        <s v="REG101116"/>
        <s v="REG101117"/>
        <s v="REG101118"/>
        <s v="REG101119"/>
        <s v="REG101120"/>
        <s v="REG101121"/>
        <s v="REG101122"/>
        <s v="REG101123"/>
        <s v="REG101124"/>
        <s v="REG101125"/>
        <s v="REG101126"/>
        <s v="REG101127"/>
        <s v="REG101128"/>
        <s v="REG101129"/>
        <s v="REG101130"/>
        <s v="REG101131"/>
        <s v="REG101132"/>
        <s v="REG101133"/>
        <s v="REG101134"/>
        <s v="REG101135"/>
        <s v="REG101136"/>
        <s v="REG101137"/>
        <s v="REG101138"/>
        <s v="REG101139"/>
        <s v="REG101140"/>
        <s v="REG101141"/>
        <s v="REG101142"/>
        <s v="REG101143"/>
        <s v="REG101144"/>
        <s v="REG101145"/>
        <s v="REG101146"/>
        <s v="REG101147"/>
        <s v="REG101148"/>
        <s v="REG101149"/>
        <s v="REG101150"/>
        <s v="REG101151"/>
        <s v="REG101152"/>
        <s v="REG101153"/>
        <s v="REG101154"/>
        <s v="REG101155"/>
        <s v="REG101156"/>
        <s v="REG101157"/>
        <s v="REG101158"/>
        <s v="REG101159"/>
        <s v="REG101160"/>
        <s v="REG101161"/>
        <s v="REG101162"/>
        <s v="REG101163"/>
        <s v="REG101164"/>
        <s v="REG101165"/>
        <s v="REG101166"/>
        <s v="REG101167"/>
        <s v="REG101168"/>
        <s v="REG101169"/>
        <s v="REG101170"/>
        <s v="REG101171"/>
        <s v="REG101172"/>
        <s v="REG101173"/>
        <s v="REG101174"/>
        <s v="REG101175"/>
        <s v="REG101176"/>
        <s v="REG101177"/>
        <s v="REG101178"/>
        <s v="REG101179"/>
        <s v="REG101180"/>
        <s v="REG101181"/>
        <s v="REG101182"/>
        <s v="REG101183"/>
        <s v="REG101184"/>
        <s v="REG101185"/>
        <s v="REG101186"/>
        <s v="REG101187"/>
        <s v="REG101188"/>
        <s v="REG101189"/>
        <s v="REG101190"/>
        <s v="REG101191"/>
        <s v="REG101192"/>
        <s v="REG101193"/>
        <s v="REG101194"/>
        <s v="REG101195"/>
        <s v="REG101196"/>
        <s v="REG101197"/>
        <s v="REG101198"/>
        <s v="REG101199"/>
        <s v="REG101200"/>
        <s v="REG101201"/>
        <s v="REG101202"/>
        <s v="REG101203"/>
        <s v="REG101204"/>
        <s v="REG101205"/>
        <s v="REG101206"/>
        <s v="REG101207"/>
        <s v="REG101208"/>
        <s v="REG101209"/>
        <s v="REG101210"/>
        <s v="REG101211"/>
        <s v="REG101212"/>
        <s v="REG101213"/>
        <s v="REG101214"/>
        <s v="REG101215"/>
        <s v="REG101216"/>
        <s v="REG101217"/>
        <s v="REG101218"/>
        <s v="REG101219"/>
        <s v="REG101220"/>
        <s v="REG101221"/>
        <s v="REG101222"/>
        <s v="REG101223"/>
        <s v="REG101224"/>
        <s v="REG101225"/>
        <s v="REG101226"/>
        <s v="REG101227"/>
        <s v="REG101228"/>
        <s v="REG101229"/>
        <s v="REG101230"/>
        <s v="REG101231"/>
        <s v="REG101232"/>
        <s v="REG101233"/>
        <s v="REG101234"/>
        <s v="REG101235"/>
        <s v="REG101236"/>
        <s v="REG101237"/>
        <s v="REG101238"/>
        <s v="REG101239"/>
        <s v="REG101240"/>
        <s v="REG101241"/>
        <s v="REG101242"/>
        <s v="REG101243"/>
        <s v="REG101244"/>
        <s v="REG101245"/>
        <s v="REG101246"/>
        <s v="REG101247"/>
        <s v="REG101248"/>
        <s v="REG101249"/>
        <s v="REG101250"/>
        <s v="REG101251"/>
        <s v="REG101252"/>
        <s v="REG101253"/>
        <s v="REG101254"/>
        <s v="REG101255"/>
        <s v="REG101256"/>
        <s v="REG101257"/>
        <s v="REG101258"/>
        <s v="REG101259"/>
        <s v="REG101260"/>
        <s v="REG101261"/>
        <s v="REG101262"/>
        <s v="REG101263"/>
        <s v="REG101264"/>
        <s v="REG101265"/>
        <s v="REG101266"/>
        <s v="REG101267"/>
        <s v="REG101268"/>
        <s v="REG101269"/>
        <s v="REG101270"/>
        <s v="REG101271"/>
        <s v="REG101272"/>
        <s v="REG101273"/>
        <s v="REG101274"/>
        <s v="REG101275"/>
        <s v="REG101276"/>
        <s v="REG101277"/>
        <s v="REG101278"/>
        <s v="REG101279"/>
        <s v="REG101280"/>
        <s v="REG101281"/>
        <s v="REG101282"/>
        <s v="REG101283"/>
        <s v="REG101284"/>
        <s v="REG101285"/>
        <s v="REG101286"/>
        <s v="REG101287"/>
        <s v="REG101288"/>
        <s v="REG101289"/>
        <s v="REG101290"/>
        <s v="REG101291"/>
        <s v="REG101292"/>
        <s v="REG101293"/>
        <s v="REG101294"/>
        <s v="REG101295"/>
        <s v="REG101296"/>
        <s v="REG101297"/>
        <s v="REG101298"/>
        <s v="REG101299"/>
        <s v="REG101300"/>
        <s v="REG101301"/>
        <s v="REG101302"/>
        <s v="REG101303"/>
        <s v="REG101304"/>
        <s v="REG101305"/>
        <s v="REG101306"/>
        <s v="REG101307"/>
        <s v="REG101308"/>
        <s v="REG101309"/>
        <s v="REG101310"/>
        <s v="REG101311"/>
        <s v="REG101312"/>
        <s v="REG101313"/>
        <s v="REG101314"/>
        <s v="REG101315"/>
        <s v="REG101316"/>
        <s v="REG101317"/>
        <s v="REG101318"/>
        <s v="REG101319"/>
        <s v="REG101320"/>
        <s v="REG101321"/>
        <s v="REG101322"/>
        <s v="REG101323"/>
        <s v="REG101324"/>
        <s v="REG101325"/>
        <s v="REG101326"/>
        <s v="REG101327"/>
        <s v="REG101328"/>
        <s v="REG101329"/>
        <s v="REG101330"/>
        <s v="REG101331"/>
        <s v="REG101332"/>
        <s v="REG101333"/>
        <s v="REG101334"/>
        <s v="REG101335"/>
        <s v="REG101336"/>
        <s v="REG101337"/>
        <s v="REG101338"/>
        <s v="REG101339"/>
        <s v="REG101340"/>
        <s v="REG101341"/>
        <s v="REG101342"/>
        <s v="REG101343"/>
        <s v="REG101344"/>
        <s v="REG101345"/>
        <s v="REG101346"/>
        <s v="REG101347"/>
        <s v="REG101348"/>
        <s v="REG101349"/>
        <s v="REG101350"/>
        <s v="REG101351"/>
        <s v="REG101352"/>
        <s v="REG101353"/>
        <s v="REG101354"/>
        <s v="REG101355"/>
        <s v="REG101356"/>
        <s v="REG101357"/>
        <s v="REG101358"/>
        <s v="REG101359"/>
        <s v="REG101360"/>
        <s v="REG101361"/>
        <s v="REG101362"/>
        <s v="REG101363"/>
        <s v="REG101364"/>
        <s v="REG101365"/>
        <s v="REG101366"/>
        <s v="REG101367"/>
        <s v="REG101368"/>
        <s v="REG101369"/>
        <s v="REG101370"/>
        <s v="REG101371"/>
        <s v="REG101372"/>
        <s v="REG101373"/>
        <s v="REG101374"/>
        <s v="REG101375"/>
        <s v="REG101376"/>
        <s v="REG101377"/>
        <s v="REG101378"/>
        <s v="REG101379"/>
        <s v="REG101380"/>
        <s v="REG101381"/>
        <s v="REG101382"/>
        <s v="REG101383"/>
        <s v="REG101384"/>
        <s v="REG101385"/>
        <s v="REG101386"/>
        <s v="REG101387"/>
        <s v="REG101388"/>
        <s v="REG101389"/>
        <s v="REG101390"/>
        <s v="REG101391"/>
        <s v="REG101392"/>
        <s v="REG101393"/>
        <s v="REG101394"/>
        <s v="REG101395"/>
        <s v="REG101396"/>
        <s v="REG101397"/>
        <s v="REG101398"/>
        <s v="REG101399"/>
        <s v="REG101400"/>
        <s v="REG101401"/>
        <s v="REG101402"/>
        <s v="REG101403"/>
        <s v="REG101404"/>
        <s v="REG101405"/>
        <s v="REG101406"/>
        <s v="REG101407"/>
        <s v="REG101408"/>
        <s v="REG101409"/>
        <s v="REG101410"/>
        <s v="REG101411"/>
        <s v="REG101412"/>
        <s v="REG101413"/>
        <s v="REG101414"/>
        <s v="REG101415"/>
        <s v="REG101416"/>
        <s v="REG101417"/>
        <s v="REG101418"/>
        <s v="REG101419"/>
        <s v="REG101420"/>
        <s v="REG101421"/>
        <s v="REG101422"/>
        <s v="REG101423"/>
        <s v="REG101424"/>
        <s v="REG101425"/>
        <s v="REG101426"/>
        <s v="REG101427"/>
        <s v="REG101428"/>
        <s v="REG101429"/>
        <s v="REG101430"/>
        <s v="REG101431"/>
        <s v="REG101432"/>
        <s v="REG101433"/>
        <s v="REG101434"/>
        <s v="REG101435"/>
        <s v="REG101436"/>
        <s v="REG101437"/>
        <s v="REG101438"/>
        <s v="REG101439"/>
        <s v="REG101440"/>
        <s v="REG101441"/>
        <s v="REG101442"/>
        <s v="REG101443"/>
        <s v="REG101444"/>
        <s v="REG101445"/>
        <s v="REG101446"/>
        <s v="REG101447"/>
        <s v="REG101448"/>
        <s v="REG101449"/>
        <s v="REG101450"/>
        <s v="REG101451"/>
        <s v="REG101452"/>
        <s v="REG101453"/>
        <s v="REG101454"/>
        <s v="REG101455"/>
        <s v="REG101456"/>
        <s v="REG101457"/>
        <s v="REG101458"/>
        <s v="REG101459"/>
        <s v="REG101460"/>
        <s v="REG101461"/>
        <s v="REG101462"/>
        <s v="REG101463"/>
        <s v="REG101464"/>
        <s v="REG101465"/>
        <s v="REG101466"/>
        <s v="REG101467"/>
        <s v="REG101468"/>
        <s v="REG101469"/>
        <s v="REG101470"/>
        <s v="REG101471"/>
        <s v="REG101472"/>
        <s v="REG101473"/>
        <s v="REG101474"/>
        <s v="REG101475"/>
        <s v="REG101476"/>
        <s v="REG101477"/>
        <s v="REG101478"/>
        <s v="REG101479"/>
        <s v="REG101480"/>
        <s v="REG101481"/>
        <s v="REG101482"/>
        <s v="REG101483"/>
        <s v="REG101484"/>
        <s v="REG101485"/>
        <s v="REG101486"/>
        <s v="REG101487"/>
        <s v="REG101488"/>
        <s v="REG101489"/>
        <s v="REG101490"/>
        <s v="REG101491"/>
        <s v="REG101492"/>
        <s v="REG101493"/>
        <s v="REG101494"/>
        <s v="REG101495"/>
        <s v="REG101496"/>
        <s v="REG101497"/>
        <s v="REG101498"/>
        <s v="REG101499"/>
      </sharedItems>
    </cacheField>
    <cacheField name="CustomerName" numFmtId="0">
      <sharedItems/>
    </cacheField>
    <cacheField name="ShippingCost" numFmtId="2">
      <sharedItems containsSemiMixedTypes="0" containsString="0" containsNumber="1" minValue="5.01" maxValue="49.98"/>
    </cacheField>
    <cacheField name="OrderDate2" numFmtId="14">
      <sharedItems containsSemiMixedTypes="0" containsNonDate="0" containsDate="1" containsString="0" minDate="2023-01-01T00:00:00" maxDate="2025-07-01T00:00:00"/>
    </cacheField>
    <cacheField name="DeliveryDate" numFmtId="14">
      <sharedItems containsSemiMixedTypes="0" containsNonDate="0" containsDate="1" containsString="0" minDate="2023-01-08T00:00:00" maxDate="2025-07-11T00:00:00"/>
    </cacheField>
    <cacheField name="RegionManager" numFmtId="0">
      <sharedItems/>
    </cacheField>
    <cacheField name="DeliveryDays"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1335730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x v="0"/>
    <x v="0"/>
    <x v="0"/>
    <n v="14"/>
    <n v="163.6"/>
    <s v="Store B"/>
    <x v="0"/>
    <n v="0"/>
    <x v="0"/>
    <n v="2290.4"/>
    <n v="1374.24"/>
    <n v="872.82"/>
    <n v="0.38107754104086622"/>
    <n v="2290.4"/>
    <s v="Online"/>
    <s v="FREESHIP"/>
    <x v="0"/>
    <n v="0"/>
    <x v="0"/>
    <x v="0"/>
    <s v="Cust 6583"/>
    <n v="43.34"/>
    <d v="2023-02-23T00:00:00"/>
    <d v="2023-02-27T00:00:00"/>
    <s v="Eric"/>
    <n v="4"/>
  </r>
  <r>
    <d v="2024-12-19T00:00:00"/>
    <x v="1"/>
    <x v="1"/>
    <x v="1"/>
    <x v="1"/>
    <x v="1"/>
    <n v="1"/>
    <n v="544.01"/>
    <s v="Store A"/>
    <x v="1"/>
    <n v="0"/>
    <x v="1"/>
    <n v="544.01"/>
    <n v="326.40600000000001"/>
    <n v="212.30399999999997"/>
    <n v="0.39025753203066116"/>
    <n v="544.01"/>
    <s v="Gift Card"/>
    <s v="SAVE10"/>
    <x v="0"/>
    <n v="0"/>
    <x v="0"/>
    <x v="1"/>
    <s v="Cust 2144"/>
    <n v="5.3"/>
    <d v="2024-12-19T00:00:00"/>
    <d v="2024-12-28T00:00:00"/>
    <s v="Sophie"/>
    <n v="9"/>
  </r>
  <r>
    <d v="2023-05-10T00:00:00"/>
    <x v="2"/>
    <x v="0"/>
    <x v="2"/>
    <x v="2"/>
    <x v="2"/>
    <n v="14"/>
    <n v="346.18"/>
    <s v="Store B"/>
    <x v="0"/>
    <n v="0.1"/>
    <x v="1"/>
    <n v="4361.8680000000004"/>
    <n v="2907.9119999999998"/>
    <n v="1433.4960000000005"/>
    <n v="0.3286426824470618"/>
    <n v="4361.8680000000004"/>
    <s v="Online"/>
    <s v="WINTER15"/>
    <x v="0"/>
    <n v="0"/>
    <x v="0"/>
    <x v="2"/>
    <s v="Cust 5998"/>
    <n v="20.46"/>
    <d v="2023-05-10T00:00:00"/>
    <d v="2023-05-19T00:00:00"/>
    <s v="Ryan"/>
    <n v="9"/>
  </r>
  <r>
    <d v="2025-02-26T00:00:00"/>
    <x v="0"/>
    <x v="2"/>
    <x v="3"/>
    <x v="3"/>
    <x v="3"/>
    <n v="18"/>
    <n v="384.82"/>
    <s v="Store A"/>
    <x v="0"/>
    <n v="0.15"/>
    <x v="2"/>
    <n v="5887.7460000000001"/>
    <n v="4156.0559999999996"/>
    <n v="1703.7400000000005"/>
    <n v="0.28937049933879627"/>
    <n v="5887.7460000000001"/>
    <s v="Gift Card"/>
    <s v="FREESHIP"/>
    <x v="0"/>
    <n v="0"/>
    <x v="0"/>
    <x v="3"/>
    <s v="Cust 7136"/>
    <n v="27.95"/>
    <d v="2025-02-26T00:00:00"/>
    <d v="2025-03-02T00:00:00"/>
    <s v="Cameron"/>
    <n v="4"/>
  </r>
  <r>
    <d v="2023-06-24T00:00:00"/>
    <x v="3"/>
    <x v="0"/>
    <x v="4"/>
    <x v="0"/>
    <x v="2"/>
    <n v="18"/>
    <n v="237.76"/>
    <s v="Store C"/>
    <x v="1"/>
    <n v="0"/>
    <x v="3"/>
    <n v="4279.68"/>
    <n v="2567.8079999999995"/>
    <n v="1706.1420000000007"/>
    <n v="0.39866111484970851"/>
    <n v="4279.68"/>
    <s v="Online"/>
    <s v="SAVE10"/>
    <x v="0"/>
    <n v="0"/>
    <x v="0"/>
    <x v="4"/>
    <s v="Cust 6506"/>
    <n v="5.73"/>
    <d v="2023-06-24T00:00:00"/>
    <d v="2023-06-27T00:00:00"/>
    <s v="Eric"/>
    <n v="3"/>
  </r>
  <r>
    <d v="2024-02-20T00:00:00"/>
    <x v="0"/>
    <x v="1"/>
    <x v="5"/>
    <x v="3"/>
    <x v="4"/>
    <n v="2"/>
    <n v="385.09"/>
    <s v="Store D"/>
    <x v="0"/>
    <n v="0.15"/>
    <x v="4"/>
    <n v="654.65299999999991"/>
    <n v="462.10799999999995"/>
    <n v="180.62499999999997"/>
    <n v="0.27590952764288867"/>
    <n v="654.65299999999991"/>
    <s v="Credit Card"/>
    <m/>
    <x v="1"/>
    <n v="0"/>
    <x v="0"/>
    <x v="5"/>
    <s v="Cust 3909"/>
    <n v="11.92"/>
    <d v="2024-02-20T00:00:00"/>
    <d v="2024-03-01T00:00:00"/>
    <s v="Cameron"/>
    <n v="10"/>
  </r>
  <r>
    <d v="2023-01-11T00:00:00"/>
    <x v="4"/>
    <x v="0"/>
    <x v="6"/>
    <x v="1"/>
    <x v="3"/>
    <n v="7"/>
    <n v="17.5"/>
    <s v="Store C"/>
    <x v="1"/>
    <n v="0.1"/>
    <x v="1"/>
    <n v="110.25"/>
    <n v="73.5"/>
    <n v="31.73"/>
    <n v="0.28780045351473921"/>
    <n v="110.25"/>
    <s v="Debit Card"/>
    <s v="WINTER15"/>
    <x v="0"/>
    <n v="0"/>
    <x v="0"/>
    <x v="6"/>
    <s v="Cust 7887"/>
    <n v="5.0199999999999996"/>
    <d v="2023-01-11T00:00:00"/>
    <d v="2023-01-14T00:00:00"/>
    <s v="Sophie"/>
    <n v="3"/>
  </r>
  <r>
    <d v="2023-01-09T00:00:00"/>
    <x v="4"/>
    <x v="0"/>
    <x v="6"/>
    <x v="3"/>
    <x v="3"/>
    <n v="3"/>
    <n v="330.22"/>
    <s v="Store C"/>
    <x v="0"/>
    <n v="0.15"/>
    <x v="3"/>
    <n v="842.06100000000004"/>
    <n v="594.39599999999996"/>
    <n v="199.65500000000009"/>
    <n v="0.23710277521462231"/>
    <n v="842.06100000000004"/>
    <s v="Cash"/>
    <m/>
    <x v="1"/>
    <n v="0"/>
    <x v="0"/>
    <x v="7"/>
    <s v="Cust 5301"/>
    <n v="48.01"/>
    <d v="2023-01-09T00:00:00"/>
    <d v="2023-01-11T00:00:00"/>
    <s v="Cameron"/>
    <n v="2"/>
  </r>
  <r>
    <d v="2024-10-16T00:00:00"/>
    <x v="5"/>
    <x v="1"/>
    <x v="7"/>
    <x v="1"/>
    <x v="3"/>
    <n v="3"/>
    <n v="432.04"/>
    <s v="Store D"/>
    <x v="0"/>
    <n v="0.05"/>
    <x v="5"/>
    <n v="1231.3140000000001"/>
    <n v="777.67200000000003"/>
    <n v="411.53200000000004"/>
    <n v="0.33422181506910503"/>
    <n v="1231.3140000000001"/>
    <s v="Debit Card"/>
    <s v="FREESHIP"/>
    <x v="0"/>
    <n v="1"/>
    <x v="1"/>
    <x v="8"/>
    <s v="Cust 2284"/>
    <n v="42.11"/>
    <d v="2024-10-16T00:00:00"/>
    <d v="2024-10-18T00:00:00"/>
    <s v="Sophie"/>
    <n v="2"/>
  </r>
  <r>
    <d v="2025-03-05T00:00:00"/>
    <x v="6"/>
    <x v="2"/>
    <x v="8"/>
    <x v="4"/>
    <x v="2"/>
    <n v="5"/>
    <n v="323.27999999999997"/>
    <s v="Store D"/>
    <x v="1"/>
    <n v="0.1"/>
    <x v="2"/>
    <n v="1454.76"/>
    <n v="969.83999999999992"/>
    <n v="443.82000000000005"/>
    <n v="0.30508125051554902"/>
    <n v="1454.76"/>
    <s v="Gift Card"/>
    <s v="SAVE10"/>
    <x v="0"/>
    <n v="0"/>
    <x v="0"/>
    <x v="9"/>
    <s v="Cust 3732"/>
    <n v="41.1"/>
    <d v="2025-03-05T00:00:00"/>
    <d v="2025-03-13T00:00:00"/>
    <s v="Wendy"/>
    <n v="8"/>
  </r>
  <r>
    <d v="2024-04-10T00:00:00"/>
    <x v="7"/>
    <x v="1"/>
    <x v="9"/>
    <x v="2"/>
    <x v="2"/>
    <n v="15"/>
    <n v="523.29"/>
    <s v="Store B"/>
    <x v="0"/>
    <n v="0.15"/>
    <x v="0"/>
    <n v="6671.9474999999993"/>
    <n v="4709.6099999999997"/>
    <n v="1950.1974999999995"/>
    <n v="0.29229808837674454"/>
    <n v="6671.9474999999993"/>
    <s v="Debit Card"/>
    <m/>
    <x v="1"/>
    <n v="0"/>
    <x v="0"/>
    <x v="10"/>
    <s v="Cust 1462"/>
    <n v="12.14"/>
    <d v="2024-04-10T00:00:00"/>
    <d v="2024-04-17T00:00:00"/>
    <s v="Ryan"/>
    <n v="7"/>
  </r>
  <r>
    <d v="2024-07-12T00:00:00"/>
    <x v="8"/>
    <x v="1"/>
    <x v="10"/>
    <x v="0"/>
    <x v="1"/>
    <n v="19"/>
    <n v="207.35"/>
    <s v="Store D"/>
    <x v="1"/>
    <n v="0.1"/>
    <x v="0"/>
    <n v="3545.6849999999999"/>
    <n v="2363.79"/>
    <n v="1137.0049999999999"/>
    <n v="0.32067287421189417"/>
    <n v="3545.6849999999999"/>
    <s v="Gift Card"/>
    <m/>
    <x v="1"/>
    <n v="1"/>
    <x v="1"/>
    <x v="11"/>
    <s v="Cust 4330"/>
    <n v="44.89"/>
    <d v="2024-07-12T00:00:00"/>
    <d v="2024-07-18T00:00:00"/>
    <s v="Eric"/>
    <n v="6"/>
  </r>
  <r>
    <d v="2023-07-21T00:00:00"/>
    <x v="8"/>
    <x v="0"/>
    <x v="11"/>
    <x v="3"/>
    <x v="1"/>
    <n v="1"/>
    <n v="120.53"/>
    <s v="Store B"/>
    <x v="1"/>
    <n v="0.05"/>
    <x v="4"/>
    <n v="114.5035"/>
    <n v="72.317999999999998"/>
    <n v="21.835500000000003"/>
    <n v="0.19069722759566304"/>
    <n v="114.5035"/>
    <s v="Cash"/>
    <s v="WINTER15"/>
    <x v="0"/>
    <n v="0"/>
    <x v="0"/>
    <x v="12"/>
    <s v="Cust 2372"/>
    <n v="20.350000000000001"/>
    <d v="2023-07-21T00:00:00"/>
    <d v="2023-07-31T00:00:00"/>
    <s v="Cameron"/>
    <n v="10"/>
  </r>
  <r>
    <d v="2025-01-18T00:00:00"/>
    <x v="4"/>
    <x v="2"/>
    <x v="12"/>
    <x v="4"/>
    <x v="5"/>
    <n v="1"/>
    <n v="157.83000000000001"/>
    <s v="Store A"/>
    <x v="0"/>
    <n v="0.15"/>
    <x v="3"/>
    <n v="134.15550000000002"/>
    <n v="94.698000000000008"/>
    <n v="-3.3624999999999901"/>
    <n v="-2.5064197889762177E-2"/>
    <n v="134.15549999999999"/>
    <s v="Debit Card"/>
    <m/>
    <x v="1"/>
    <n v="0"/>
    <x v="0"/>
    <x v="13"/>
    <s v="Cust 4672"/>
    <n v="42.82"/>
    <d v="2025-01-18T00:00:00"/>
    <d v="2025-01-22T00:00:00"/>
    <s v="Wendy"/>
    <n v="4"/>
  </r>
  <r>
    <d v="2024-12-08T00:00:00"/>
    <x v="1"/>
    <x v="1"/>
    <x v="1"/>
    <x v="2"/>
    <x v="2"/>
    <n v="15"/>
    <n v="220.3"/>
    <s v="Store B"/>
    <x v="1"/>
    <n v="0.15"/>
    <x v="4"/>
    <n v="2808.8249999999998"/>
    <n v="1982.7"/>
    <n v="786.4649999999998"/>
    <n v="0.27999786387546388"/>
    <n v="2808.8249999999998"/>
    <s v="Debit Card"/>
    <m/>
    <x v="1"/>
    <n v="0"/>
    <x v="0"/>
    <x v="14"/>
    <s v="Cust 4548"/>
    <n v="39.659999999999997"/>
    <d v="2024-12-08T00:00:00"/>
    <d v="2024-12-15T00:00:00"/>
    <s v="Ryan"/>
    <n v="7"/>
  </r>
  <r>
    <d v="2025-05-11T00:00:00"/>
    <x v="2"/>
    <x v="2"/>
    <x v="13"/>
    <x v="4"/>
    <x v="3"/>
    <n v="17"/>
    <n v="162.96"/>
    <s v="Store A"/>
    <x v="0"/>
    <n v="0.05"/>
    <x v="0"/>
    <n v="2631.8040000000001"/>
    <n v="1662.192"/>
    <n v="961.50200000000007"/>
    <n v="0.3653395161645776"/>
    <n v="2631.8040000000001"/>
    <s v="Gift Card"/>
    <s v="FREESHIP"/>
    <x v="0"/>
    <n v="0"/>
    <x v="0"/>
    <x v="15"/>
    <s v="Cust 7037"/>
    <n v="8.11"/>
    <d v="2025-05-11T00:00:00"/>
    <d v="2025-05-17T00:00:00"/>
    <s v="Wendy"/>
    <n v="6"/>
  </r>
  <r>
    <d v="2023-02-26T00:00:00"/>
    <x v="0"/>
    <x v="0"/>
    <x v="0"/>
    <x v="4"/>
    <x v="0"/>
    <n v="19"/>
    <n v="236.11"/>
    <s v="Store D"/>
    <x v="0"/>
    <n v="0"/>
    <x v="5"/>
    <n v="4486.09"/>
    <n v="2691.654"/>
    <n v="1760.3260000000002"/>
    <n v="0.39239649672654808"/>
    <n v="4486.09"/>
    <s v="Online"/>
    <s v="WINTER15"/>
    <x v="0"/>
    <n v="0"/>
    <x v="0"/>
    <x v="16"/>
    <s v="Cust 4975"/>
    <n v="34.11"/>
    <d v="2023-02-26T00:00:00"/>
    <d v="2023-03-04T00:00:00"/>
    <s v="Wendy"/>
    <n v="6"/>
  </r>
  <r>
    <d v="2024-05-28T00:00:00"/>
    <x v="2"/>
    <x v="1"/>
    <x v="14"/>
    <x v="3"/>
    <x v="2"/>
    <n v="11"/>
    <n v="573.14"/>
    <s v="Store D"/>
    <x v="1"/>
    <n v="0.05"/>
    <x v="4"/>
    <n v="5989.3130000000001"/>
    <n v="3782.7239999999997"/>
    <n v="2171.8790000000004"/>
    <n v="0.36262573019643496"/>
    <n v="5989.3130000000001"/>
    <s v="Cash"/>
    <s v="SAVE10"/>
    <x v="0"/>
    <n v="0"/>
    <x v="0"/>
    <x v="17"/>
    <s v="Cust 8014"/>
    <n v="34.71"/>
    <d v="2024-05-28T00:00:00"/>
    <d v="2024-06-01T00:00:00"/>
    <s v="Cameron"/>
    <n v="4"/>
  </r>
  <r>
    <d v="2023-11-30T00:00:00"/>
    <x v="9"/>
    <x v="0"/>
    <x v="15"/>
    <x v="0"/>
    <x v="1"/>
    <n v="20"/>
    <n v="519.04"/>
    <s v="Store B"/>
    <x v="1"/>
    <n v="0.15"/>
    <x v="3"/>
    <n v="8823.6799999999985"/>
    <n v="6228.48"/>
    <n v="2575.7699999999991"/>
    <n v="0.29191561797345322"/>
    <n v="8823.6799999999985"/>
    <s v="Gift Card"/>
    <s v="FREESHIP"/>
    <x v="0"/>
    <n v="0"/>
    <x v="0"/>
    <x v="18"/>
    <s v="Cust 1228"/>
    <n v="19.43"/>
    <d v="2023-11-30T00:00:00"/>
    <d v="2023-12-08T00:00:00"/>
    <s v="Eric"/>
    <n v="8"/>
  </r>
  <r>
    <d v="2023-06-22T00:00:00"/>
    <x v="3"/>
    <x v="0"/>
    <x v="4"/>
    <x v="4"/>
    <x v="2"/>
    <n v="14"/>
    <n v="30.83"/>
    <s v="Store B"/>
    <x v="1"/>
    <n v="0"/>
    <x v="3"/>
    <n v="431.62"/>
    <n v="258.97199999999998"/>
    <n v="165.54800000000003"/>
    <n v="0.38355034521106535"/>
    <n v="431.62"/>
    <s v="Online"/>
    <s v="WINTER15"/>
    <x v="0"/>
    <n v="1"/>
    <x v="1"/>
    <x v="19"/>
    <s v="Cust 4247"/>
    <n v="7.1"/>
    <d v="2023-06-22T00:00:00"/>
    <d v="2023-07-02T00:00:00"/>
    <s v="Wendy"/>
    <n v="10"/>
  </r>
  <r>
    <d v="2025-06-05T00:00:00"/>
    <x v="3"/>
    <x v="2"/>
    <x v="16"/>
    <x v="4"/>
    <x v="1"/>
    <n v="10"/>
    <n v="319.05"/>
    <s v="Store D"/>
    <x v="0"/>
    <n v="0"/>
    <x v="4"/>
    <n v="3190.5"/>
    <n v="1914.3000000000002"/>
    <n v="1247.7699999999998"/>
    <n v="0.39108917097633594"/>
    <n v="3190.5"/>
    <s v="Online"/>
    <m/>
    <x v="1"/>
    <n v="0"/>
    <x v="0"/>
    <x v="20"/>
    <s v="Cust 4199"/>
    <n v="28.43"/>
    <d v="2025-06-05T00:00:00"/>
    <d v="2025-06-08T00:00:00"/>
    <s v="Wendy"/>
    <n v="3"/>
  </r>
  <r>
    <d v="2023-03-03T00:00:00"/>
    <x v="6"/>
    <x v="0"/>
    <x v="17"/>
    <x v="3"/>
    <x v="3"/>
    <n v="14"/>
    <n v="312.79000000000002"/>
    <s v="Store A"/>
    <x v="1"/>
    <n v="0.05"/>
    <x v="5"/>
    <n v="4160.107"/>
    <n v="2627.4360000000001"/>
    <n v="1485.8409999999999"/>
    <n v="0.35716413063413993"/>
    <n v="4160.107"/>
    <s v="Online"/>
    <m/>
    <x v="1"/>
    <n v="1"/>
    <x v="1"/>
    <x v="21"/>
    <s v="Cust 4186"/>
    <n v="46.83"/>
    <d v="2023-03-03T00:00:00"/>
    <d v="2023-03-08T00:00:00"/>
    <s v="Cameron"/>
    <n v="5"/>
  </r>
  <r>
    <d v="2024-02-18T00:00:00"/>
    <x v="0"/>
    <x v="1"/>
    <x v="5"/>
    <x v="2"/>
    <x v="0"/>
    <n v="14"/>
    <n v="395.45"/>
    <s v="Store C"/>
    <x v="1"/>
    <n v="0"/>
    <x v="3"/>
    <n v="5536.3"/>
    <n v="3321.7799999999997"/>
    <n v="2178.0700000000006"/>
    <n v="0.39341618048154914"/>
    <n v="5536.3"/>
    <s v="Cash"/>
    <s v="FREESHIP"/>
    <x v="0"/>
    <n v="1"/>
    <x v="1"/>
    <x v="22"/>
    <s v="Cust 8137"/>
    <n v="36.450000000000003"/>
    <d v="2024-02-18T00:00:00"/>
    <d v="2024-02-22T00:00:00"/>
    <s v="Ryan"/>
    <n v="4"/>
  </r>
  <r>
    <d v="2023-08-06T00:00:00"/>
    <x v="10"/>
    <x v="0"/>
    <x v="18"/>
    <x v="3"/>
    <x v="0"/>
    <n v="12"/>
    <n v="472.72"/>
    <s v="Store D"/>
    <x v="1"/>
    <n v="0.15"/>
    <x v="4"/>
    <n v="4821.7440000000006"/>
    <n v="3403.5839999999998"/>
    <n v="1390.1900000000007"/>
    <n v="0.28831684137523694"/>
    <n v="4821.7440000000006"/>
    <s v="Credit Card"/>
    <m/>
    <x v="1"/>
    <n v="0"/>
    <x v="0"/>
    <x v="23"/>
    <s v="Cust 4638"/>
    <n v="27.97"/>
    <d v="2023-08-06T00:00:00"/>
    <d v="2023-08-14T00:00:00"/>
    <s v="Cameron"/>
    <n v="8"/>
  </r>
  <r>
    <d v="2024-05-23T00:00:00"/>
    <x v="2"/>
    <x v="1"/>
    <x v="14"/>
    <x v="2"/>
    <x v="2"/>
    <n v="5"/>
    <n v="288.01"/>
    <s v="Store A"/>
    <x v="0"/>
    <n v="0"/>
    <x v="0"/>
    <n v="1440.05"/>
    <n v="864.03"/>
    <n v="529.32999999999993"/>
    <n v="0.36757751466962951"/>
    <n v="1440.05"/>
    <s v="Credit Card"/>
    <s v="FREESHIP"/>
    <x v="0"/>
    <n v="0"/>
    <x v="0"/>
    <x v="24"/>
    <s v="Cust 8538"/>
    <n v="46.69"/>
    <d v="2024-05-23T00:00:00"/>
    <d v="2024-05-30T00:00:00"/>
    <s v="Ryan"/>
    <n v="7"/>
  </r>
  <r>
    <d v="2023-10-23T00:00:00"/>
    <x v="5"/>
    <x v="0"/>
    <x v="19"/>
    <x v="0"/>
    <x v="1"/>
    <n v="13"/>
    <n v="562.29"/>
    <s v="Store D"/>
    <x v="1"/>
    <n v="0"/>
    <x v="4"/>
    <n v="7309.7699999999995"/>
    <n v="4385.8619999999992"/>
    <n v="2885.7780000000002"/>
    <n v="0.39478369360458682"/>
    <n v="7309.77"/>
    <s v="Gift Card"/>
    <s v="SAVE10"/>
    <x v="0"/>
    <n v="0"/>
    <x v="0"/>
    <x v="25"/>
    <s v="Cust 6322"/>
    <n v="38.130000000000003"/>
    <d v="2023-10-23T00:00:00"/>
    <d v="2023-10-28T00:00:00"/>
    <s v="Eric"/>
    <n v="5"/>
  </r>
  <r>
    <d v="2025-06-16T00:00:00"/>
    <x v="3"/>
    <x v="2"/>
    <x v="16"/>
    <x v="4"/>
    <x v="1"/>
    <n v="1"/>
    <n v="101.73"/>
    <s v="Store D"/>
    <x v="1"/>
    <n v="0"/>
    <x v="2"/>
    <n v="101.73"/>
    <n v="61.037999999999997"/>
    <n v="29.102000000000007"/>
    <n v="0.2860709721812642"/>
    <n v="101.73"/>
    <s v="Debit Card"/>
    <s v="WINTER15"/>
    <x v="0"/>
    <n v="0"/>
    <x v="0"/>
    <x v="26"/>
    <s v="Cust 2609"/>
    <n v="11.59"/>
    <d v="2025-06-16T00:00:00"/>
    <d v="2025-06-25T00:00:00"/>
    <s v="Wendy"/>
    <n v="9"/>
  </r>
  <r>
    <d v="2023-03-03T00:00:00"/>
    <x v="6"/>
    <x v="0"/>
    <x v="17"/>
    <x v="2"/>
    <x v="1"/>
    <n v="4"/>
    <n v="279.49"/>
    <s v="Store B"/>
    <x v="1"/>
    <n v="0"/>
    <x v="4"/>
    <n v="1117.96"/>
    <n v="670.77599999999995"/>
    <n v="422.40400000000011"/>
    <n v="0.37783462735697171"/>
    <n v="1117.96"/>
    <s v="Credit Card"/>
    <s v="FREESHIP"/>
    <x v="0"/>
    <n v="0"/>
    <x v="0"/>
    <x v="27"/>
    <s v="Cust 6880"/>
    <n v="24.78"/>
    <d v="2023-03-03T00:00:00"/>
    <d v="2023-03-08T00:00:00"/>
    <s v="Ryan"/>
    <n v="5"/>
  </r>
  <r>
    <d v="2024-11-18T00:00:00"/>
    <x v="9"/>
    <x v="1"/>
    <x v="20"/>
    <x v="1"/>
    <x v="0"/>
    <n v="1"/>
    <n v="178.55"/>
    <s v="Store A"/>
    <x v="1"/>
    <n v="0.15"/>
    <x v="3"/>
    <n v="151.76750000000001"/>
    <n v="107.13000000000001"/>
    <n v="37.027500000000003"/>
    <n v="0.24397515937206582"/>
    <n v="151.76750000000001"/>
    <s v="Debit Card"/>
    <s v="SAVE10"/>
    <x v="0"/>
    <n v="1"/>
    <x v="1"/>
    <x v="28"/>
    <s v="Cust 1997"/>
    <n v="7.61"/>
    <d v="2024-11-18T00:00:00"/>
    <d v="2024-11-21T00:00:00"/>
    <s v="Sophie"/>
    <n v="3"/>
  </r>
  <r>
    <d v="2023-05-09T00:00:00"/>
    <x v="2"/>
    <x v="0"/>
    <x v="2"/>
    <x v="3"/>
    <x v="5"/>
    <n v="1"/>
    <n v="472.07"/>
    <s v="Store A"/>
    <x v="0"/>
    <n v="0.1"/>
    <x v="3"/>
    <n v="424.863"/>
    <n v="283.24199999999996"/>
    <n v="108.45100000000004"/>
    <n v="0.25526110769824634"/>
    <n v="424.863"/>
    <s v="Online"/>
    <s v="FREESHIP"/>
    <x v="0"/>
    <n v="0"/>
    <x v="0"/>
    <x v="29"/>
    <s v="Cust 7072"/>
    <n v="33.17"/>
    <d v="2023-05-09T00:00:00"/>
    <d v="2023-05-17T00:00:00"/>
    <s v="Cameron"/>
    <n v="8"/>
  </r>
  <r>
    <d v="2024-12-07T00:00:00"/>
    <x v="1"/>
    <x v="1"/>
    <x v="1"/>
    <x v="2"/>
    <x v="5"/>
    <n v="12"/>
    <n v="306.29000000000002"/>
    <s v="Store D"/>
    <x v="1"/>
    <n v="0"/>
    <x v="2"/>
    <n v="3675.4800000000005"/>
    <n v="2205.288"/>
    <n v="1432.8120000000004"/>
    <n v="0.3898298997681936"/>
    <n v="3675.48"/>
    <s v="Debit Card"/>
    <s v="SAVE10"/>
    <x v="0"/>
    <n v="0"/>
    <x v="0"/>
    <x v="30"/>
    <s v="Cust 7201"/>
    <n v="37.380000000000003"/>
    <d v="2024-12-07T00:00:00"/>
    <d v="2024-12-14T00:00:00"/>
    <s v="Ryan"/>
    <n v="7"/>
  </r>
  <r>
    <d v="2024-02-13T00:00:00"/>
    <x v="0"/>
    <x v="1"/>
    <x v="5"/>
    <x v="2"/>
    <x v="1"/>
    <n v="7"/>
    <n v="434.77"/>
    <s v="Store C"/>
    <x v="1"/>
    <n v="0.15"/>
    <x v="2"/>
    <n v="2586.8815"/>
    <n v="1826.0339999999997"/>
    <n v="748.49750000000029"/>
    <n v="0.2893435590304389"/>
    <n v="2586.8815"/>
    <s v="Online"/>
    <s v="SAVE10"/>
    <x v="0"/>
    <n v="0"/>
    <x v="0"/>
    <x v="31"/>
    <s v="Cust 9923"/>
    <n v="12.35"/>
    <d v="2024-02-13T00:00:00"/>
    <d v="2024-02-15T00:00:00"/>
    <s v="Ryan"/>
    <n v="2"/>
  </r>
  <r>
    <d v="2025-03-09T00:00:00"/>
    <x v="6"/>
    <x v="2"/>
    <x v="8"/>
    <x v="1"/>
    <x v="2"/>
    <n v="6"/>
    <n v="64.98"/>
    <s v="Store C"/>
    <x v="1"/>
    <n v="0"/>
    <x v="3"/>
    <n v="389.88"/>
    <n v="233.928"/>
    <n v="134.702"/>
    <n v="0.34549605006668721"/>
    <n v="389.88"/>
    <s v="Debit Card"/>
    <s v="WINTER15"/>
    <x v="0"/>
    <n v="0"/>
    <x v="0"/>
    <x v="32"/>
    <s v="Cust 2205"/>
    <n v="21.25"/>
    <d v="2025-03-09T00:00:00"/>
    <d v="2025-03-15T00:00:00"/>
    <s v="Sophie"/>
    <n v="6"/>
  </r>
  <r>
    <d v="2023-04-05T00:00:00"/>
    <x v="7"/>
    <x v="0"/>
    <x v="21"/>
    <x v="3"/>
    <x v="2"/>
    <n v="17"/>
    <n v="476.49"/>
    <s v="Store D"/>
    <x v="1"/>
    <n v="0"/>
    <x v="1"/>
    <n v="8100.33"/>
    <n v="4860.1980000000003"/>
    <n v="3222.2219999999998"/>
    <n v="0.39778897896752352"/>
    <n v="8100.33"/>
    <s v="Gift Card"/>
    <m/>
    <x v="1"/>
    <n v="0"/>
    <x v="0"/>
    <x v="33"/>
    <s v="Cust 6403"/>
    <n v="17.91"/>
    <d v="2023-04-05T00:00:00"/>
    <d v="2023-04-11T00:00:00"/>
    <s v="Cameron"/>
    <n v="6"/>
  </r>
  <r>
    <d v="2025-05-08T00:00:00"/>
    <x v="2"/>
    <x v="2"/>
    <x v="13"/>
    <x v="2"/>
    <x v="4"/>
    <n v="4"/>
    <n v="559.72"/>
    <s v="Store D"/>
    <x v="1"/>
    <n v="0.15"/>
    <x v="4"/>
    <n v="1903.048"/>
    <n v="1343.328"/>
    <n v="517.81000000000006"/>
    <n v="0.27209508115402242"/>
    <n v="1903.048"/>
    <s v="Online"/>
    <s v="SAVE10"/>
    <x v="0"/>
    <n v="0"/>
    <x v="0"/>
    <x v="34"/>
    <s v="Cust 3953"/>
    <n v="41.91"/>
    <d v="2025-05-08T00:00:00"/>
    <d v="2025-05-12T00:00:00"/>
    <s v="Ryan"/>
    <n v="4"/>
  </r>
  <r>
    <d v="2023-09-03T00:00:00"/>
    <x v="11"/>
    <x v="0"/>
    <x v="22"/>
    <x v="2"/>
    <x v="5"/>
    <n v="14"/>
    <n v="82.14"/>
    <s v="Store C"/>
    <x v="1"/>
    <n v="0"/>
    <x v="1"/>
    <n v="1149.96"/>
    <n v="689.976"/>
    <n v="447.41400000000004"/>
    <n v="0.38906918501513099"/>
    <n v="1149.96"/>
    <s v="Credit Card"/>
    <m/>
    <x v="1"/>
    <n v="0"/>
    <x v="0"/>
    <x v="35"/>
    <s v="Cust 7902"/>
    <n v="12.57"/>
    <d v="2023-09-03T00:00:00"/>
    <d v="2023-09-11T00:00:00"/>
    <s v="Ryan"/>
    <n v="8"/>
  </r>
  <r>
    <d v="2025-03-21T00:00:00"/>
    <x v="6"/>
    <x v="2"/>
    <x v="8"/>
    <x v="3"/>
    <x v="3"/>
    <n v="9"/>
    <n v="343.21"/>
    <s v="Store A"/>
    <x v="1"/>
    <n v="0.05"/>
    <x v="3"/>
    <n v="2934.4454999999998"/>
    <n v="1853.3339999999998"/>
    <n v="1040.8215"/>
    <n v="0.35469103106532396"/>
    <n v="2934.4454999999998"/>
    <s v="Debit Card"/>
    <s v="FREESHIP"/>
    <x v="0"/>
    <n v="0"/>
    <x v="0"/>
    <x v="36"/>
    <s v="Cust 9968"/>
    <n v="40.29"/>
    <d v="2025-03-21T00:00:00"/>
    <d v="2025-03-28T00:00:00"/>
    <s v="Cameron"/>
    <n v="7"/>
  </r>
  <r>
    <d v="2025-06-20T00:00:00"/>
    <x v="3"/>
    <x v="2"/>
    <x v="16"/>
    <x v="1"/>
    <x v="3"/>
    <n v="7"/>
    <n v="301.01"/>
    <s v="Store B"/>
    <x v="1"/>
    <n v="0.15"/>
    <x v="4"/>
    <n v="1791.0094999999997"/>
    <n v="1264.242"/>
    <n v="491.79749999999967"/>
    <n v="0.27459234582507785"/>
    <n v="1791.0094999999999"/>
    <s v="Cash"/>
    <s v="SAVE10"/>
    <x v="0"/>
    <n v="1"/>
    <x v="1"/>
    <x v="37"/>
    <s v="Cust 3787"/>
    <n v="34.97"/>
    <d v="2025-06-20T00:00:00"/>
    <d v="2025-06-30T00:00:00"/>
    <s v="Sophie"/>
    <n v="10"/>
  </r>
  <r>
    <d v="2024-02-15T00:00:00"/>
    <x v="0"/>
    <x v="1"/>
    <x v="5"/>
    <x v="3"/>
    <x v="6"/>
    <n v="14"/>
    <n v="428.13"/>
    <s v="Store C"/>
    <x v="1"/>
    <n v="0.1"/>
    <x v="5"/>
    <n v="5394.4380000000001"/>
    <n v="3596.2919999999999"/>
    <n v="1773.3760000000002"/>
    <n v="0.32874156677674304"/>
    <n v="5394.4380000000001"/>
    <s v="Cash"/>
    <m/>
    <x v="1"/>
    <n v="1"/>
    <x v="1"/>
    <x v="38"/>
    <s v="Cust 2469"/>
    <n v="24.77"/>
    <d v="2024-02-15T00:00:00"/>
    <d v="2024-02-25T00:00:00"/>
    <s v="Cameron"/>
    <n v="10"/>
  </r>
  <r>
    <d v="2023-06-09T00:00:00"/>
    <x v="3"/>
    <x v="0"/>
    <x v="4"/>
    <x v="3"/>
    <x v="0"/>
    <n v="2"/>
    <n v="503.28"/>
    <s v="Store D"/>
    <x v="1"/>
    <n v="0.15"/>
    <x v="1"/>
    <n v="855.57599999999991"/>
    <n v="603.93599999999992"/>
    <n v="216.85"/>
    <n v="0.25345498237444719"/>
    <n v="855.57599999999991"/>
    <s v="Gift Card"/>
    <m/>
    <x v="1"/>
    <n v="0"/>
    <x v="0"/>
    <x v="39"/>
    <s v="Cust 6468"/>
    <n v="34.79"/>
    <d v="2023-06-09T00:00:00"/>
    <d v="2023-06-17T00:00:00"/>
    <s v="Cameron"/>
    <n v="8"/>
  </r>
  <r>
    <d v="2023-08-10T00:00:00"/>
    <x v="10"/>
    <x v="0"/>
    <x v="18"/>
    <x v="1"/>
    <x v="6"/>
    <n v="5"/>
    <n v="470.32"/>
    <s v="Store A"/>
    <x v="1"/>
    <n v="0.1"/>
    <x v="0"/>
    <n v="2116.44"/>
    <n v="1410.96"/>
    <n v="687.71"/>
    <n v="0.32493715862486061"/>
    <n v="2116.44"/>
    <s v="Debit Card"/>
    <s v="SAVE10"/>
    <x v="0"/>
    <n v="0"/>
    <x v="0"/>
    <x v="40"/>
    <s v="Cust 5312"/>
    <n v="17.77"/>
    <d v="2023-08-10T00:00:00"/>
    <d v="2023-08-14T00:00:00"/>
    <s v="Sophie"/>
    <n v="4"/>
  </r>
  <r>
    <d v="2024-06-16T00:00:00"/>
    <x v="3"/>
    <x v="1"/>
    <x v="23"/>
    <x v="3"/>
    <x v="6"/>
    <n v="20"/>
    <n v="65.17"/>
    <s v="Store C"/>
    <x v="0"/>
    <n v="0.05"/>
    <x v="0"/>
    <n v="1238.23"/>
    <n v="782.04"/>
    <n v="434.47"/>
    <n v="0.35087988499713302"/>
    <n v="1238.23"/>
    <s v="Gift Card"/>
    <s v="FREESHIP"/>
    <x v="0"/>
    <n v="0"/>
    <x v="0"/>
    <x v="41"/>
    <s v="Cust 1482"/>
    <n v="21.72"/>
    <d v="2024-06-16T00:00:00"/>
    <d v="2024-06-25T00:00:00"/>
    <s v="Cameron"/>
    <n v="9"/>
  </r>
  <r>
    <d v="2023-07-23T00:00:00"/>
    <x v="8"/>
    <x v="0"/>
    <x v="11"/>
    <x v="1"/>
    <x v="0"/>
    <n v="12"/>
    <n v="36.17"/>
    <s v="Store A"/>
    <x v="1"/>
    <n v="0"/>
    <x v="0"/>
    <n v="434.04"/>
    <n v="260.42400000000004"/>
    <n v="138.76599999999999"/>
    <n v="0.31970786102663346"/>
    <n v="434.04"/>
    <s v="Online"/>
    <s v="WINTER15"/>
    <x v="0"/>
    <n v="0"/>
    <x v="0"/>
    <x v="42"/>
    <s v="Cust 7903"/>
    <n v="34.85"/>
    <d v="2023-07-23T00:00:00"/>
    <d v="2023-07-26T00:00:00"/>
    <s v="Sophie"/>
    <n v="3"/>
  </r>
  <r>
    <d v="2023-05-20T00:00:00"/>
    <x v="2"/>
    <x v="0"/>
    <x v="2"/>
    <x v="3"/>
    <x v="6"/>
    <n v="4"/>
    <n v="459.31"/>
    <s v="Store D"/>
    <x v="0"/>
    <n v="0.15"/>
    <x v="3"/>
    <n v="1561.654"/>
    <n v="1102.3440000000001"/>
    <n v="431.91999999999996"/>
    <n v="0.27657855069048581"/>
    <n v="1561.654"/>
    <s v="Gift Card"/>
    <s v="WINTER15"/>
    <x v="0"/>
    <n v="1"/>
    <x v="1"/>
    <x v="43"/>
    <s v="Cust 9605"/>
    <n v="27.39"/>
    <d v="2023-05-20T00:00:00"/>
    <d v="2023-05-27T00:00:00"/>
    <s v="Cameron"/>
    <n v="7"/>
  </r>
  <r>
    <d v="2023-06-30T00:00:00"/>
    <x v="3"/>
    <x v="0"/>
    <x v="4"/>
    <x v="1"/>
    <x v="0"/>
    <n v="2"/>
    <n v="416.06"/>
    <s v="Store D"/>
    <x v="1"/>
    <n v="0.05"/>
    <x v="0"/>
    <n v="790.51400000000001"/>
    <n v="499.27199999999999"/>
    <n v="279.62200000000001"/>
    <n v="0.35372175571843129"/>
    <n v="790.51400000000001"/>
    <s v="Debit Card"/>
    <s v="SAVE10"/>
    <x v="0"/>
    <n v="0"/>
    <x v="0"/>
    <x v="44"/>
    <s v="Cust 3298"/>
    <n v="11.62"/>
    <d v="2023-06-30T00:00:00"/>
    <d v="2023-07-04T00:00:00"/>
    <s v="Sophie"/>
    <n v="4"/>
  </r>
  <r>
    <d v="2024-06-04T00:00:00"/>
    <x v="3"/>
    <x v="1"/>
    <x v="23"/>
    <x v="1"/>
    <x v="5"/>
    <n v="16"/>
    <n v="302.58"/>
    <s v="Store D"/>
    <x v="1"/>
    <n v="0"/>
    <x v="1"/>
    <n v="4841.28"/>
    <n v="2904.7679999999996"/>
    <n v="1915.7520000000002"/>
    <n v="0.39571187785048589"/>
    <n v="4841.28"/>
    <s v="Online"/>
    <s v="WINTER15"/>
    <x v="0"/>
    <n v="1"/>
    <x v="1"/>
    <x v="45"/>
    <s v="Cust 5533"/>
    <n v="20.76"/>
    <d v="2024-06-04T00:00:00"/>
    <d v="2024-06-14T00:00:00"/>
    <s v="Sophie"/>
    <n v="10"/>
  </r>
  <r>
    <d v="2025-02-03T00:00:00"/>
    <x v="0"/>
    <x v="2"/>
    <x v="3"/>
    <x v="4"/>
    <x v="3"/>
    <n v="11"/>
    <n v="33.130000000000003"/>
    <s v="Store A"/>
    <x v="1"/>
    <n v="0.15"/>
    <x v="2"/>
    <n v="309.76549999999997"/>
    <n v="218.65800000000002"/>
    <n v="66.157499999999956"/>
    <n v="0.21357284784780733"/>
    <n v="309.76549999999997"/>
    <s v="Online"/>
    <s v="FREESHIP"/>
    <x v="0"/>
    <n v="0"/>
    <x v="0"/>
    <x v="46"/>
    <s v="Cust 6362"/>
    <n v="24.95"/>
    <d v="2025-02-03T00:00:00"/>
    <d v="2025-02-05T00:00:00"/>
    <s v="Wendy"/>
    <n v="2"/>
  </r>
  <r>
    <d v="2024-01-09T00:00:00"/>
    <x v="4"/>
    <x v="1"/>
    <x v="24"/>
    <x v="0"/>
    <x v="5"/>
    <n v="8"/>
    <n v="582.52"/>
    <s v="Store D"/>
    <x v="1"/>
    <n v="0.15"/>
    <x v="2"/>
    <n v="3961.136"/>
    <n v="2796.096"/>
    <n v="1158.57"/>
    <n v="0.29248427723764092"/>
    <n v="3961.136"/>
    <s v="Gift Card"/>
    <s v="WINTER15"/>
    <x v="0"/>
    <n v="0"/>
    <x v="0"/>
    <x v="47"/>
    <s v="Cust 4826"/>
    <n v="6.47"/>
    <d v="2024-01-09T00:00:00"/>
    <d v="2024-01-13T00:00:00"/>
    <s v="Eric"/>
    <n v="4"/>
  </r>
  <r>
    <d v="2024-03-14T00:00:00"/>
    <x v="6"/>
    <x v="1"/>
    <x v="25"/>
    <x v="2"/>
    <x v="2"/>
    <n v="5"/>
    <n v="165.15"/>
    <s v="Store A"/>
    <x v="1"/>
    <n v="0.1"/>
    <x v="0"/>
    <n v="743.17500000000007"/>
    <n v="495.45000000000005"/>
    <n v="227.15500000000003"/>
    <n v="0.30565479193998724"/>
    <n v="743.17500000000007"/>
    <s v="Gift Card"/>
    <m/>
    <x v="1"/>
    <n v="0"/>
    <x v="0"/>
    <x v="48"/>
    <s v="Cust 2171"/>
    <n v="20.57"/>
    <d v="2024-03-14T00:00:00"/>
    <d v="2024-03-16T00:00:00"/>
    <s v="Ryan"/>
    <n v="2"/>
  </r>
  <r>
    <d v="2024-09-06T00:00:00"/>
    <x v="11"/>
    <x v="1"/>
    <x v="26"/>
    <x v="4"/>
    <x v="4"/>
    <n v="14"/>
    <n v="242.82"/>
    <s v="Store D"/>
    <x v="0"/>
    <n v="0.15"/>
    <x v="1"/>
    <n v="2889.558"/>
    <n v="2039.6879999999996"/>
    <n v="829.16000000000031"/>
    <n v="0.28695046093554805"/>
    <n v="2889.558"/>
    <s v="Cash"/>
    <s v="WINTER15"/>
    <x v="0"/>
    <n v="1"/>
    <x v="1"/>
    <x v="49"/>
    <s v="Cust 4005"/>
    <n v="20.71"/>
    <d v="2024-09-06T00:00:00"/>
    <d v="2024-09-13T00:00:00"/>
    <s v="Wendy"/>
    <n v="7"/>
  </r>
  <r>
    <d v="2023-03-17T00:00:00"/>
    <x v="6"/>
    <x v="0"/>
    <x v="17"/>
    <x v="0"/>
    <x v="4"/>
    <n v="13"/>
    <n v="65.989999999999995"/>
    <s v="Store A"/>
    <x v="0"/>
    <n v="0.1"/>
    <x v="2"/>
    <n v="772.08299999999997"/>
    <n v="514.72199999999998"/>
    <n v="244.49099999999999"/>
    <n v="0.31666414103146939"/>
    <n v="772.08299999999997"/>
    <s v="Cash"/>
    <s v="WINTER15"/>
    <x v="0"/>
    <n v="0"/>
    <x v="0"/>
    <x v="50"/>
    <s v="Cust 7032"/>
    <n v="12.87"/>
    <d v="2023-03-17T00:00:00"/>
    <d v="2023-03-20T00:00:00"/>
    <s v="Eric"/>
    <n v="3"/>
  </r>
  <r>
    <d v="2025-01-17T00:00:00"/>
    <x v="4"/>
    <x v="2"/>
    <x v="12"/>
    <x v="4"/>
    <x v="3"/>
    <n v="2"/>
    <n v="251.69"/>
    <s v="Store C"/>
    <x v="0"/>
    <n v="0"/>
    <x v="1"/>
    <n v="503.38"/>
    <n v="302.02799999999996"/>
    <n v="158.86200000000002"/>
    <n v="0.31559060749334505"/>
    <n v="503.38"/>
    <s v="Debit Card"/>
    <s v="FREESHIP"/>
    <x v="0"/>
    <n v="0"/>
    <x v="0"/>
    <x v="51"/>
    <s v="Cust 7167"/>
    <n v="42.49"/>
    <d v="2025-01-17T00:00:00"/>
    <d v="2025-01-24T00:00:00"/>
    <s v="Wendy"/>
    <n v="7"/>
  </r>
  <r>
    <d v="2024-09-12T00:00:00"/>
    <x v="11"/>
    <x v="1"/>
    <x v="26"/>
    <x v="1"/>
    <x v="0"/>
    <n v="1"/>
    <n v="269.41000000000003"/>
    <s v="Store B"/>
    <x v="0"/>
    <n v="0.1"/>
    <x v="0"/>
    <n v="242.46900000000002"/>
    <n v="161.64600000000002"/>
    <n v="61.603000000000009"/>
    <n v="0.25406546816294046"/>
    <n v="242.46899999999999"/>
    <s v="Cash"/>
    <s v="WINTER15"/>
    <x v="0"/>
    <n v="1"/>
    <x v="1"/>
    <x v="52"/>
    <s v="Cust 5702"/>
    <n v="19.22"/>
    <d v="2024-09-12T00:00:00"/>
    <d v="2024-09-18T00:00:00"/>
    <s v="Sophie"/>
    <n v="6"/>
  </r>
  <r>
    <d v="2024-01-05T00:00:00"/>
    <x v="4"/>
    <x v="1"/>
    <x v="24"/>
    <x v="1"/>
    <x v="4"/>
    <n v="2"/>
    <n v="371.3"/>
    <s v="Store B"/>
    <x v="0"/>
    <n v="0.05"/>
    <x v="5"/>
    <n v="705.47"/>
    <n v="445.56"/>
    <n v="223.40000000000003"/>
    <n v="0.31666832041050652"/>
    <n v="705.47"/>
    <s v="Credit Card"/>
    <s v="SAVE10"/>
    <x v="0"/>
    <n v="0"/>
    <x v="0"/>
    <x v="53"/>
    <s v="Cust 4944"/>
    <n v="36.51"/>
    <d v="2024-01-05T00:00:00"/>
    <d v="2024-01-15T00:00:00"/>
    <s v="Sophie"/>
    <n v="10"/>
  </r>
  <r>
    <d v="2024-04-19T00:00:00"/>
    <x v="7"/>
    <x v="1"/>
    <x v="9"/>
    <x v="4"/>
    <x v="5"/>
    <n v="11"/>
    <n v="288.24"/>
    <s v="Store A"/>
    <x v="0"/>
    <n v="0.15"/>
    <x v="4"/>
    <n v="2695.0440000000003"/>
    <n v="1902.3839999999998"/>
    <n v="755.27000000000055"/>
    <n v="0.28024403312153734"/>
    <n v="2695.0439999999999"/>
    <s v="Online"/>
    <m/>
    <x v="1"/>
    <n v="0"/>
    <x v="0"/>
    <x v="54"/>
    <s v="Cust 8149"/>
    <n v="37.39"/>
    <d v="2024-04-19T00:00:00"/>
    <d v="2024-04-25T00:00:00"/>
    <s v="Wendy"/>
    <n v="6"/>
  </r>
  <r>
    <d v="2025-06-11T00:00:00"/>
    <x v="3"/>
    <x v="2"/>
    <x v="16"/>
    <x v="3"/>
    <x v="5"/>
    <n v="11"/>
    <n v="232.75"/>
    <s v="Store D"/>
    <x v="0"/>
    <n v="0.05"/>
    <x v="0"/>
    <n v="2432.2374999999997"/>
    <n v="1536.15"/>
    <n v="859.7574999999996"/>
    <n v="0.35348418894125255"/>
    <n v="2432.2375000000002"/>
    <s v="Credit Card"/>
    <s v="SAVE10"/>
    <x v="0"/>
    <n v="0"/>
    <x v="0"/>
    <x v="55"/>
    <s v="Cust 3638"/>
    <n v="36.33"/>
    <d v="2025-06-11T00:00:00"/>
    <d v="2025-06-21T00:00:00"/>
    <s v="Cameron"/>
    <n v="10"/>
  </r>
  <r>
    <d v="2025-03-06T00:00:00"/>
    <x v="6"/>
    <x v="2"/>
    <x v="8"/>
    <x v="0"/>
    <x v="1"/>
    <n v="17"/>
    <n v="146.28"/>
    <s v="Store B"/>
    <x v="1"/>
    <n v="0.15"/>
    <x v="3"/>
    <n v="2113.7460000000001"/>
    <n v="1492.056"/>
    <n v="613.85"/>
    <n v="0.29040859213926368"/>
    <n v="2113.7460000000001"/>
    <s v="Cash"/>
    <s v="SAVE10"/>
    <x v="0"/>
    <n v="0"/>
    <x v="0"/>
    <x v="56"/>
    <s v="Cust 9973"/>
    <n v="7.84"/>
    <d v="2025-03-06T00:00:00"/>
    <d v="2025-03-15T00:00:00"/>
    <s v="Eric"/>
    <n v="9"/>
  </r>
  <r>
    <d v="2023-05-24T00:00:00"/>
    <x v="2"/>
    <x v="0"/>
    <x v="2"/>
    <x v="0"/>
    <x v="3"/>
    <n v="5"/>
    <n v="100.38"/>
    <s v="Store C"/>
    <x v="1"/>
    <n v="0.1"/>
    <x v="0"/>
    <n v="451.71"/>
    <n v="301.14"/>
    <n v="132.22"/>
    <n v="0.29270992450908773"/>
    <n v="451.71"/>
    <s v="Gift Card"/>
    <s v="WINTER15"/>
    <x v="0"/>
    <n v="1"/>
    <x v="1"/>
    <x v="57"/>
    <s v="Cust 4214"/>
    <n v="18.350000000000001"/>
    <d v="2023-05-24T00:00:00"/>
    <d v="2023-05-26T00:00:00"/>
    <s v="Eric"/>
    <n v="2"/>
  </r>
  <r>
    <d v="2023-01-27T00:00:00"/>
    <x v="4"/>
    <x v="0"/>
    <x v="6"/>
    <x v="1"/>
    <x v="1"/>
    <n v="11"/>
    <n v="375.48"/>
    <s v="Store B"/>
    <x v="1"/>
    <n v="0.05"/>
    <x v="5"/>
    <n v="3923.7660000000005"/>
    <n v="2478.1680000000001"/>
    <n v="1429.6480000000004"/>
    <n v="0.36435608035749334"/>
    <n v="3923.766000000001"/>
    <s v="Debit Card"/>
    <s v="WINTER15"/>
    <x v="0"/>
    <n v="0"/>
    <x v="0"/>
    <x v="58"/>
    <s v="Cust 2647"/>
    <n v="15.95"/>
    <d v="2023-01-27T00:00:00"/>
    <d v="2023-02-03T00:00:00"/>
    <s v="Sophie"/>
    <n v="7"/>
  </r>
  <r>
    <d v="2024-03-21T00:00:00"/>
    <x v="6"/>
    <x v="1"/>
    <x v="25"/>
    <x v="1"/>
    <x v="0"/>
    <n v="18"/>
    <n v="316.89"/>
    <s v="Store B"/>
    <x v="0"/>
    <n v="0.05"/>
    <x v="5"/>
    <n v="5418.8189999999995"/>
    <n v="3422.4119999999998"/>
    <n v="1980.7169999999996"/>
    <n v="0.36552558777106225"/>
    <n v="5418.8190000000004"/>
    <s v="Cash"/>
    <s v="FREESHIP"/>
    <x v="0"/>
    <n v="0"/>
    <x v="0"/>
    <x v="59"/>
    <s v="Cust 3552"/>
    <n v="15.69"/>
    <d v="2024-03-21T00:00:00"/>
    <d v="2024-03-27T00:00:00"/>
    <s v="Sophie"/>
    <n v="6"/>
  </r>
  <r>
    <d v="2025-01-25T00:00:00"/>
    <x v="4"/>
    <x v="2"/>
    <x v="12"/>
    <x v="4"/>
    <x v="0"/>
    <n v="20"/>
    <n v="295.06"/>
    <s v="Store D"/>
    <x v="1"/>
    <n v="0.15"/>
    <x v="2"/>
    <n v="5016.0199999999995"/>
    <n v="3540.7200000000003"/>
    <n v="1461.6399999999992"/>
    <n v="0.2913943724307318"/>
    <n v="5016.0200000000004"/>
    <s v="Online"/>
    <s v="SAVE10"/>
    <x v="0"/>
    <n v="1"/>
    <x v="1"/>
    <x v="60"/>
    <s v="Cust 3354"/>
    <n v="13.66"/>
    <d v="2025-01-25T00:00:00"/>
    <d v="2025-01-31T00:00:00"/>
    <s v="Wendy"/>
    <n v="6"/>
  </r>
  <r>
    <d v="2023-06-12T00:00:00"/>
    <x v="3"/>
    <x v="0"/>
    <x v="4"/>
    <x v="3"/>
    <x v="1"/>
    <n v="8"/>
    <n v="301.68"/>
    <s v="Store D"/>
    <x v="1"/>
    <n v="0"/>
    <x v="0"/>
    <n v="2413.44"/>
    <n v="1448.0640000000001"/>
    <n v="928.83600000000001"/>
    <n v="0.38485978520286396"/>
    <n v="2413.44"/>
    <s v="Cash"/>
    <s v="SAVE10"/>
    <x v="0"/>
    <n v="0"/>
    <x v="0"/>
    <x v="61"/>
    <s v="Cust 3903"/>
    <n v="36.54"/>
    <d v="2023-06-12T00:00:00"/>
    <d v="2023-06-21T00:00:00"/>
    <s v="Cameron"/>
    <n v="9"/>
  </r>
  <r>
    <d v="2025-03-22T00:00:00"/>
    <x v="6"/>
    <x v="2"/>
    <x v="8"/>
    <x v="3"/>
    <x v="3"/>
    <n v="3"/>
    <n v="475.39"/>
    <s v="Store B"/>
    <x v="1"/>
    <n v="0.1"/>
    <x v="1"/>
    <n v="1283.5530000000001"/>
    <n v="855.702"/>
    <n v="412.23100000000011"/>
    <n v="0.32116398777456018"/>
    <n v="1283.5530000000001"/>
    <s v="Gift Card"/>
    <m/>
    <x v="1"/>
    <n v="0"/>
    <x v="0"/>
    <x v="62"/>
    <s v="Cust 5358"/>
    <n v="15.62"/>
    <d v="2025-03-22T00:00:00"/>
    <d v="2025-03-26T00:00:00"/>
    <s v="Cameron"/>
    <n v="4"/>
  </r>
  <r>
    <d v="2024-02-24T00:00:00"/>
    <x v="0"/>
    <x v="1"/>
    <x v="5"/>
    <x v="3"/>
    <x v="2"/>
    <n v="16"/>
    <n v="47.25"/>
    <s v="Store D"/>
    <x v="1"/>
    <n v="0.15"/>
    <x v="5"/>
    <n v="642.6"/>
    <n v="453.59999999999997"/>
    <n v="159.50000000000006"/>
    <n v="0.24821039526921887"/>
    <n v="642.6"/>
    <s v="Debit Card"/>
    <s v="FREESHIP"/>
    <x v="0"/>
    <n v="0"/>
    <x v="0"/>
    <x v="63"/>
    <s v="Cust 8144"/>
    <n v="29.5"/>
    <d v="2024-02-24T00:00:00"/>
    <d v="2024-02-27T00:00:00"/>
    <s v="Cameron"/>
    <n v="3"/>
  </r>
  <r>
    <d v="2023-12-09T00:00:00"/>
    <x v="1"/>
    <x v="0"/>
    <x v="27"/>
    <x v="1"/>
    <x v="3"/>
    <n v="15"/>
    <n v="511.17"/>
    <s v="Store B"/>
    <x v="0"/>
    <n v="0"/>
    <x v="2"/>
    <n v="7667.55"/>
    <n v="4600.53"/>
    <n v="3045.2500000000005"/>
    <n v="0.3971607619122145"/>
    <n v="7667.55"/>
    <s v="Online"/>
    <s v="FREESHIP"/>
    <x v="0"/>
    <n v="0"/>
    <x v="0"/>
    <x v="64"/>
    <s v="Cust 6747"/>
    <n v="21.77"/>
    <d v="2023-12-09T00:00:00"/>
    <d v="2023-12-12T00:00:00"/>
    <s v="Sophie"/>
    <n v="3"/>
  </r>
  <r>
    <d v="2023-10-01T00:00:00"/>
    <x v="5"/>
    <x v="0"/>
    <x v="19"/>
    <x v="3"/>
    <x v="4"/>
    <n v="3"/>
    <n v="66.58"/>
    <s v="Store B"/>
    <x v="1"/>
    <n v="0.1"/>
    <x v="2"/>
    <n v="179.76600000000002"/>
    <n v="119.84399999999999"/>
    <n v="37.492000000000026"/>
    <n v="0.20856001691087314"/>
    <n v="179.76599999999999"/>
    <s v="Debit Card"/>
    <s v="FREESHIP"/>
    <x v="0"/>
    <n v="0"/>
    <x v="0"/>
    <x v="65"/>
    <s v="Cust 8330"/>
    <n v="22.43"/>
    <d v="2023-10-01T00:00:00"/>
    <d v="2023-10-05T00:00:00"/>
    <s v="Cameron"/>
    <n v="4"/>
  </r>
  <r>
    <d v="2023-07-31T00:00:00"/>
    <x v="8"/>
    <x v="0"/>
    <x v="11"/>
    <x v="4"/>
    <x v="5"/>
    <n v="5"/>
    <n v="490.52"/>
    <s v="Store D"/>
    <x v="0"/>
    <n v="0.05"/>
    <x v="2"/>
    <n v="2329.9699999999998"/>
    <n v="1471.5599999999997"/>
    <n v="846.17000000000007"/>
    <n v="0.3631677661085766"/>
    <n v="2329.9699999999998"/>
    <s v="Online"/>
    <m/>
    <x v="1"/>
    <n v="0"/>
    <x v="0"/>
    <x v="66"/>
    <s v="Cust 7186"/>
    <n v="12.24"/>
    <d v="2023-07-31T00:00:00"/>
    <d v="2023-08-07T00:00:00"/>
    <s v="Wendy"/>
    <n v="7"/>
  </r>
  <r>
    <d v="2024-12-24T00:00:00"/>
    <x v="1"/>
    <x v="1"/>
    <x v="1"/>
    <x v="1"/>
    <x v="3"/>
    <n v="8"/>
    <n v="405.96"/>
    <s v="Store A"/>
    <x v="0"/>
    <n v="0.05"/>
    <x v="3"/>
    <n v="3085.2959999999998"/>
    <n v="1948.6079999999997"/>
    <n v="1095.4180000000001"/>
    <n v="0.35504470235594904"/>
    <n v="3085.2959999999998"/>
    <s v="Credit Card"/>
    <s v="WINTER15"/>
    <x v="0"/>
    <n v="0"/>
    <x v="0"/>
    <x v="67"/>
    <s v="Cust 8287"/>
    <n v="41.27"/>
    <d v="2024-12-24T00:00:00"/>
    <d v="2024-12-31T00:00:00"/>
    <s v="Sophie"/>
    <n v="7"/>
  </r>
  <r>
    <d v="2024-11-15T00:00:00"/>
    <x v="9"/>
    <x v="1"/>
    <x v="20"/>
    <x v="2"/>
    <x v="1"/>
    <n v="1"/>
    <n v="159.41"/>
    <s v="Store B"/>
    <x v="1"/>
    <n v="0.1"/>
    <x v="5"/>
    <n v="143.46899999999999"/>
    <n v="95.646000000000001"/>
    <n v="12.682999999999993"/>
    <n v="8.840237263799143E-2"/>
    <n v="143.46899999999999"/>
    <s v="Credit Card"/>
    <s v="FREESHIP"/>
    <x v="0"/>
    <n v="0"/>
    <x v="0"/>
    <x v="68"/>
    <s v="Cust 3986"/>
    <n v="35.14"/>
    <d v="2024-11-15T00:00:00"/>
    <d v="2024-11-19T00:00:00"/>
    <s v="Ryan"/>
    <n v="4"/>
  </r>
  <r>
    <d v="2025-03-13T00:00:00"/>
    <x v="6"/>
    <x v="2"/>
    <x v="8"/>
    <x v="4"/>
    <x v="4"/>
    <n v="16"/>
    <n v="38.49"/>
    <s v="Store C"/>
    <x v="1"/>
    <n v="0.15"/>
    <x v="3"/>
    <n v="523.46400000000006"/>
    <n v="369.50400000000002"/>
    <n v="145.58000000000004"/>
    <n v="0.27810890529243659"/>
    <n v="523.46400000000006"/>
    <s v="Debit Card"/>
    <s v="SAVE10"/>
    <x v="0"/>
    <n v="0"/>
    <x v="0"/>
    <x v="69"/>
    <s v="Cust 3213"/>
    <n v="8.3800000000000008"/>
    <d v="2025-03-13T00:00:00"/>
    <d v="2025-03-22T00:00:00"/>
    <s v="Wendy"/>
    <n v="9"/>
  </r>
  <r>
    <d v="2024-03-03T00:00:00"/>
    <x v="6"/>
    <x v="1"/>
    <x v="25"/>
    <x v="0"/>
    <x v="5"/>
    <n v="15"/>
    <n v="328.36"/>
    <s v="Store D"/>
    <x v="1"/>
    <n v="0.15"/>
    <x v="1"/>
    <n v="4186.59"/>
    <n v="2955.24"/>
    <n v="1215.5900000000004"/>
    <n v="0.29035324691455344"/>
    <n v="4186.59"/>
    <s v="Gift Card"/>
    <s v="WINTER15"/>
    <x v="0"/>
    <n v="0"/>
    <x v="0"/>
    <x v="70"/>
    <s v="Cust 1907"/>
    <n v="15.76"/>
    <d v="2024-03-03T00:00:00"/>
    <d v="2024-03-12T00:00:00"/>
    <s v="Eric"/>
    <n v="9"/>
  </r>
  <r>
    <d v="2023-02-11T00:00:00"/>
    <x v="0"/>
    <x v="0"/>
    <x v="0"/>
    <x v="3"/>
    <x v="5"/>
    <n v="20"/>
    <n v="548.01"/>
    <s v="Store A"/>
    <x v="0"/>
    <n v="0.1"/>
    <x v="0"/>
    <n v="9864.18"/>
    <n v="6576.12"/>
    <n v="3282.1700000000005"/>
    <n v="0.3327362233860291"/>
    <n v="9864.18"/>
    <s v="Credit Card"/>
    <s v="WINTER15"/>
    <x v="0"/>
    <n v="1"/>
    <x v="1"/>
    <x v="71"/>
    <s v="Cust 4639"/>
    <n v="5.89"/>
    <d v="2023-02-11T00:00:00"/>
    <d v="2023-02-14T00:00:00"/>
    <s v="Cameron"/>
    <n v="3"/>
  </r>
  <r>
    <d v="2023-10-26T00:00:00"/>
    <x v="5"/>
    <x v="0"/>
    <x v="19"/>
    <x v="1"/>
    <x v="2"/>
    <n v="13"/>
    <n v="484.45"/>
    <s v="Store B"/>
    <x v="0"/>
    <n v="0.05"/>
    <x v="3"/>
    <n v="5982.9574999999995"/>
    <n v="3778.7099999999996"/>
    <n v="2197.6774999999998"/>
    <n v="0.3673229335157403"/>
    <n v="5982.9575000000004"/>
    <s v="Gift Card"/>
    <s v="WINTER15"/>
    <x v="0"/>
    <n v="1"/>
    <x v="1"/>
    <x v="72"/>
    <s v="Cust 4153"/>
    <n v="6.57"/>
    <d v="2023-10-26T00:00:00"/>
    <d v="2023-11-05T00:00:00"/>
    <s v="Sophie"/>
    <n v="10"/>
  </r>
  <r>
    <d v="2023-10-21T00:00:00"/>
    <x v="5"/>
    <x v="0"/>
    <x v="19"/>
    <x v="1"/>
    <x v="4"/>
    <n v="13"/>
    <n v="195.84"/>
    <s v="Store A"/>
    <x v="0"/>
    <n v="0.05"/>
    <x v="1"/>
    <n v="2418.6239999999998"/>
    <n v="1527.5519999999999"/>
    <n v="857.55199999999991"/>
    <n v="0.35456193273530734"/>
    <n v="2418.6239999999998"/>
    <s v="Credit Card"/>
    <m/>
    <x v="1"/>
    <n v="0"/>
    <x v="0"/>
    <x v="73"/>
    <s v="Cust 7096"/>
    <n v="33.520000000000003"/>
    <d v="2023-10-21T00:00:00"/>
    <d v="2023-10-28T00:00:00"/>
    <s v="Sophie"/>
    <n v="7"/>
  </r>
  <r>
    <d v="2024-01-14T00:00:00"/>
    <x v="4"/>
    <x v="1"/>
    <x v="24"/>
    <x v="3"/>
    <x v="5"/>
    <n v="19"/>
    <n v="29.94"/>
    <s v="Store D"/>
    <x v="1"/>
    <n v="0.15"/>
    <x v="4"/>
    <n v="483.53100000000001"/>
    <n v="341.31599999999997"/>
    <n v="108.62500000000003"/>
    <n v="0.2246495054091672"/>
    <n v="483.53100000000001"/>
    <s v="Debit Card"/>
    <s v="FREESHIP"/>
    <x v="0"/>
    <n v="0"/>
    <x v="0"/>
    <x v="74"/>
    <s v="Cust 3806"/>
    <n v="33.590000000000003"/>
    <d v="2024-01-14T00:00:00"/>
    <d v="2024-01-20T00:00:00"/>
    <s v="Cameron"/>
    <n v="6"/>
  </r>
  <r>
    <d v="2023-07-27T00:00:00"/>
    <x v="8"/>
    <x v="0"/>
    <x v="11"/>
    <x v="3"/>
    <x v="2"/>
    <n v="10"/>
    <n v="553.91"/>
    <s v="Store D"/>
    <x v="0"/>
    <n v="0.1"/>
    <x v="0"/>
    <n v="4985.1899999999996"/>
    <n v="3323.4599999999996"/>
    <n v="1630.43"/>
    <n v="0.3270547361284124"/>
    <n v="4985.1899999999996"/>
    <s v="Online"/>
    <m/>
    <x v="1"/>
    <n v="0"/>
    <x v="0"/>
    <x v="75"/>
    <s v="Cust 9345"/>
    <n v="31.3"/>
    <d v="2023-07-27T00:00:00"/>
    <d v="2023-07-31T00:00:00"/>
    <s v="Cameron"/>
    <n v="4"/>
  </r>
  <r>
    <d v="2024-10-23T00:00:00"/>
    <x v="5"/>
    <x v="1"/>
    <x v="7"/>
    <x v="1"/>
    <x v="1"/>
    <n v="14"/>
    <n v="445.52"/>
    <s v="Store B"/>
    <x v="1"/>
    <n v="0.1"/>
    <x v="5"/>
    <n v="5613.5519999999997"/>
    <n v="3742.3679999999995"/>
    <n v="1856.7740000000001"/>
    <n v="0.33076633119279919"/>
    <n v="5613.5519999999997"/>
    <s v="Online"/>
    <s v="SAVE10"/>
    <x v="0"/>
    <n v="0"/>
    <x v="0"/>
    <x v="76"/>
    <s v="Cust 4456"/>
    <n v="14.41"/>
    <d v="2024-10-23T00:00:00"/>
    <d v="2024-10-25T00:00:00"/>
    <s v="Sophie"/>
    <n v="2"/>
  </r>
  <r>
    <d v="2023-09-26T00:00:00"/>
    <x v="11"/>
    <x v="0"/>
    <x v="22"/>
    <x v="1"/>
    <x v="3"/>
    <n v="5"/>
    <n v="551.58000000000004"/>
    <s v="Store B"/>
    <x v="1"/>
    <n v="0.15"/>
    <x v="1"/>
    <n v="2344.2150000000001"/>
    <n v="1654.7400000000002"/>
    <n v="681.6049999999999"/>
    <n v="0.29076044646075544"/>
    <n v="2344.2150000000001"/>
    <s v="Online"/>
    <s v="WINTER15"/>
    <x v="0"/>
    <n v="1"/>
    <x v="1"/>
    <x v="77"/>
    <s v="Cust 1089"/>
    <n v="7.87"/>
    <d v="2023-09-26T00:00:00"/>
    <d v="2023-10-01T00:00:00"/>
    <s v="Sophie"/>
    <n v="5"/>
  </r>
  <r>
    <d v="2023-12-16T00:00:00"/>
    <x v="1"/>
    <x v="0"/>
    <x v="27"/>
    <x v="0"/>
    <x v="1"/>
    <n v="13"/>
    <n v="241.4"/>
    <s v="Store D"/>
    <x v="1"/>
    <n v="0"/>
    <x v="3"/>
    <n v="3138.2000000000003"/>
    <n v="1882.92"/>
    <n v="1206.2300000000002"/>
    <n v="0.38437002103116441"/>
    <n v="3138.2"/>
    <s v="Gift Card"/>
    <s v="SAVE10"/>
    <x v="0"/>
    <n v="0"/>
    <x v="0"/>
    <x v="78"/>
    <s v="Cust 7230"/>
    <n v="49.05"/>
    <d v="2023-12-16T00:00:00"/>
    <d v="2023-12-20T00:00:00"/>
    <s v="Eric"/>
    <n v="4"/>
  </r>
  <r>
    <d v="2024-01-02T00:00:00"/>
    <x v="4"/>
    <x v="1"/>
    <x v="24"/>
    <x v="3"/>
    <x v="6"/>
    <n v="19"/>
    <n v="351.93"/>
    <s v="Store A"/>
    <x v="0"/>
    <n v="0"/>
    <x v="1"/>
    <n v="6686.67"/>
    <n v="4012.002"/>
    <n v="2634.6880000000001"/>
    <n v="0.39402094016902284"/>
    <n v="6686.67"/>
    <s v="Credit Card"/>
    <m/>
    <x v="1"/>
    <n v="0"/>
    <x v="0"/>
    <x v="79"/>
    <s v="Cust 6597"/>
    <n v="39.979999999999997"/>
    <d v="2024-01-02T00:00:00"/>
    <d v="2024-01-05T00:00:00"/>
    <s v="Cameron"/>
    <n v="3"/>
  </r>
  <r>
    <d v="2024-02-16T00:00:00"/>
    <x v="0"/>
    <x v="1"/>
    <x v="5"/>
    <x v="2"/>
    <x v="1"/>
    <n v="4"/>
    <n v="83.75"/>
    <s v="Store A"/>
    <x v="1"/>
    <n v="0.05"/>
    <x v="1"/>
    <n v="318.25"/>
    <n v="201"/>
    <n v="78.430000000000007"/>
    <n v="0.24644147682639436"/>
    <n v="318.25"/>
    <s v="Debit Card"/>
    <s v="SAVE10"/>
    <x v="0"/>
    <n v="1"/>
    <x v="1"/>
    <x v="80"/>
    <s v="Cust 4108"/>
    <n v="38.82"/>
    <d v="2024-02-16T00:00:00"/>
    <d v="2024-02-25T00:00:00"/>
    <s v="Ryan"/>
    <n v="9"/>
  </r>
  <r>
    <d v="2024-05-03T00:00:00"/>
    <x v="2"/>
    <x v="1"/>
    <x v="14"/>
    <x v="0"/>
    <x v="4"/>
    <n v="5"/>
    <n v="416.95"/>
    <s v="Store A"/>
    <x v="0"/>
    <n v="0.15"/>
    <x v="2"/>
    <n v="1772.0374999999999"/>
    <n v="1250.8499999999999"/>
    <n v="497.15750000000003"/>
    <n v="0.28055698595543271"/>
    <n v="1772.0374999999999"/>
    <s v="Online"/>
    <m/>
    <x v="1"/>
    <n v="1"/>
    <x v="1"/>
    <x v="81"/>
    <s v="Cust 2883"/>
    <n v="24.03"/>
    <d v="2024-05-03T00:00:00"/>
    <d v="2024-05-12T00:00:00"/>
    <s v="Eric"/>
    <n v="9"/>
  </r>
  <r>
    <d v="2023-05-27T00:00:00"/>
    <x v="2"/>
    <x v="0"/>
    <x v="2"/>
    <x v="4"/>
    <x v="4"/>
    <n v="18"/>
    <n v="142.43"/>
    <s v="Store C"/>
    <x v="1"/>
    <n v="0.05"/>
    <x v="5"/>
    <n v="2435.5529999999999"/>
    <n v="1538.2439999999999"/>
    <n v="884.92899999999997"/>
    <n v="0.36333801810102268"/>
    <n v="2435.5529999999999"/>
    <s v="Credit Card"/>
    <s v="SAVE10"/>
    <x v="0"/>
    <n v="1"/>
    <x v="1"/>
    <x v="82"/>
    <s v="Cust 5018"/>
    <n v="12.38"/>
    <d v="2023-05-27T00:00:00"/>
    <d v="2023-06-02T00:00:00"/>
    <s v="Wendy"/>
    <n v="6"/>
  </r>
  <r>
    <d v="2023-01-05T00:00:00"/>
    <x v="4"/>
    <x v="0"/>
    <x v="6"/>
    <x v="0"/>
    <x v="2"/>
    <n v="12"/>
    <n v="582.52"/>
    <s v="Store A"/>
    <x v="0"/>
    <n v="0"/>
    <x v="5"/>
    <n v="6990.24"/>
    <n v="4194.1440000000002"/>
    <n v="2754.9359999999997"/>
    <n v="0.39411179015312775"/>
    <n v="6990.24"/>
    <s v="Credit Card"/>
    <s v="FREESHIP"/>
    <x v="0"/>
    <n v="0"/>
    <x v="0"/>
    <x v="83"/>
    <s v="Cust 1231"/>
    <n v="41.16"/>
    <d v="2023-01-05T00:00:00"/>
    <d v="2023-01-11T00:00:00"/>
    <s v="Eric"/>
    <n v="6"/>
  </r>
  <r>
    <d v="2025-05-21T00:00:00"/>
    <x v="2"/>
    <x v="2"/>
    <x v="13"/>
    <x v="0"/>
    <x v="3"/>
    <n v="20"/>
    <n v="129.56"/>
    <s v="Store A"/>
    <x v="1"/>
    <n v="0.15"/>
    <x v="4"/>
    <n v="2202.52"/>
    <n v="1554.72"/>
    <n v="607.58999999999992"/>
    <n v="0.27586128616312222"/>
    <n v="2202.52"/>
    <s v="Online"/>
    <s v="WINTER15"/>
    <x v="0"/>
    <n v="0"/>
    <x v="0"/>
    <x v="84"/>
    <s v="Cust 2209"/>
    <n v="40.21"/>
    <d v="2025-05-21T00:00:00"/>
    <d v="2025-05-23T00:00:00"/>
    <s v="Eric"/>
    <n v="2"/>
  </r>
  <r>
    <d v="2023-07-21T00:00:00"/>
    <x v="8"/>
    <x v="0"/>
    <x v="11"/>
    <x v="3"/>
    <x v="5"/>
    <n v="17"/>
    <n v="431.82"/>
    <s v="Store B"/>
    <x v="1"/>
    <n v="0"/>
    <x v="0"/>
    <n v="7340.94"/>
    <n v="4404.5639999999994"/>
    <n v="2898.6260000000002"/>
    <n v="0.39485760679150089"/>
    <n v="7340.94"/>
    <s v="Gift Card"/>
    <s v="FREESHIP"/>
    <x v="0"/>
    <n v="1"/>
    <x v="1"/>
    <x v="85"/>
    <s v="Cust 6684"/>
    <n v="37.75"/>
    <d v="2023-07-21T00:00:00"/>
    <d v="2023-07-25T00:00:00"/>
    <s v="Cameron"/>
    <n v="4"/>
  </r>
  <r>
    <d v="2025-05-25T00:00:00"/>
    <x v="2"/>
    <x v="2"/>
    <x v="13"/>
    <x v="0"/>
    <x v="0"/>
    <n v="15"/>
    <n v="15.85"/>
    <s v="Store C"/>
    <x v="1"/>
    <n v="0"/>
    <x v="5"/>
    <n v="237.75"/>
    <n v="142.65"/>
    <n v="71.61"/>
    <n v="0.30119873817034698"/>
    <n v="237.75"/>
    <s v="Debit Card"/>
    <s v="WINTER15"/>
    <x v="0"/>
    <n v="0"/>
    <x v="0"/>
    <x v="86"/>
    <s v="Cust 5289"/>
    <n v="23.49"/>
    <d v="2025-05-25T00:00:00"/>
    <d v="2025-06-03T00:00:00"/>
    <s v="Eric"/>
    <n v="9"/>
  </r>
  <r>
    <d v="2024-11-16T00:00:00"/>
    <x v="9"/>
    <x v="1"/>
    <x v="20"/>
    <x v="1"/>
    <x v="5"/>
    <n v="20"/>
    <n v="548.34"/>
    <s v="Store B"/>
    <x v="1"/>
    <n v="0.1"/>
    <x v="5"/>
    <n v="9870.1200000000008"/>
    <n v="6580.08"/>
    <n v="3256.5700000000011"/>
    <n v="0.32994229046860635"/>
    <n v="9870.1200000000008"/>
    <s v="Gift Card"/>
    <s v="WINTER15"/>
    <x v="0"/>
    <n v="0"/>
    <x v="0"/>
    <x v="87"/>
    <s v="Cust 9159"/>
    <n v="33.47"/>
    <d v="2024-11-16T00:00:00"/>
    <d v="2024-11-22T00:00:00"/>
    <s v="Sophie"/>
    <n v="6"/>
  </r>
  <r>
    <d v="2023-11-19T00:00:00"/>
    <x v="9"/>
    <x v="0"/>
    <x v="15"/>
    <x v="2"/>
    <x v="0"/>
    <n v="16"/>
    <n v="525.83000000000004"/>
    <s v="Store C"/>
    <x v="0"/>
    <n v="0.05"/>
    <x v="2"/>
    <n v="7992.616"/>
    <n v="5047.9679999999998"/>
    <n v="2908.1780000000003"/>
    <n v="0.36385809101800964"/>
    <n v="7992.616"/>
    <s v="Online"/>
    <m/>
    <x v="1"/>
    <n v="0"/>
    <x v="0"/>
    <x v="88"/>
    <s v="Cust 4844"/>
    <n v="36.47"/>
    <d v="2023-11-19T00:00:00"/>
    <d v="2023-11-25T00:00:00"/>
    <s v="Ryan"/>
    <n v="6"/>
  </r>
  <r>
    <d v="2025-01-12T00:00:00"/>
    <x v="4"/>
    <x v="2"/>
    <x v="12"/>
    <x v="3"/>
    <x v="0"/>
    <n v="15"/>
    <n v="411.38"/>
    <s v="Store A"/>
    <x v="0"/>
    <n v="0.05"/>
    <x v="5"/>
    <n v="5862.165"/>
    <n v="3702.4199999999996"/>
    <n v="2111.2350000000001"/>
    <n v="0.36014595290306572"/>
    <n v="5862.165"/>
    <s v="Online"/>
    <s v="SAVE10"/>
    <x v="0"/>
    <n v="0"/>
    <x v="0"/>
    <x v="89"/>
    <s v="Cust 3273"/>
    <n v="48.51"/>
    <d v="2025-01-12T00:00:00"/>
    <d v="2025-01-21T00:00:00"/>
    <s v="Cameron"/>
    <n v="9"/>
  </r>
  <r>
    <d v="2023-03-29T00:00:00"/>
    <x v="6"/>
    <x v="0"/>
    <x v="17"/>
    <x v="2"/>
    <x v="4"/>
    <n v="19"/>
    <n v="559.95000000000005"/>
    <s v="Store A"/>
    <x v="0"/>
    <n v="0.1"/>
    <x v="3"/>
    <n v="9575.1450000000004"/>
    <n v="6383.43"/>
    <n v="3173.415"/>
    <n v="0.33142213512171353"/>
    <n v="9575.1450000000004"/>
    <s v="Credit Card"/>
    <s v="WINTER15"/>
    <x v="0"/>
    <n v="0"/>
    <x v="0"/>
    <x v="90"/>
    <s v="Cust 8160"/>
    <n v="18.3"/>
    <d v="2023-03-29T00:00:00"/>
    <d v="2023-04-03T00:00:00"/>
    <s v="Ryan"/>
    <n v="5"/>
  </r>
  <r>
    <d v="2025-03-01T00:00:00"/>
    <x v="6"/>
    <x v="2"/>
    <x v="8"/>
    <x v="2"/>
    <x v="2"/>
    <n v="8"/>
    <n v="179.9"/>
    <s v="Store C"/>
    <x v="1"/>
    <n v="0.05"/>
    <x v="3"/>
    <n v="1367.24"/>
    <n v="863.52"/>
    <n v="488.92"/>
    <n v="0.35759632544396008"/>
    <n v="1367.24"/>
    <s v="Online"/>
    <s v="SAVE10"/>
    <x v="0"/>
    <n v="0"/>
    <x v="0"/>
    <x v="91"/>
    <s v="Cust 4439"/>
    <n v="14.8"/>
    <d v="2025-03-01T00:00:00"/>
    <d v="2025-03-05T00:00:00"/>
    <s v="Ryan"/>
    <n v="4"/>
  </r>
  <r>
    <d v="2023-10-18T00:00:00"/>
    <x v="5"/>
    <x v="0"/>
    <x v="19"/>
    <x v="2"/>
    <x v="3"/>
    <n v="12"/>
    <n v="494.15"/>
    <s v="Store B"/>
    <x v="0"/>
    <n v="0.15"/>
    <x v="4"/>
    <n v="5040.329999999999"/>
    <n v="3557.8799999999992"/>
    <n v="1464.3999999999999"/>
    <n v="0.29053653233022442"/>
    <n v="5040.329999999999"/>
    <s v="Online"/>
    <s v="SAVE10"/>
    <x v="0"/>
    <n v="1"/>
    <x v="1"/>
    <x v="92"/>
    <s v="Cust 1127"/>
    <n v="18.05"/>
    <d v="2023-10-18T00:00:00"/>
    <d v="2023-10-20T00:00:00"/>
    <s v="Ryan"/>
    <n v="2"/>
  </r>
  <r>
    <d v="2025-04-13T00:00:00"/>
    <x v="7"/>
    <x v="2"/>
    <x v="28"/>
    <x v="0"/>
    <x v="2"/>
    <n v="10"/>
    <n v="462.99"/>
    <s v="Store C"/>
    <x v="0"/>
    <n v="0"/>
    <x v="5"/>
    <n v="4629.8999999999996"/>
    <n v="2777.9399999999996"/>
    <n v="1846.95"/>
    <n v="0.39891790319445347"/>
    <n v="4629.8999999999996"/>
    <s v="Credit Card"/>
    <s v="WINTER15"/>
    <x v="0"/>
    <n v="0"/>
    <x v="0"/>
    <x v="93"/>
    <s v="Cust 4696"/>
    <n v="5.01"/>
    <d v="2025-04-13T00:00:00"/>
    <d v="2025-04-15T00:00:00"/>
    <s v="Eric"/>
    <n v="2"/>
  </r>
  <r>
    <d v="2025-05-13T00:00:00"/>
    <x v="2"/>
    <x v="2"/>
    <x v="13"/>
    <x v="3"/>
    <x v="0"/>
    <n v="7"/>
    <n v="460.24"/>
    <s v="Store A"/>
    <x v="1"/>
    <n v="0.05"/>
    <x v="1"/>
    <n v="3060.596"/>
    <n v="1933.008"/>
    <n v="1116.048"/>
    <n v="0.36465054518793072"/>
    <n v="3060.596"/>
    <s v="Cash"/>
    <s v="SAVE10"/>
    <x v="0"/>
    <n v="1"/>
    <x v="1"/>
    <x v="94"/>
    <s v="Cust 3014"/>
    <n v="11.54"/>
    <d v="2025-05-13T00:00:00"/>
    <d v="2025-05-23T00:00:00"/>
    <s v="Cameron"/>
    <n v="10"/>
  </r>
  <r>
    <d v="2024-04-21T00:00:00"/>
    <x v="7"/>
    <x v="1"/>
    <x v="9"/>
    <x v="4"/>
    <x v="6"/>
    <n v="17"/>
    <n v="309.52"/>
    <s v="Store B"/>
    <x v="0"/>
    <n v="0.05"/>
    <x v="0"/>
    <n v="4998.7479999999996"/>
    <n v="3157.1039999999998"/>
    <n v="1835.5339999999999"/>
    <n v="0.36719874656614016"/>
    <n v="4998.7479999999996"/>
    <s v="Online"/>
    <s v="FREESHIP"/>
    <x v="0"/>
    <n v="0"/>
    <x v="0"/>
    <x v="95"/>
    <s v="Cust 2539"/>
    <n v="6.11"/>
    <d v="2024-04-21T00:00:00"/>
    <d v="2024-04-27T00:00:00"/>
    <s v="Wendy"/>
    <n v="6"/>
  </r>
  <r>
    <d v="2025-01-31T00:00:00"/>
    <x v="4"/>
    <x v="2"/>
    <x v="12"/>
    <x v="3"/>
    <x v="4"/>
    <n v="1"/>
    <n v="323.83"/>
    <s v="Store B"/>
    <x v="0"/>
    <n v="0.05"/>
    <x v="0"/>
    <n v="307.63849999999996"/>
    <n v="194.29799999999997"/>
    <n v="85.860499999999988"/>
    <n v="0.27909543181363838"/>
    <n v="307.63850000000002"/>
    <s v="Credit Card"/>
    <s v="WINTER15"/>
    <x v="0"/>
    <n v="0"/>
    <x v="0"/>
    <x v="96"/>
    <s v="Cust 3916"/>
    <n v="27.48"/>
    <d v="2025-01-31T00:00:00"/>
    <d v="2025-02-08T00:00:00"/>
    <s v="Cameron"/>
    <n v="8"/>
  </r>
  <r>
    <d v="2025-03-14T00:00:00"/>
    <x v="6"/>
    <x v="2"/>
    <x v="8"/>
    <x v="3"/>
    <x v="3"/>
    <n v="10"/>
    <n v="503.07"/>
    <s v="Store C"/>
    <x v="1"/>
    <n v="0"/>
    <x v="5"/>
    <n v="5030.7"/>
    <n v="3018.42"/>
    <n v="1967.6699999999998"/>
    <n v="0.39113244677679049"/>
    <n v="5030.7"/>
    <s v="Credit Card"/>
    <s v="FREESHIP"/>
    <x v="0"/>
    <n v="0"/>
    <x v="0"/>
    <x v="97"/>
    <s v="Cust 6329"/>
    <n v="44.61"/>
    <d v="2025-03-14T00:00:00"/>
    <d v="2025-03-19T00:00:00"/>
    <s v="Cameron"/>
    <n v="5"/>
  </r>
  <r>
    <d v="2024-05-26T00:00:00"/>
    <x v="2"/>
    <x v="1"/>
    <x v="14"/>
    <x v="4"/>
    <x v="0"/>
    <n v="20"/>
    <n v="491.68"/>
    <s v="Store D"/>
    <x v="0"/>
    <n v="0.15"/>
    <x v="1"/>
    <n v="8358.56"/>
    <n v="5900.16"/>
    <n v="2414.9399999999996"/>
    <n v="0.28891818686472309"/>
    <n v="8358.56"/>
    <s v="Online"/>
    <s v="SAVE10"/>
    <x v="0"/>
    <n v="1"/>
    <x v="1"/>
    <x v="98"/>
    <s v="Cust 4384"/>
    <n v="43.46"/>
    <d v="2024-05-26T00:00:00"/>
    <d v="2024-05-29T00:00:00"/>
    <s v="Wendy"/>
    <n v="3"/>
  </r>
  <r>
    <d v="2023-07-22T00:00:00"/>
    <x v="8"/>
    <x v="0"/>
    <x v="11"/>
    <x v="2"/>
    <x v="1"/>
    <n v="17"/>
    <n v="468.45"/>
    <s v="Store A"/>
    <x v="1"/>
    <n v="0.05"/>
    <x v="3"/>
    <n v="7565.4674999999997"/>
    <n v="4778.1899999999996"/>
    <n v="2769.3975"/>
    <n v="0.36605768248954873"/>
    <n v="7565.4674999999997"/>
    <s v="Credit Card"/>
    <s v="FREESHIP"/>
    <x v="0"/>
    <n v="0"/>
    <x v="0"/>
    <x v="99"/>
    <s v="Cust 7756"/>
    <n v="17.88"/>
    <d v="2023-07-22T00:00:00"/>
    <d v="2023-07-26T00:00:00"/>
    <s v="Ryan"/>
    <n v="4"/>
  </r>
  <r>
    <d v="2024-03-21T00:00:00"/>
    <x v="6"/>
    <x v="1"/>
    <x v="25"/>
    <x v="2"/>
    <x v="0"/>
    <n v="11"/>
    <n v="401.76"/>
    <s v="Store D"/>
    <x v="1"/>
    <n v="0.15"/>
    <x v="2"/>
    <n v="3756.4559999999997"/>
    <n v="2651.616"/>
    <n v="1056.8099999999997"/>
    <n v="0.28133165941515081"/>
    <n v="3756.4560000000001"/>
    <s v="Gift Card"/>
    <s v="SAVE10"/>
    <x v="0"/>
    <n v="0"/>
    <x v="0"/>
    <x v="100"/>
    <s v="Cust 6086"/>
    <n v="48.03"/>
    <d v="2024-03-21T00:00:00"/>
    <d v="2024-03-30T00:00:00"/>
    <s v="Ryan"/>
    <n v="9"/>
  </r>
  <r>
    <d v="2023-04-05T00:00:00"/>
    <x v="7"/>
    <x v="0"/>
    <x v="21"/>
    <x v="4"/>
    <x v="6"/>
    <n v="3"/>
    <n v="221"/>
    <s v="Store B"/>
    <x v="0"/>
    <n v="0"/>
    <x v="2"/>
    <n v="663"/>
    <n v="397.79999999999995"/>
    <n v="232.89000000000004"/>
    <n v="0.35126696832579191"/>
    <n v="663"/>
    <s v="Cash"/>
    <s v="FREESHIP"/>
    <x v="0"/>
    <n v="0"/>
    <x v="0"/>
    <x v="101"/>
    <s v="Cust 3845"/>
    <n v="32.31"/>
    <d v="2023-04-05T00:00:00"/>
    <d v="2023-04-08T00:00:00"/>
    <s v="Wendy"/>
    <n v="3"/>
  </r>
  <r>
    <d v="2024-08-26T00:00:00"/>
    <x v="10"/>
    <x v="1"/>
    <x v="29"/>
    <x v="0"/>
    <x v="4"/>
    <n v="6"/>
    <n v="188.45"/>
    <s v="Store C"/>
    <x v="0"/>
    <n v="0.05"/>
    <x v="1"/>
    <n v="1074.1649999999997"/>
    <n v="678.42"/>
    <n v="388.9749999999998"/>
    <n v="0.36211848272844477"/>
    <n v="1074.165"/>
    <s v="Gift Card"/>
    <m/>
    <x v="1"/>
    <n v="0"/>
    <x v="0"/>
    <x v="102"/>
    <s v="Cust 9996"/>
    <n v="6.77"/>
    <d v="2024-08-26T00:00:00"/>
    <d v="2024-09-01T00:00:00"/>
    <s v="Eric"/>
    <n v="6"/>
  </r>
  <r>
    <d v="2024-07-07T00:00:00"/>
    <x v="8"/>
    <x v="1"/>
    <x v="10"/>
    <x v="2"/>
    <x v="2"/>
    <n v="3"/>
    <n v="566.20000000000005"/>
    <s v="Store D"/>
    <x v="1"/>
    <n v="0"/>
    <x v="5"/>
    <n v="1698.6000000000001"/>
    <n v="1019.1600000000001"/>
    <n v="650.47"/>
    <n v="0.38294477805251381"/>
    <n v="1698.6"/>
    <s v="Gift Card"/>
    <s v="FREESHIP"/>
    <x v="0"/>
    <n v="1"/>
    <x v="1"/>
    <x v="103"/>
    <s v="Cust 1711"/>
    <n v="28.97"/>
    <d v="2024-07-07T00:00:00"/>
    <d v="2024-07-17T00:00:00"/>
    <s v="Ryan"/>
    <n v="10"/>
  </r>
  <r>
    <d v="2023-09-29T00:00:00"/>
    <x v="11"/>
    <x v="0"/>
    <x v="22"/>
    <x v="0"/>
    <x v="4"/>
    <n v="14"/>
    <n v="167.09"/>
    <s v="Store D"/>
    <x v="1"/>
    <n v="0.05"/>
    <x v="1"/>
    <n v="2222.297"/>
    <n v="1403.556"/>
    <n v="771.69100000000003"/>
    <n v="0.34724926506223064"/>
    <n v="2222.297"/>
    <s v="Gift Card"/>
    <s v="SAVE10"/>
    <x v="0"/>
    <n v="1"/>
    <x v="1"/>
    <x v="104"/>
    <s v="Cust 4522"/>
    <n v="47.05"/>
    <d v="2023-09-29T00:00:00"/>
    <d v="2023-10-08T00:00:00"/>
    <s v="Eric"/>
    <n v="9"/>
  </r>
  <r>
    <d v="2023-10-04T00:00:00"/>
    <x v="5"/>
    <x v="0"/>
    <x v="19"/>
    <x v="4"/>
    <x v="4"/>
    <n v="16"/>
    <n v="36.159999999999997"/>
    <s v="Store C"/>
    <x v="0"/>
    <n v="0.1"/>
    <x v="3"/>
    <n v="520.70399999999995"/>
    <n v="347.13599999999997"/>
    <n v="146.928"/>
    <n v="0.28217182890855458"/>
    <n v="520.70399999999995"/>
    <s v="Debit Card"/>
    <s v="FREESHIP"/>
    <x v="0"/>
    <n v="0"/>
    <x v="0"/>
    <x v="105"/>
    <s v="Cust 4233"/>
    <n v="26.64"/>
    <d v="2023-10-04T00:00:00"/>
    <d v="2023-10-11T00:00:00"/>
    <s v="Wendy"/>
    <n v="7"/>
  </r>
  <r>
    <d v="2025-06-09T00:00:00"/>
    <x v="3"/>
    <x v="2"/>
    <x v="16"/>
    <x v="3"/>
    <x v="6"/>
    <n v="2"/>
    <n v="73.94"/>
    <s v="Store B"/>
    <x v="0"/>
    <n v="0.05"/>
    <x v="3"/>
    <n v="140.48599999999999"/>
    <n v="88.727999999999994"/>
    <n v="23.707999999999995"/>
    <n v="0.16875702917016638"/>
    <n v="140.48599999999999"/>
    <s v="Debit Card"/>
    <s v="SAVE10"/>
    <x v="0"/>
    <n v="0"/>
    <x v="0"/>
    <x v="106"/>
    <s v="Cust 4121"/>
    <n v="28.05"/>
    <d v="2025-06-09T00:00:00"/>
    <d v="2025-06-16T00:00:00"/>
    <s v="Cameron"/>
    <n v="7"/>
  </r>
  <r>
    <d v="2025-06-12T00:00:00"/>
    <x v="3"/>
    <x v="2"/>
    <x v="16"/>
    <x v="0"/>
    <x v="6"/>
    <n v="16"/>
    <n v="459.49"/>
    <s v="Store A"/>
    <x v="0"/>
    <n v="0.1"/>
    <x v="0"/>
    <n v="6616.6559999999999"/>
    <n v="4411.1040000000003"/>
    <n v="2178.5619999999999"/>
    <n v="0.32925423355846217"/>
    <n v="6616.6559999999999"/>
    <s v="Online"/>
    <s v="SAVE10"/>
    <x v="0"/>
    <n v="0"/>
    <x v="0"/>
    <x v="107"/>
    <s v="Cust 9092"/>
    <n v="26.99"/>
    <d v="2025-06-12T00:00:00"/>
    <d v="2025-06-14T00:00:00"/>
    <s v="Eric"/>
    <n v="2"/>
  </r>
  <r>
    <d v="2024-06-29T00:00:00"/>
    <x v="3"/>
    <x v="1"/>
    <x v="23"/>
    <x v="0"/>
    <x v="3"/>
    <n v="3"/>
    <n v="168.05"/>
    <s v="Store A"/>
    <x v="1"/>
    <n v="0"/>
    <x v="3"/>
    <n v="504.15000000000003"/>
    <n v="302.49"/>
    <n v="180.58000000000004"/>
    <n v="0.35818704750570274"/>
    <n v="504.15"/>
    <s v="Cash"/>
    <m/>
    <x v="1"/>
    <n v="1"/>
    <x v="1"/>
    <x v="108"/>
    <s v="Cust 9090"/>
    <n v="21.08"/>
    <d v="2024-06-29T00:00:00"/>
    <d v="2024-07-06T00:00:00"/>
    <s v="Eric"/>
    <n v="7"/>
  </r>
  <r>
    <d v="2024-03-23T00:00:00"/>
    <x v="6"/>
    <x v="1"/>
    <x v="25"/>
    <x v="2"/>
    <x v="6"/>
    <n v="14"/>
    <n v="37.54"/>
    <s v="Store B"/>
    <x v="1"/>
    <n v="0.15"/>
    <x v="1"/>
    <n v="446.72599999999994"/>
    <n v="315.33599999999996"/>
    <n v="81.789999999999992"/>
    <n v="0.18308761970424825"/>
    <n v="446.72599999999989"/>
    <s v="Credit Card"/>
    <m/>
    <x v="1"/>
    <n v="1"/>
    <x v="1"/>
    <x v="109"/>
    <s v="Cust 1983"/>
    <n v="49.6"/>
    <d v="2024-03-23T00:00:00"/>
    <d v="2024-04-02T00:00:00"/>
    <s v="Ryan"/>
    <n v="10"/>
  </r>
  <r>
    <d v="2024-07-14T00:00:00"/>
    <x v="8"/>
    <x v="1"/>
    <x v="10"/>
    <x v="1"/>
    <x v="5"/>
    <n v="4"/>
    <n v="151.16"/>
    <s v="Store B"/>
    <x v="0"/>
    <n v="0"/>
    <x v="1"/>
    <n v="604.64"/>
    <n v="362.78399999999999"/>
    <n v="200.45599999999999"/>
    <n v="0.33152950516009527"/>
    <n v="604.64"/>
    <s v="Gift Card"/>
    <s v="SAVE10"/>
    <x v="0"/>
    <n v="1"/>
    <x v="1"/>
    <x v="110"/>
    <s v="Cust 8834"/>
    <n v="41.4"/>
    <d v="2024-07-14T00:00:00"/>
    <d v="2024-07-21T00:00:00"/>
    <s v="Sophie"/>
    <n v="7"/>
  </r>
  <r>
    <d v="2024-03-15T00:00:00"/>
    <x v="6"/>
    <x v="1"/>
    <x v="25"/>
    <x v="1"/>
    <x v="5"/>
    <n v="17"/>
    <n v="78.58"/>
    <s v="Store A"/>
    <x v="0"/>
    <n v="0.1"/>
    <x v="5"/>
    <n v="1202.2739999999999"/>
    <n v="801.51599999999996"/>
    <n v="392.73799999999994"/>
    <n v="0.32666264096204356"/>
    <n v="1202.2739999999999"/>
    <s v="Gift Card"/>
    <s v="WINTER15"/>
    <x v="0"/>
    <n v="0"/>
    <x v="0"/>
    <x v="111"/>
    <s v="Cust 9780"/>
    <n v="8.02"/>
    <d v="2024-03-15T00:00:00"/>
    <d v="2024-03-25T00:00:00"/>
    <s v="Sophie"/>
    <n v="10"/>
  </r>
  <r>
    <d v="2025-04-19T00:00:00"/>
    <x v="7"/>
    <x v="2"/>
    <x v="28"/>
    <x v="3"/>
    <x v="3"/>
    <n v="15"/>
    <n v="37.33"/>
    <s v="Store B"/>
    <x v="1"/>
    <n v="0.05"/>
    <x v="3"/>
    <n v="531.95249999999987"/>
    <n v="335.96999999999997"/>
    <n v="152.2924999999999"/>
    <n v="0.28628965932108591"/>
    <n v="531.95249999999987"/>
    <s v="Cash"/>
    <m/>
    <x v="1"/>
    <n v="1"/>
    <x v="1"/>
    <x v="112"/>
    <s v="Cust 1293"/>
    <n v="43.69"/>
    <d v="2025-04-19T00:00:00"/>
    <d v="2025-04-24T00:00:00"/>
    <s v="Cameron"/>
    <n v="5"/>
  </r>
  <r>
    <d v="2024-02-15T00:00:00"/>
    <x v="0"/>
    <x v="1"/>
    <x v="5"/>
    <x v="4"/>
    <x v="5"/>
    <n v="18"/>
    <n v="537.02"/>
    <s v="Store A"/>
    <x v="0"/>
    <n v="0.15"/>
    <x v="3"/>
    <n v="8216.4060000000009"/>
    <n v="5799.8159999999998"/>
    <n v="2392.650000000001"/>
    <n v="0.29120396436106016"/>
    <n v="8216.4060000000009"/>
    <s v="Debit Card"/>
    <s v="SAVE10"/>
    <x v="0"/>
    <n v="0"/>
    <x v="0"/>
    <x v="113"/>
    <s v="Cust 3173"/>
    <n v="23.94"/>
    <d v="2024-02-15T00:00:00"/>
    <d v="2024-02-20T00:00:00"/>
    <s v="Wendy"/>
    <n v="5"/>
  </r>
  <r>
    <d v="2024-01-25T00:00:00"/>
    <x v="4"/>
    <x v="1"/>
    <x v="24"/>
    <x v="0"/>
    <x v="2"/>
    <n v="5"/>
    <n v="215.6"/>
    <s v="Store C"/>
    <x v="0"/>
    <n v="0"/>
    <x v="2"/>
    <n v="1078"/>
    <n v="646.79999999999995"/>
    <n v="402.84000000000003"/>
    <n v="0.37369202226345088"/>
    <n v="1078"/>
    <s v="Online"/>
    <s v="WINTER15"/>
    <x v="0"/>
    <n v="0"/>
    <x v="0"/>
    <x v="114"/>
    <s v="Cust 8641"/>
    <n v="28.36"/>
    <d v="2024-01-25T00:00:00"/>
    <d v="2024-02-04T00:00:00"/>
    <s v="Eric"/>
    <n v="10"/>
  </r>
  <r>
    <d v="2025-04-15T00:00:00"/>
    <x v="7"/>
    <x v="2"/>
    <x v="28"/>
    <x v="3"/>
    <x v="0"/>
    <n v="18"/>
    <n v="209.5"/>
    <s v="Store D"/>
    <x v="0"/>
    <n v="0"/>
    <x v="3"/>
    <n v="3771"/>
    <n v="2262.6"/>
    <n v="1470.17"/>
    <n v="0.3898621055422965"/>
    <n v="3771"/>
    <s v="Credit Card"/>
    <s v="FREESHIP"/>
    <x v="0"/>
    <n v="0"/>
    <x v="0"/>
    <x v="115"/>
    <s v="Cust 7656"/>
    <n v="38.229999999999997"/>
    <d v="2025-04-15T00:00:00"/>
    <d v="2025-04-23T00:00:00"/>
    <s v="Cameron"/>
    <n v="8"/>
  </r>
  <r>
    <d v="2025-04-15T00:00:00"/>
    <x v="7"/>
    <x v="2"/>
    <x v="28"/>
    <x v="3"/>
    <x v="3"/>
    <n v="8"/>
    <n v="348.98"/>
    <s v="Store A"/>
    <x v="1"/>
    <n v="0.1"/>
    <x v="2"/>
    <n v="2512.6560000000004"/>
    <n v="1675.104"/>
    <n v="818.3820000000004"/>
    <n v="0.32570395629166915"/>
    <n v="2512.6559999999999"/>
    <s v="Online"/>
    <s v="FREESHIP"/>
    <x v="0"/>
    <n v="0"/>
    <x v="0"/>
    <x v="116"/>
    <s v="Cust 5523"/>
    <n v="19.170000000000002"/>
    <d v="2025-04-15T00:00:00"/>
    <d v="2025-04-20T00:00:00"/>
    <s v="Cameron"/>
    <n v="5"/>
  </r>
  <r>
    <d v="2024-08-11T00:00:00"/>
    <x v="10"/>
    <x v="1"/>
    <x v="29"/>
    <x v="4"/>
    <x v="6"/>
    <n v="2"/>
    <n v="289.14"/>
    <s v="Store C"/>
    <x v="1"/>
    <n v="0.05"/>
    <x v="4"/>
    <n v="549.36599999999999"/>
    <n v="346.96799999999996"/>
    <n v="197.26800000000003"/>
    <n v="0.35908301569445511"/>
    <n v="549.36599999999999"/>
    <s v="Online"/>
    <s v="SAVE10"/>
    <x v="0"/>
    <n v="0"/>
    <x v="0"/>
    <x v="117"/>
    <s v="Cust 2015"/>
    <n v="5.13"/>
    <d v="2024-08-11T00:00:00"/>
    <d v="2024-08-13T00:00:00"/>
    <s v="Wendy"/>
    <n v="2"/>
  </r>
  <r>
    <d v="2023-12-01T00:00:00"/>
    <x v="1"/>
    <x v="0"/>
    <x v="27"/>
    <x v="1"/>
    <x v="2"/>
    <n v="5"/>
    <n v="396.93"/>
    <s v="Store B"/>
    <x v="0"/>
    <n v="0"/>
    <x v="4"/>
    <n v="1984.65"/>
    <n v="1190.79"/>
    <n v="745.23000000000013"/>
    <n v="0.37549693900687786"/>
    <n v="1984.65"/>
    <s v="Credit Card"/>
    <s v="FREESHIP"/>
    <x v="0"/>
    <n v="0"/>
    <x v="0"/>
    <x v="118"/>
    <s v="Cust 6895"/>
    <n v="48.63"/>
    <d v="2023-12-01T00:00:00"/>
    <d v="2023-12-08T00:00:00"/>
    <s v="Sophie"/>
    <n v="7"/>
  </r>
  <r>
    <d v="2023-08-06T00:00:00"/>
    <x v="10"/>
    <x v="0"/>
    <x v="18"/>
    <x v="3"/>
    <x v="0"/>
    <n v="10"/>
    <n v="508.57"/>
    <s v="Store D"/>
    <x v="1"/>
    <n v="0.05"/>
    <x v="5"/>
    <n v="4831.415"/>
    <n v="3051.42"/>
    <n v="1770.645"/>
    <n v="0.36648580177856799"/>
    <n v="4831.415"/>
    <s v="Online"/>
    <s v="SAVE10"/>
    <x v="0"/>
    <n v="0"/>
    <x v="0"/>
    <x v="119"/>
    <s v="Cust 1797"/>
    <n v="9.35"/>
    <d v="2023-08-06T00:00:00"/>
    <d v="2023-08-11T00:00:00"/>
    <s v="Cameron"/>
    <n v="5"/>
  </r>
  <r>
    <d v="2024-01-24T00:00:00"/>
    <x v="4"/>
    <x v="1"/>
    <x v="24"/>
    <x v="3"/>
    <x v="0"/>
    <n v="11"/>
    <n v="259.61"/>
    <s v="Store C"/>
    <x v="0"/>
    <n v="0.1"/>
    <x v="3"/>
    <n v="2570.1390000000001"/>
    <n v="1713.4259999999999"/>
    <n v="842.98300000000017"/>
    <n v="0.32799120981394397"/>
    <n v="2570.1390000000001"/>
    <s v="Cash"/>
    <s v="FREESHIP"/>
    <x v="0"/>
    <n v="0"/>
    <x v="0"/>
    <x v="120"/>
    <s v="Cust 9969"/>
    <n v="13.73"/>
    <d v="2024-01-24T00:00:00"/>
    <d v="2024-01-31T00:00:00"/>
    <s v="Cameron"/>
    <n v="7"/>
  </r>
  <r>
    <d v="2024-03-07T00:00:00"/>
    <x v="6"/>
    <x v="1"/>
    <x v="25"/>
    <x v="3"/>
    <x v="3"/>
    <n v="9"/>
    <n v="313.29000000000002"/>
    <s v="Store D"/>
    <x v="1"/>
    <n v="0"/>
    <x v="3"/>
    <n v="2819.61"/>
    <n v="1691.7660000000001"/>
    <n v="1113.8040000000001"/>
    <n v="0.39502058795365319"/>
    <n v="2819.61"/>
    <s v="Online"/>
    <s v="FREESHIP"/>
    <x v="0"/>
    <n v="0"/>
    <x v="0"/>
    <x v="121"/>
    <s v="Cust 1815"/>
    <n v="14.04"/>
    <d v="2024-03-07T00:00:00"/>
    <d v="2024-03-13T00:00:00"/>
    <s v="Cameron"/>
    <n v="6"/>
  </r>
  <r>
    <d v="2024-01-22T00:00:00"/>
    <x v="4"/>
    <x v="1"/>
    <x v="24"/>
    <x v="1"/>
    <x v="5"/>
    <n v="5"/>
    <n v="106.57"/>
    <s v="Store C"/>
    <x v="0"/>
    <n v="0.1"/>
    <x v="3"/>
    <n v="479.56499999999994"/>
    <n v="319.70999999999998"/>
    <n v="134.61499999999995"/>
    <n v="0.28070230312887717"/>
    <n v="479.56499999999988"/>
    <s v="Debit Card"/>
    <s v="SAVE10"/>
    <x v="0"/>
    <n v="1"/>
    <x v="1"/>
    <x v="122"/>
    <s v="Cust 7773"/>
    <n v="25.24"/>
    <d v="2024-01-22T00:00:00"/>
    <d v="2024-01-28T00:00:00"/>
    <s v="Sophie"/>
    <n v="6"/>
  </r>
  <r>
    <d v="2023-02-23T00:00:00"/>
    <x v="0"/>
    <x v="0"/>
    <x v="0"/>
    <x v="0"/>
    <x v="6"/>
    <n v="1"/>
    <n v="109"/>
    <s v="Store B"/>
    <x v="1"/>
    <n v="0.15"/>
    <x v="2"/>
    <n v="92.649999999999991"/>
    <n v="65.399999999999991"/>
    <n v="19.22"/>
    <n v="0.20744738262277387"/>
    <n v="92.649999999999991"/>
    <s v="Cash"/>
    <s v="WINTER15"/>
    <x v="0"/>
    <n v="1"/>
    <x v="1"/>
    <x v="123"/>
    <s v="Cust 1499"/>
    <n v="8.0299999999999994"/>
    <d v="2023-02-23T00:00:00"/>
    <d v="2023-02-27T00:00:00"/>
    <s v="Eric"/>
    <n v="4"/>
  </r>
  <r>
    <d v="2023-06-14T00:00:00"/>
    <x v="3"/>
    <x v="0"/>
    <x v="4"/>
    <x v="2"/>
    <x v="5"/>
    <n v="8"/>
    <n v="323.8"/>
    <s v="Store B"/>
    <x v="1"/>
    <n v="0"/>
    <x v="4"/>
    <n v="2590.4"/>
    <n v="1554.24"/>
    <n v="1000.9300000000001"/>
    <n v="0.38639978381717111"/>
    <n v="2590.4"/>
    <s v="Cash"/>
    <s v="SAVE10"/>
    <x v="0"/>
    <n v="1"/>
    <x v="1"/>
    <x v="124"/>
    <s v="Cust 3809"/>
    <n v="35.229999999999997"/>
    <d v="2023-06-14T00:00:00"/>
    <d v="2023-06-22T00:00:00"/>
    <s v="Ryan"/>
    <n v="8"/>
  </r>
  <r>
    <d v="2025-05-13T00:00:00"/>
    <x v="2"/>
    <x v="2"/>
    <x v="13"/>
    <x v="2"/>
    <x v="0"/>
    <n v="16"/>
    <n v="384.32"/>
    <s v="Store A"/>
    <x v="1"/>
    <n v="0.05"/>
    <x v="2"/>
    <n v="5841.6639999999998"/>
    <n v="3689.4719999999998"/>
    <n v="2130.692"/>
    <n v="0.36474059446075641"/>
    <n v="5841.6639999999998"/>
    <s v="Cash"/>
    <s v="FREESHIP"/>
    <x v="0"/>
    <n v="0"/>
    <x v="0"/>
    <x v="125"/>
    <s v="Cust 7824"/>
    <n v="21.5"/>
    <d v="2025-05-13T00:00:00"/>
    <d v="2025-05-15T00:00:00"/>
    <s v="Ryan"/>
    <n v="2"/>
  </r>
  <r>
    <d v="2024-07-30T00:00:00"/>
    <x v="8"/>
    <x v="1"/>
    <x v="10"/>
    <x v="3"/>
    <x v="6"/>
    <n v="16"/>
    <n v="163.86"/>
    <s v="Store C"/>
    <x v="1"/>
    <n v="0.15"/>
    <x v="4"/>
    <n v="2228.4960000000001"/>
    <n v="1573.056"/>
    <n v="617.49"/>
    <n v="0.27708822452452236"/>
    <n v="2228.4960000000001"/>
    <s v="Gift Card"/>
    <s v="FREESHIP"/>
    <x v="0"/>
    <n v="0"/>
    <x v="0"/>
    <x v="126"/>
    <s v="Cust 7258"/>
    <n v="37.950000000000003"/>
    <d v="2024-07-30T00:00:00"/>
    <d v="2024-08-06T00:00:00"/>
    <s v="Cameron"/>
    <n v="7"/>
  </r>
  <r>
    <d v="2024-07-18T00:00:00"/>
    <x v="8"/>
    <x v="1"/>
    <x v="10"/>
    <x v="0"/>
    <x v="5"/>
    <n v="5"/>
    <n v="23.41"/>
    <s v="Store B"/>
    <x v="0"/>
    <n v="0"/>
    <x v="2"/>
    <n v="117.05"/>
    <n v="70.22999999999999"/>
    <n v="20.380000000000006"/>
    <n v="0.17411362665527558"/>
    <n v="117.05"/>
    <s v="Credit Card"/>
    <s v="WINTER15"/>
    <x v="0"/>
    <n v="0"/>
    <x v="0"/>
    <x v="127"/>
    <s v="Cust 1151"/>
    <n v="26.44"/>
    <d v="2024-07-18T00:00:00"/>
    <d v="2024-07-27T00:00:00"/>
    <s v="Eric"/>
    <n v="9"/>
  </r>
  <r>
    <d v="2024-08-26T00:00:00"/>
    <x v="10"/>
    <x v="1"/>
    <x v="29"/>
    <x v="0"/>
    <x v="6"/>
    <n v="20"/>
    <n v="488.9"/>
    <s v="Store C"/>
    <x v="0"/>
    <n v="0.15"/>
    <x v="0"/>
    <n v="8311.2999999999993"/>
    <n v="5866.7999999999993"/>
    <n v="2422.73"/>
    <n v="0.29149832156221051"/>
    <n v="8311.2999999999993"/>
    <s v="Gift Card"/>
    <s v="FREESHIP"/>
    <x v="0"/>
    <n v="0"/>
    <x v="0"/>
    <x v="128"/>
    <s v="Cust 6486"/>
    <n v="21.77"/>
    <d v="2024-08-26T00:00:00"/>
    <d v="2024-09-01T00:00:00"/>
    <s v="Eric"/>
    <n v="6"/>
  </r>
  <r>
    <d v="2025-06-08T00:00:00"/>
    <x v="3"/>
    <x v="2"/>
    <x v="16"/>
    <x v="4"/>
    <x v="5"/>
    <n v="7"/>
    <n v="452.56"/>
    <s v="Store A"/>
    <x v="0"/>
    <n v="0.05"/>
    <x v="2"/>
    <n v="3009.5239999999999"/>
    <n v="1900.752"/>
    <n v="1061.8019999999999"/>
    <n v="0.35281393336620676"/>
    <n v="3009.5239999999999"/>
    <s v="Gift Card"/>
    <s v="FREESHIP"/>
    <x v="0"/>
    <n v="0"/>
    <x v="0"/>
    <x v="129"/>
    <s v="Cust 4034"/>
    <n v="46.97"/>
    <d v="2025-06-08T00:00:00"/>
    <d v="2025-06-15T00:00:00"/>
    <s v="Wendy"/>
    <n v="7"/>
  </r>
  <r>
    <d v="2025-05-16T00:00:00"/>
    <x v="2"/>
    <x v="2"/>
    <x v="13"/>
    <x v="2"/>
    <x v="2"/>
    <n v="11"/>
    <n v="465.24"/>
    <s v="Store A"/>
    <x v="0"/>
    <n v="0"/>
    <x v="3"/>
    <n v="5117.6400000000003"/>
    <n v="3070.5839999999998"/>
    <n v="2029.4660000000006"/>
    <n v="0.39656286882234787"/>
    <n v="5117.6400000000003"/>
    <s v="Debit Card"/>
    <m/>
    <x v="1"/>
    <n v="1"/>
    <x v="1"/>
    <x v="130"/>
    <s v="Cust 9794"/>
    <n v="17.59"/>
    <d v="2025-05-16T00:00:00"/>
    <d v="2025-05-23T00:00:00"/>
    <s v="Ryan"/>
    <n v="7"/>
  </r>
  <r>
    <d v="2024-07-18T00:00:00"/>
    <x v="8"/>
    <x v="1"/>
    <x v="10"/>
    <x v="0"/>
    <x v="1"/>
    <n v="14"/>
    <n v="442.65"/>
    <s v="Store B"/>
    <x v="1"/>
    <n v="0"/>
    <x v="0"/>
    <n v="6197.0999999999995"/>
    <n v="3718.2599999999998"/>
    <n v="2450.0799999999995"/>
    <n v="0.39535911958819442"/>
    <n v="6197.0999999999995"/>
    <s v="Gift Card"/>
    <s v="SAVE10"/>
    <x v="0"/>
    <n v="0"/>
    <x v="0"/>
    <x v="131"/>
    <s v="Cust 2414"/>
    <n v="28.76"/>
    <d v="2024-07-18T00:00:00"/>
    <d v="2024-07-24T00:00:00"/>
    <s v="Eric"/>
    <n v="6"/>
  </r>
  <r>
    <d v="2023-09-17T00:00:00"/>
    <x v="11"/>
    <x v="0"/>
    <x v="22"/>
    <x v="4"/>
    <x v="0"/>
    <n v="12"/>
    <n v="469.44"/>
    <s v="Store B"/>
    <x v="0"/>
    <n v="0"/>
    <x v="5"/>
    <n v="5633.28"/>
    <n v="3379.9679999999998"/>
    <n v="2220.0119999999997"/>
    <n v="0.39408870143149283"/>
    <n v="5633.28"/>
    <s v="Online"/>
    <s v="FREESHIP"/>
    <x v="0"/>
    <n v="0"/>
    <x v="0"/>
    <x v="132"/>
    <s v="Cust 9024"/>
    <n v="33.299999999999997"/>
    <d v="2023-09-17T00:00:00"/>
    <d v="2023-09-26T00:00:00"/>
    <s v="Wendy"/>
    <n v="9"/>
  </r>
  <r>
    <d v="2023-03-13T00:00:00"/>
    <x v="6"/>
    <x v="0"/>
    <x v="17"/>
    <x v="0"/>
    <x v="4"/>
    <n v="14"/>
    <n v="248.77"/>
    <s v="Store C"/>
    <x v="0"/>
    <n v="0.05"/>
    <x v="5"/>
    <n v="3308.6410000000001"/>
    <n v="2089.6680000000001"/>
    <n v="1197.213"/>
    <n v="0.36184433427500895"/>
    <n v="3308.6410000000001"/>
    <s v="Debit Card"/>
    <s v="FREESHIP"/>
    <x v="0"/>
    <n v="1"/>
    <x v="1"/>
    <x v="133"/>
    <s v="Cust 2663"/>
    <n v="21.76"/>
    <d v="2023-03-13T00:00:00"/>
    <d v="2023-03-19T00:00:00"/>
    <s v="Eric"/>
    <n v="6"/>
  </r>
  <r>
    <d v="2023-03-29T00:00:00"/>
    <x v="6"/>
    <x v="0"/>
    <x v="17"/>
    <x v="1"/>
    <x v="3"/>
    <n v="4"/>
    <n v="565.29"/>
    <s v="Store D"/>
    <x v="0"/>
    <n v="0.05"/>
    <x v="1"/>
    <n v="2148.1019999999999"/>
    <n v="1356.6959999999999"/>
    <n v="764.36599999999999"/>
    <n v="0.35583319600279689"/>
    <n v="2148.1019999999999"/>
    <s v="Cash"/>
    <m/>
    <x v="1"/>
    <n v="0"/>
    <x v="0"/>
    <x v="134"/>
    <s v="Cust 2293"/>
    <n v="27.04"/>
    <d v="2023-03-29T00:00:00"/>
    <d v="2023-04-03T00:00:00"/>
    <s v="Sophie"/>
    <n v="5"/>
  </r>
  <r>
    <d v="2023-07-14T00:00:00"/>
    <x v="8"/>
    <x v="0"/>
    <x v="11"/>
    <x v="3"/>
    <x v="2"/>
    <n v="12"/>
    <n v="244.8"/>
    <s v="Store B"/>
    <x v="0"/>
    <n v="0.05"/>
    <x v="2"/>
    <n v="2790.7200000000003"/>
    <n v="1762.56"/>
    <n v="983.41000000000031"/>
    <n v="0.35238576424721946"/>
    <n v="2790.72"/>
    <s v="Online"/>
    <s v="FREESHIP"/>
    <x v="0"/>
    <n v="0"/>
    <x v="0"/>
    <x v="135"/>
    <s v="Cust 8963"/>
    <n v="44.75"/>
    <d v="2023-07-14T00:00:00"/>
    <d v="2023-07-23T00:00:00"/>
    <s v="Cameron"/>
    <n v="9"/>
  </r>
  <r>
    <d v="2024-03-22T00:00:00"/>
    <x v="6"/>
    <x v="1"/>
    <x v="25"/>
    <x v="4"/>
    <x v="0"/>
    <n v="13"/>
    <n v="290.93"/>
    <s v="Store C"/>
    <x v="1"/>
    <n v="0.05"/>
    <x v="4"/>
    <n v="3592.9854999999998"/>
    <n v="2269.2539999999999"/>
    <n v="1297.6415"/>
    <n v="0.3611596818300547"/>
    <n v="3592.9854999999998"/>
    <s v="Credit Card"/>
    <s v="FREESHIP"/>
    <x v="0"/>
    <n v="0"/>
    <x v="0"/>
    <x v="136"/>
    <s v="Cust 9238"/>
    <n v="26.09"/>
    <d v="2024-03-22T00:00:00"/>
    <d v="2024-03-31T00:00:00"/>
    <s v="Wendy"/>
    <n v="9"/>
  </r>
  <r>
    <d v="2024-05-14T00:00:00"/>
    <x v="2"/>
    <x v="1"/>
    <x v="14"/>
    <x v="3"/>
    <x v="0"/>
    <n v="11"/>
    <n v="229.49"/>
    <s v="Store C"/>
    <x v="1"/>
    <n v="0.1"/>
    <x v="5"/>
    <n v="2271.9510000000005"/>
    <n v="1514.6339999999998"/>
    <n v="721.9270000000007"/>
    <n v="0.31775641288038364"/>
    <n v="2271.951"/>
    <s v="Cash"/>
    <m/>
    <x v="1"/>
    <n v="0"/>
    <x v="0"/>
    <x v="137"/>
    <s v="Cust 1390"/>
    <n v="35.39"/>
    <d v="2024-05-14T00:00:00"/>
    <d v="2024-05-17T00:00:00"/>
    <s v="Cameron"/>
    <n v="3"/>
  </r>
  <r>
    <d v="2023-05-30T00:00:00"/>
    <x v="2"/>
    <x v="0"/>
    <x v="2"/>
    <x v="3"/>
    <x v="4"/>
    <n v="2"/>
    <n v="427.36"/>
    <s v="Store A"/>
    <x v="0"/>
    <n v="0.05"/>
    <x v="4"/>
    <n v="811.98400000000004"/>
    <n v="512.83199999999999"/>
    <n v="279.73200000000003"/>
    <n v="0.34450432520837848"/>
    <n v="811.98400000000004"/>
    <s v="Online"/>
    <s v="SAVE10"/>
    <x v="0"/>
    <n v="0"/>
    <x v="0"/>
    <x v="138"/>
    <s v="Cust 8548"/>
    <n v="19.420000000000002"/>
    <d v="2023-05-30T00:00:00"/>
    <d v="2023-06-02T00:00:00"/>
    <s v="Cameron"/>
    <n v="3"/>
  </r>
  <r>
    <d v="2023-03-19T00:00:00"/>
    <x v="6"/>
    <x v="0"/>
    <x v="17"/>
    <x v="2"/>
    <x v="1"/>
    <n v="2"/>
    <n v="443.51"/>
    <s v="Store C"/>
    <x v="0"/>
    <n v="0.05"/>
    <x v="1"/>
    <n v="842.66899999999998"/>
    <n v="532.21199999999999"/>
    <n v="296.80700000000002"/>
    <n v="0.35222252153573946"/>
    <n v="842.66899999999998"/>
    <s v="Cash"/>
    <m/>
    <x v="1"/>
    <n v="0"/>
    <x v="0"/>
    <x v="139"/>
    <s v="Cust 2919"/>
    <n v="13.65"/>
    <d v="2023-03-19T00:00:00"/>
    <d v="2023-03-22T00:00:00"/>
    <s v="Ryan"/>
    <n v="3"/>
  </r>
  <r>
    <d v="2023-08-09T00:00:00"/>
    <x v="10"/>
    <x v="0"/>
    <x v="18"/>
    <x v="3"/>
    <x v="2"/>
    <n v="13"/>
    <n v="280.63"/>
    <s v="Store B"/>
    <x v="0"/>
    <n v="0.15"/>
    <x v="1"/>
    <n v="3100.9614999999999"/>
    <n v="2188.9139999999998"/>
    <n v="901.90750000000014"/>
    <n v="0.29084769352989392"/>
    <n v="3100.9614999999999"/>
    <s v="Credit Card"/>
    <s v="SAVE10"/>
    <x v="0"/>
    <n v="0"/>
    <x v="0"/>
    <x v="140"/>
    <s v="Cust 5847"/>
    <n v="10.14"/>
    <d v="2023-08-09T00:00:00"/>
    <d v="2023-08-14T00:00:00"/>
    <s v="Cameron"/>
    <n v="5"/>
  </r>
  <r>
    <d v="2024-10-13T00:00:00"/>
    <x v="5"/>
    <x v="1"/>
    <x v="7"/>
    <x v="2"/>
    <x v="3"/>
    <n v="13"/>
    <n v="416.66"/>
    <s v="Store B"/>
    <x v="0"/>
    <n v="0.15"/>
    <x v="5"/>
    <n v="4604.0929999999998"/>
    <n v="3249.9480000000003"/>
    <n v="1332.4049999999995"/>
    <n v="0.28939576155390423"/>
    <n v="4604.0929999999998"/>
    <s v="Credit Card"/>
    <s v="WINTER15"/>
    <x v="0"/>
    <n v="0"/>
    <x v="0"/>
    <x v="141"/>
    <s v="Cust 5711"/>
    <n v="21.74"/>
    <d v="2024-10-13T00:00:00"/>
    <d v="2024-10-20T00:00:00"/>
    <s v="Ryan"/>
    <n v="7"/>
  </r>
  <r>
    <d v="2025-02-17T00:00:00"/>
    <x v="0"/>
    <x v="2"/>
    <x v="3"/>
    <x v="0"/>
    <x v="3"/>
    <n v="11"/>
    <n v="589.48"/>
    <s v="Store B"/>
    <x v="1"/>
    <n v="0"/>
    <x v="1"/>
    <n v="6484.2800000000007"/>
    <n v="3890.5679999999998"/>
    <n v="2543.7820000000011"/>
    <n v="0.39229983899523169"/>
    <n v="6484.2800000000007"/>
    <s v="Online"/>
    <s v="WINTER15"/>
    <x v="0"/>
    <n v="0"/>
    <x v="0"/>
    <x v="142"/>
    <s v="Cust 5461"/>
    <n v="49.93"/>
    <d v="2025-02-17T00:00:00"/>
    <d v="2025-02-25T00:00:00"/>
    <s v="Eric"/>
    <n v="8"/>
  </r>
  <r>
    <d v="2025-06-11T00:00:00"/>
    <x v="3"/>
    <x v="2"/>
    <x v="16"/>
    <x v="2"/>
    <x v="1"/>
    <n v="18"/>
    <n v="152.84"/>
    <s v="Store C"/>
    <x v="1"/>
    <n v="0.15"/>
    <x v="4"/>
    <n v="2338.4519999999998"/>
    <n v="1650.6719999999998"/>
    <n v="667.48"/>
    <n v="0.28543669059702748"/>
    <n v="2338.4520000000002"/>
    <s v="Debit Card"/>
    <s v="FREESHIP"/>
    <x v="0"/>
    <n v="1"/>
    <x v="1"/>
    <x v="143"/>
    <s v="Cust 8905"/>
    <n v="20.3"/>
    <d v="2025-06-11T00:00:00"/>
    <d v="2025-06-20T00:00:00"/>
    <s v="Ryan"/>
    <n v="9"/>
  </r>
  <r>
    <d v="2024-04-29T00:00:00"/>
    <x v="7"/>
    <x v="1"/>
    <x v="9"/>
    <x v="3"/>
    <x v="5"/>
    <n v="4"/>
    <n v="163.66"/>
    <s v="Store B"/>
    <x v="1"/>
    <n v="0"/>
    <x v="5"/>
    <n v="654.64"/>
    <n v="392.78399999999999"/>
    <n v="230.05599999999998"/>
    <n v="0.35142368324575335"/>
    <n v="654.64"/>
    <s v="Gift Card"/>
    <s v="WINTER15"/>
    <x v="0"/>
    <n v="1"/>
    <x v="1"/>
    <x v="144"/>
    <s v="Cust 9618"/>
    <n v="31.8"/>
    <d v="2024-04-29T00:00:00"/>
    <d v="2024-05-01T00:00:00"/>
    <s v="Cameron"/>
    <n v="2"/>
  </r>
  <r>
    <d v="2023-03-18T00:00:00"/>
    <x v="6"/>
    <x v="0"/>
    <x v="17"/>
    <x v="4"/>
    <x v="0"/>
    <n v="19"/>
    <n v="484.25"/>
    <s v="Store C"/>
    <x v="0"/>
    <n v="0.15"/>
    <x v="5"/>
    <n v="7820.6374999999998"/>
    <n v="5520.45"/>
    <n v="2270.6774999999998"/>
    <n v="0.29034429737984913"/>
    <n v="7820.6374999999998"/>
    <s v="Debit Card"/>
    <s v="FREESHIP"/>
    <x v="0"/>
    <n v="1"/>
    <x v="1"/>
    <x v="145"/>
    <s v="Cust 5203"/>
    <n v="29.51"/>
    <d v="2023-03-18T00:00:00"/>
    <d v="2023-03-20T00:00:00"/>
    <s v="Wendy"/>
    <n v="2"/>
  </r>
  <r>
    <d v="2024-12-21T00:00:00"/>
    <x v="1"/>
    <x v="1"/>
    <x v="1"/>
    <x v="2"/>
    <x v="3"/>
    <n v="9"/>
    <n v="380.4"/>
    <s v="Store B"/>
    <x v="1"/>
    <n v="0.1"/>
    <x v="3"/>
    <n v="3081.24"/>
    <n v="2054.16"/>
    <n v="996.07999999999993"/>
    <n v="0.32327244875439759"/>
    <n v="3081.24"/>
    <s v="Credit Card"/>
    <m/>
    <x v="1"/>
    <n v="0"/>
    <x v="0"/>
    <x v="146"/>
    <s v="Cust 1732"/>
    <n v="31"/>
    <d v="2024-12-21T00:00:00"/>
    <d v="2024-12-27T00:00:00"/>
    <s v="Ryan"/>
    <n v="6"/>
  </r>
  <r>
    <d v="2023-04-23T00:00:00"/>
    <x v="7"/>
    <x v="0"/>
    <x v="21"/>
    <x v="4"/>
    <x v="3"/>
    <n v="17"/>
    <n v="332.38"/>
    <s v="Store A"/>
    <x v="1"/>
    <n v="0.1"/>
    <x v="2"/>
    <n v="5085.4139999999998"/>
    <n v="3390.2759999999998"/>
    <n v="1661.328"/>
    <n v="0.32668490706951292"/>
    <n v="5085.4139999999998"/>
    <s v="Credit Card"/>
    <s v="SAVE10"/>
    <x v="0"/>
    <n v="1"/>
    <x v="1"/>
    <x v="147"/>
    <s v="Cust 4734"/>
    <n v="33.81"/>
    <d v="2023-04-23T00:00:00"/>
    <d v="2023-05-02T00:00:00"/>
    <s v="Wendy"/>
    <n v="9"/>
  </r>
  <r>
    <d v="2025-05-11T00:00:00"/>
    <x v="2"/>
    <x v="2"/>
    <x v="13"/>
    <x v="3"/>
    <x v="3"/>
    <n v="15"/>
    <n v="210.94"/>
    <s v="Store C"/>
    <x v="0"/>
    <n v="0.05"/>
    <x v="2"/>
    <n v="3005.895"/>
    <n v="1898.4599999999998"/>
    <n v="1096.5250000000001"/>
    <n v="0.36479151800046244"/>
    <n v="3005.895"/>
    <s v="Online"/>
    <s v="SAVE10"/>
    <x v="0"/>
    <n v="0"/>
    <x v="0"/>
    <x v="148"/>
    <s v="Cust 5895"/>
    <n v="10.91"/>
    <d v="2025-05-11T00:00:00"/>
    <d v="2025-05-21T00:00:00"/>
    <s v="Cameron"/>
    <n v="10"/>
  </r>
  <r>
    <d v="2024-03-03T00:00:00"/>
    <x v="6"/>
    <x v="1"/>
    <x v="25"/>
    <x v="1"/>
    <x v="1"/>
    <n v="9"/>
    <n v="382.8"/>
    <s v="Store D"/>
    <x v="0"/>
    <n v="0"/>
    <x v="0"/>
    <n v="3445.2000000000003"/>
    <n v="2067.12"/>
    <n v="1330.1400000000003"/>
    <n v="0.38608498780912581"/>
    <n v="3445.2"/>
    <s v="Cash"/>
    <m/>
    <x v="1"/>
    <n v="0"/>
    <x v="0"/>
    <x v="149"/>
    <s v="Cust 9691"/>
    <n v="47.94"/>
    <d v="2024-03-03T00:00:00"/>
    <d v="2024-03-05T00:00:00"/>
    <s v="Sophie"/>
    <n v="2"/>
  </r>
  <r>
    <d v="2025-01-20T00:00:00"/>
    <x v="4"/>
    <x v="2"/>
    <x v="12"/>
    <x v="2"/>
    <x v="4"/>
    <n v="3"/>
    <n v="386.29"/>
    <s v="Store C"/>
    <x v="1"/>
    <n v="0.15"/>
    <x v="3"/>
    <n v="985.03950000000009"/>
    <n v="695.322"/>
    <n v="257.2675000000001"/>
    <n v="0.26117480568038143"/>
    <n v="985.03950000000009"/>
    <s v="Credit Card"/>
    <s v="FREESHIP"/>
    <x v="0"/>
    <n v="0"/>
    <x v="0"/>
    <x v="150"/>
    <s v="Cust 5406"/>
    <n v="32.450000000000003"/>
    <d v="2025-01-20T00:00:00"/>
    <d v="2025-01-30T00:00:00"/>
    <s v="Ryan"/>
    <n v="10"/>
  </r>
  <r>
    <d v="2025-03-22T00:00:00"/>
    <x v="6"/>
    <x v="2"/>
    <x v="8"/>
    <x v="2"/>
    <x v="5"/>
    <n v="5"/>
    <n v="225.99"/>
    <s v="Store C"/>
    <x v="1"/>
    <n v="0"/>
    <x v="0"/>
    <n v="1129.95"/>
    <n v="677.97"/>
    <n v="441.1"/>
    <n v="0.39037125536528167"/>
    <n v="1129.95"/>
    <s v="Online"/>
    <s v="SAVE10"/>
    <x v="0"/>
    <n v="1"/>
    <x v="1"/>
    <x v="151"/>
    <s v="Cust 5750"/>
    <n v="10.88"/>
    <d v="2025-03-22T00:00:00"/>
    <d v="2025-03-30T00:00:00"/>
    <s v="Ryan"/>
    <n v="8"/>
  </r>
  <r>
    <d v="2025-03-28T00:00:00"/>
    <x v="6"/>
    <x v="2"/>
    <x v="8"/>
    <x v="1"/>
    <x v="6"/>
    <n v="20"/>
    <n v="312.56"/>
    <s v="Store D"/>
    <x v="1"/>
    <n v="0.15"/>
    <x v="2"/>
    <n v="5313.5199999999995"/>
    <n v="3750.7200000000003"/>
    <n v="1515.4099999999992"/>
    <n v="0.28519888887215994"/>
    <n v="5313.52"/>
    <s v="Gift Card"/>
    <s v="WINTER15"/>
    <x v="0"/>
    <n v="0"/>
    <x v="0"/>
    <x v="152"/>
    <s v="Cust 6506"/>
    <n v="47.39"/>
    <d v="2025-03-28T00:00:00"/>
    <d v="2025-03-30T00:00:00"/>
    <s v="Sophie"/>
    <n v="2"/>
  </r>
  <r>
    <d v="2025-02-17T00:00:00"/>
    <x v="0"/>
    <x v="2"/>
    <x v="3"/>
    <x v="2"/>
    <x v="1"/>
    <n v="13"/>
    <n v="433.77"/>
    <s v="Store C"/>
    <x v="0"/>
    <n v="0.05"/>
    <x v="2"/>
    <n v="5357.0595000000003"/>
    <n v="3383.4059999999999"/>
    <n v="1956.0435000000004"/>
    <n v="0.36513380148195113"/>
    <n v="5357.0595000000003"/>
    <s v="Cash"/>
    <s v="FREESHIP"/>
    <x v="0"/>
    <n v="0"/>
    <x v="0"/>
    <x v="153"/>
    <s v="Cust 8280"/>
    <n v="17.61"/>
    <d v="2025-02-17T00:00:00"/>
    <d v="2025-02-21T00:00:00"/>
    <s v="Ryan"/>
    <n v="4"/>
  </r>
  <r>
    <d v="2024-11-08T00:00:00"/>
    <x v="9"/>
    <x v="1"/>
    <x v="20"/>
    <x v="1"/>
    <x v="5"/>
    <n v="20"/>
    <n v="159.33000000000001"/>
    <s v="Store A"/>
    <x v="0"/>
    <n v="0"/>
    <x v="0"/>
    <n v="3186.6000000000004"/>
    <n v="1911.96"/>
    <n v="1248.3200000000004"/>
    <n v="0.39174041297935114"/>
    <n v="3186.6"/>
    <s v="Online"/>
    <s v="FREESHIP"/>
    <x v="0"/>
    <n v="0"/>
    <x v="0"/>
    <x v="154"/>
    <s v="Cust 4358"/>
    <n v="26.32"/>
    <d v="2024-11-08T00:00:00"/>
    <d v="2024-11-11T00:00:00"/>
    <s v="Sophie"/>
    <n v="3"/>
  </r>
  <r>
    <d v="2024-03-17T00:00:00"/>
    <x v="6"/>
    <x v="1"/>
    <x v="25"/>
    <x v="1"/>
    <x v="1"/>
    <n v="18"/>
    <n v="32.229999999999997"/>
    <s v="Store B"/>
    <x v="1"/>
    <n v="0.05"/>
    <x v="5"/>
    <n v="551.13299999999992"/>
    <n v="348.08399999999995"/>
    <n v="197.00899999999999"/>
    <n v="0.35746181048857539"/>
    <n v="551.13299999999992"/>
    <s v="Credit Card"/>
    <s v="FREESHIP"/>
    <x v="0"/>
    <n v="0"/>
    <x v="0"/>
    <x v="155"/>
    <s v="Cust 3588"/>
    <n v="6.04"/>
    <d v="2024-03-17T00:00:00"/>
    <d v="2024-03-21T00:00:00"/>
    <s v="Sophie"/>
    <n v="4"/>
  </r>
  <r>
    <d v="2023-08-29T00:00:00"/>
    <x v="10"/>
    <x v="0"/>
    <x v="18"/>
    <x v="1"/>
    <x v="4"/>
    <n v="3"/>
    <n v="527.77"/>
    <s v="Store C"/>
    <x v="1"/>
    <n v="0.1"/>
    <x v="5"/>
    <n v="1424.979"/>
    <n v="949.98599999999988"/>
    <n v="426.3330000000002"/>
    <n v="0.29918546168048804"/>
    <n v="1424.979"/>
    <s v="Cash"/>
    <s v="FREESHIP"/>
    <x v="0"/>
    <n v="0"/>
    <x v="0"/>
    <x v="156"/>
    <s v="Cust 4539"/>
    <n v="48.66"/>
    <d v="2023-08-29T00:00:00"/>
    <d v="2023-09-01T00:00:00"/>
    <s v="Sophie"/>
    <n v="3"/>
  </r>
  <r>
    <d v="2023-06-22T00:00:00"/>
    <x v="3"/>
    <x v="0"/>
    <x v="4"/>
    <x v="1"/>
    <x v="3"/>
    <n v="14"/>
    <n v="291.08999999999997"/>
    <s v="Store A"/>
    <x v="1"/>
    <n v="0"/>
    <x v="3"/>
    <n v="4075.2599999999998"/>
    <n v="2445.1559999999995"/>
    <n v="1590.1240000000003"/>
    <n v="0.39018958299593165"/>
    <n v="4075.26"/>
    <s v="Cash"/>
    <m/>
    <x v="1"/>
    <n v="0"/>
    <x v="0"/>
    <x v="157"/>
    <s v="Cust 7067"/>
    <n v="39.979999999999997"/>
    <d v="2023-06-22T00:00:00"/>
    <d v="2023-06-30T00:00:00"/>
    <s v="Sophie"/>
    <n v="8"/>
  </r>
  <r>
    <d v="2024-02-24T00:00:00"/>
    <x v="0"/>
    <x v="1"/>
    <x v="5"/>
    <x v="1"/>
    <x v="1"/>
    <n v="8"/>
    <n v="350.12"/>
    <s v="Store C"/>
    <x v="1"/>
    <n v="0"/>
    <x v="1"/>
    <n v="2800.96"/>
    <n v="1680.576"/>
    <n v="1088.7339999999999"/>
    <n v="0.38870030275334166"/>
    <n v="2800.96"/>
    <s v="Gift Card"/>
    <s v="FREESHIP"/>
    <x v="0"/>
    <n v="1"/>
    <x v="1"/>
    <x v="158"/>
    <s v="Cust 7720"/>
    <n v="31.65"/>
    <d v="2024-02-24T00:00:00"/>
    <d v="2024-03-01T00:00:00"/>
    <s v="Sophie"/>
    <n v="6"/>
  </r>
  <r>
    <d v="2024-04-10T00:00:00"/>
    <x v="7"/>
    <x v="1"/>
    <x v="9"/>
    <x v="2"/>
    <x v="1"/>
    <n v="10"/>
    <n v="195.26"/>
    <s v="Store D"/>
    <x v="1"/>
    <n v="0.05"/>
    <x v="1"/>
    <n v="1854.9699999999998"/>
    <n v="1171.56"/>
    <n v="636.49999999999989"/>
    <n v="0.34313223394448428"/>
    <n v="1854.97"/>
    <s v="Credit Card"/>
    <s v="WINTER15"/>
    <x v="0"/>
    <n v="0"/>
    <x v="0"/>
    <x v="159"/>
    <s v="Cust 5668"/>
    <n v="46.91"/>
    <d v="2024-04-10T00:00:00"/>
    <d v="2024-04-15T00:00:00"/>
    <s v="Ryan"/>
    <n v="5"/>
  </r>
  <r>
    <d v="2023-05-14T00:00:00"/>
    <x v="2"/>
    <x v="0"/>
    <x v="2"/>
    <x v="1"/>
    <x v="4"/>
    <n v="13"/>
    <n v="291.10000000000002"/>
    <s v="Store A"/>
    <x v="0"/>
    <n v="0"/>
    <x v="1"/>
    <n v="3784.3"/>
    <n v="2270.58"/>
    <n v="1506.0600000000002"/>
    <n v="0.39797584758079435"/>
    <n v="3784.3"/>
    <s v="Online"/>
    <s v="FREESHIP"/>
    <x v="0"/>
    <n v="0"/>
    <x v="0"/>
    <x v="160"/>
    <s v="Cust 8367"/>
    <n v="7.66"/>
    <d v="2023-05-14T00:00:00"/>
    <d v="2023-05-19T00:00:00"/>
    <s v="Sophie"/>
    <n v="5"/>
  </r>
  <r>
    <d v="2023-03-11T00:00:00"/>
    <x v="6"/>
    <x v="0"/>
    <x v="17"/>
    <x v="1"/>
    <x v="4"/>
    <n v="6"/>
    <n v="93.92"/>
    <s v="Store B"/>
    <x v="0"/>
    <n v="0.15"/>
    <x v="0"/>
    <n v="478.99199999999996"/>
    <n v="338.11199999999997"/>
    <n v="129.88"/>
    <n v="0.27115275411697898"/>
    <n v="478.99200000000002"/>
    <s v="Credit Card"/>
    <s v="FREESHIP"/>
    <x v="0"/>
    <n v="0"/>
    <x v="0"/>
    <x v="161"/>
    <s v="Cust 4438"/>
    <n v="11"/>
    <d v="2023-03-11T00:00:00"/>
    <d v="2023-03-18T00:00:00"/>
    <s v="Sophie"/>
    <n v="7"/>
  </r>
  <r>
    <d v="2024-08-24T00:00:00"/>
    <x v="10"/>
    <x v="1"/>
    <x v="29"/>
    <x v="3"/>
    <x v="6"/>
    <n v="5"/>
    <n v="15.92"/>
    <s v="Store D"/>
    <x v="1"/>
    <n v="0"/>
    <x v="0"/>
    <n v="79.599999999999994"/>
    <n v="47.76"/>
    <n v="23.179999999999996"/>
    <n v="0.29120603015075375"/>
    <n v="79.599999999999994"/>
    <s v="Credit Card"/>
    <m/>
    <x v="1"/>
    <n v="1"/>
    <x v="1"/>
    <x v="162"/>
    <s v="Cust 3481"/>
    <n v="8.66"/>
    <d v="2024-08-24T00:00:00"/>
    <d v="2024-08-26T00:00:00"/>
    <s v="Cameron"/>
    <n v="2"/>
  </r>
  <r>
    <d v="2024-02-23T00:00:00"/>
    <x v="0"/>
    <x v="1"/>
    <x v="5"/>
    <x v="1"/>
    <x v="4"/>
    <n v="16"/>
    <n v="120.22"/>
    <s v="Store D"/>
    <x v="1"/>
    <n v="0.15"/>
    <x v="5"/>
    <n v="1634.992"/>
    <n v="1154.1119999999999"/>
    <n v="472.46000000000009"/>
    <n v="0.28896777476587049"/>
    <n v="1634.992"/>
    <s v="Cash"/>
    <s v="SAVE10"/>
    <x v="0"/>
    <n v="0"/>
    <x v="0"/>
    <x v="163"/>
    <s v="Cust 1489"/>
    <n v="8.42"/>
    <d v="2024-02-23T00:00:00"/>
    <d v="2024-03-01T00:00:00"/>
    <s v="Sophie"/>
    <n v="7"/>
  </r>
  <r>
    <d v="2024-01-30T00:00:00"/>
    <x v="4"/>
    <x v="1"/>
    <x v="24"/>
    <x v="2"/>
    <x v="4"/>
    <n v="11"/>
    <n v="118.8"/>
    <s v="Store A"/>
    <x v="1"/>
    <n v="0.05"/>
    <x v="0"/>
    <n v="1241.4599999999998"/>
    <n v="784.08"/>
    <n v="418.05999999999977"/>
    <n v="0.33674866689220745"/>
    <n v="1241.46"/>
    <s v="Online"/>
    <s v="SAVE10"/>
    <x v="0"/>
    <n v="0"/>
    <x v="0"/>
    <x v="164"/>
    <s v="Cust 6649"/>
    <n v="39.32"/>
    <d v="2024-01-30T00:00:00"/>
    <d v="2024-02-06T00:00:00"/>
    <s v="Ryan"/>
    <n v="7"/>
  </r>
  <r>
    <d v="2024-01-23T00:00:00"/>
    <x v="4"/>
    <x v="1"/>
    <x v="24"/>
    <x v="0"/>
    <x v="5"/>
    <n v="10"/>
    <n v="92.45"/>
    <s v="Store C"/>
    <x v="0"/>
    <n v="0.1"/>
    <x v="2"/>
    <n v="832.05000000000007"/>
    <n v="554.70000000000005"/>
    <n v="234.74"/>
    <n v="0.28212246860164653"/>
    <n v="832.05000000000007"/>
    <s v="Cash"/>
    <s v="WINTER15"/>
    <x v="0"/>
    <n v="1"/>
    <x v="1"/>
    <x v="165"/>
    <s v="Cust 6114"/>
    <n v="42.61"/>
    <d v="2024-01-23T00:00:00"/>
    <d v="2024-01-29T00:00:00"/>
    <s v="Eric"/>
    <n v="6"/>
  </r>
  <r>
    <d v="2023-01-05T00:00:00"/>
    <x v="4"/>
    <x v="0"/>
    <x v="6"/>
    <x v="2"/>
    <x v="0"/>
    <n v="19"/>
    <n v="463.51"/>
    <s v="Store B"/>
    <x v="1"/>
    <n v="0"/>
    <x v="5"/>
    <n v="8806.69"/>
    <n v="5284.0140000000001"/>
    <n v="3473.2960000000003"/>
    <n v="0.39439289903471114"/>
    <n v="8806.69"/>
    <s v="Cash"/>
    <s v="FREESHIP"/>
    <x v="0"/>
    <n v="0"/>
    <x v="0"/>
    <x v="166"/>
    <s v="Cust 9589"/>
    <n v="49.38"/>
    <d v="2023-01-05T00:00:00"/>
    <d v="2023-01-08T00:00:00"/>
    <s v="Ryan"/>
    <n v="3"/>
  </r>
  <r>
    <d v="2023-12-21T00:00:00"/>
    <x v="1"/>
    <x v="0"/>
    <x v="27"/>
    <x v="2"/>
    <x v="2"/>
    <n v="7"/>
    <n v="284.7"/>
    <s v="Store D"/>
    <x v="0"/>
    <n v="0.05"/>
    <x v="5"/>
    <n v="1893.2549999999999"/>
    <n v="1195.74"/>
    <n v="692.15499999999986"/>
    <n v="0.36558994958418167"/>
    <n v="1893.2550000000001"/>
    <s v="Gift Card"/>
    <m/>
    <x v="1"/>
    <n v="0"/>
    <x v="0"/>
    <x v="167"/>
    <s v="Cust 8184"/>
    <n v="5.36"/>
    <d v="2023-12-21T00:00:00"/>
    <d v="2023-12-30T00:00:00"/>
    <s v="Ryan"/>
    <n v="9"/>
  </r>
  <r>
    <d v="2023-05-25T00:00:00"/>
    <x v="2"/>
    <x v="0"/>
    <x v="2"/>
    <x v="4"/>
    <x v="0"/>
    <n v="20"/>
    <n v="343.25"/>
    <s v="Store C"/>
    <x v="0"/>
    <n v="0.05"/>
    <x v="1"/>
    <n v="6521.75"/>
    <n v="4119"/>
    <n v="2373.98"/>
    <n v="0.3640096599839"/>
    <n v="6521.75"/>
    <s v="Debit Card"/>
    <s v="FREESHIP"/>
    <x v="0"/>
    <n v="0"/>
    <x v="0"/>
    <x v="168"/>
    <s v="Cust 2490"/>
    <n v="28.77"/>
    <d v="2023-05-25T00:00:00"/>
    <d v="2023-06-02T00:00:00"/>
    <s v="Wendy"/>
    <n v="8"/>
  </r>
  <r>
    <d v="2025-06-30T00:00:00"/>
    <x v="3"/>
    <x v="2"/>
    <x v="16"/>
    <x v="3"/>
    <x v="3"/>
    <n v="6"/>
    <n v="95.24"/>
    <s v="Store D"/>
    <x v="0"/>
    <n v="0.15"/>
    <x v="4"/>
    <n v="485.72399999999993"/>
    <n v="342.86399999999998"/>
    <n v="124.13999999999996"/>
    <n v="0.25557724139634852"/>
    <n v="485.72399999999988"/>
    <s v="Gift Card"/>
    <s v="FREESHIP"/>
    <x v="0"/>
    <n v="0"/>
    <x v="0"/>
    <x v="169"/>
    <s v="Cust 1647"/>
    <n v="18.72"/>
    <d v="2025-06-30T00:00:00"/>
    <d v="2025-07-08T00:00:00"/>
    <s v="Cameron"/>
    <n v="8"/>
  </r>
  <r>
    <d v="2025-02-12T00:00:00"/>
    <x v="0"/>
    <x v="2"/>
    <x v="3"/>
    <x v="4"/>
    <x v="2"/>
    <n v="13"/>
    <n v="104.8"/>
    <s v="Store B"/>
    <x v="1"/>
    <n v="0.05"/>
    <x v="4"/>
    <n v="1294.2799999999997"/>
    <n v="817.43999999999994"/>
    <n v="469.04999999999978"/>
    <n v="0.36240226226164346"/>
    <n v="1294.28"/>
    <s v="Credit Card"/>
    <s v="WINTER15"/>
    <x v="0"/>
    <n v="0"/>
    <x v="0"/>
    <x v="170"/>
    <s v="Cust 2017"/>
    <n v="7.79"/>
    <d v="2025-02-12T00:00:00"/>
    <d v="2025-02-19T00:00:00"/>
    <s v="Wendy"/>
    <n v="7"/>
  </r>
  <r>
    <d v="2024-01-03T00:00:00"/>
    <x v="4"/>
    <x v="1"/>
    <x v="24"/>
    <x v="4"/>
    <x v="5"/>
    <n v="12"/>
    <n v="164.31"/>
    <s v="Store B"/>
    <x v="0"/>
    <n v="0.1"/>
    <x v="0"/>
    <n v="1774.548"/>
    <n v="1183.0319999999999"/>
    <n v="552.6160000000001"/>
    <n v="0.31141225822012147"/>
    <n v="1774.548"/>
    <s v="Cash"/>
    <m/>
    <x v="1"/>
    <n v="1"/>
    <x v="1"/>
    <x v="171"/>
    <s v="Cust 3446"/>
    <n v="38.9"/>
    <d v="2024-01-03T00:00:00"/>
    <d v="2024-01-07T00:00:00"/>
    <s v="Wendy"/>
    <n v="4"/>
  </r>
  <r>
    <d v="2023-02-03T00:00:00"/>
    <x v="0"/>
    <x v="0"/>
    <x v="0"/>
    <x v="1"/>
    <x v="5"/>
    <n v="10"/>
    <n v="325.18"/>
    <s v="Store C"/>
    <x v="0"/>
    <n v="0.1"/>
    <x v="1"/>
    <n v="2926.6200000000003"/>
    <n v="1951.08"/>
    <n v="928.15000000000043"/>
    <n v="0.31714059221901042"/>
    <n v="2926.62"/>
    <s v="Cash"/>
    <s v="WINTER15"/>
    <x v="0"/>
    <n v="0"/>
    <x v="0"/>
    <x v="172"/>
    <s v="Cust 4877"/>
    <n v="47.39"/>
    <d v="2023-02-03T00:00:00"/>
    <d v="2023-02-13T00:00:00"/>
    <s v="Sophie"/>
    <n v="10"/>
  </r>
  <r>
    <d v="2024-03-01T00:00:00"/>
    <x v="6"/>
    <x v="1"/>
    <x v="25"/>
    <x v="0"/>
    <x v="4"/>
    <n v="17"/>
    <n v="542.82000000000005"/>
    <s v="Store A"/>
    <x v="0"/>
    <n v="0"/>
    <x v="1"/>
    <n v="9227.94"/>
    <n v="5536.7640000000001"/>
    <n v="3684.0460000000003"/>
    <n v="0.39922734651504022"/>
    <n v="9227.94"/>
    <s v="Debit Card"/>
    <s v="WINTER15"/>
    <x v="0"/>
    <n v="1"/>
    <x v="1"/>
    <x v="173"/>
    <s v="Cust 9112"/>
    <n v="7.13"/>
    <d v="2024-03-01T00:00:00"/>
    <d v="2024-03-08T00:00:00"/>
    <s v="Eric"/>
    <n v="7"/>
  </r>
  <r>
    <d v="2023-05-24T00:00:00"/>
    <x v="2"/>
    <x v="0"/>
    <x v="2"/>
    <x v="2"/>
    <x v="5"/>
    <n v="14"/>
    <n v="207.48"/>
    <s v="Store C"/>
    <x v="0"/>
    <n v="0.05"/>
    <x v="0"/>
    <n v="2759.4839999999995"/>
    <n v="1742.8319999999999"/>
    <n v="1010.9519999999995"/>
    <n v="0.3663554490622159"/>
    <n v="2759.483999999999"/>
    <s v="Online"/>
    <m/>
    <x v="1"/>
    <n v="0"/>
    <x v="0"/>
    <x v="174"/>
    <s v="Cust 8172"/>
    <n v="5.7"/>
    <d v="2023-05-24T00:00:00"/>
    <d v="2023-06-02T00:00:00"/>
    <s v="Ryan"/>
    <n v="9"/>
  </r>
  <r>
    <d v="2025-06-22T00:00:00"/>
    <x v="3"/>
    <x v="2"/>
    <x v="16"/>
    <x v="2"/>
    <x v="6"/>
    <n v="17"/>
    <n v="527.88"/>
    <s v="Store D"/>
    <x v="1"/>
    <n v="0.05"/>
    <x v="5"/>
    <n v="8525.2619999999988"/>
    <n v="5384.3760000000002"/>
    <n v="3119.5659999999984"/>
    <n v="0.36592024972370335"/>
    <n v="8525.2619999999988"/>
    <s v="Cash"/>
    <s v="WINTER15"/>
    <x v="0"/>
    <n v="0"/>
    <x v="0"/>
    <x v="175"/>
    <s v="Cust 4597"/>
    <n v="21.32"/>
    <d v="2025-06-22T00:00:00"/>
    <d v="2025-06-28T00:00:00"/>
    <s v="Ryan"/>
    <n v="6"/>
  </r>
  <r>
    <d v="2023-04-10T00:00:00"/>
    <x v="7"/>
    <x v="0"/>
    <x v="21"/>
    <x v="2"/>
    <x v="3"/>
    <n v="11"/>
    <n v="71.209999999999994"/>
    <s v="Store B"/>
    <x v="1"/>
    <n v="0.05"/>
    <x v="4"/>
    <n v="744.14449999999988"/>
    <n v="469.98599999999993"/>
    <n v="229.95849999999996"/>
    <n v="0.30902398660475217"/>
    <n v="744.14449999999988"/>
    <s v="Online"/>
    <m/>
    <x v="1"/>
    <n v="1"/>
    <x v="1"/>
    <x v="176"/>
    <s v="Cust 3690"/>
    <n v="44.2"/>
    <d v="2023-04-10T00:00:00"/>
    <d v="2023-04-14T00:00:00"/>
    <s v="Ryan"/>
    <n v="4"/>
  </r>
  <r>
    <d v="2025-03-04T00:00:00"/>
    <x v="6"/>
    <x v="2"/>
    <x v="8"/>
    <x v="3"/>
    <x v="6"/>
    <n v="8"/>
    <n v="486.07"/>
    <s v="Store B"/>
    <x v="1"/>
    <n v="0"/>
    <x v="3"/>
    <n v="3888.56"/>
    <n v="2333.136"/>
    <n v="1544.7439999999999"/>
    <n v="0.39725348200876415"/>
    <n v="3888.56"/>
    <s v="Debit Card"/>
    <s v="FREESHIP"/>
    <x v="0"/>
    <n v="0"/>
    <x v="0"/>
    <x v="177"/>
    <s v="Cust 2893"/>
    <n v="10.68"/>
    <d v="2025-03-04T00:00:00"/>
    <d v="2025-03-10T00:00:00"/>
    <s v="Cameron"/>
    <n v="6"/>
  </r>
  <r>
    <d v="2024-07-11T00:00:00"/>
    <x v="8"/>
    <x v="1"/>
    <x v="10"/>
    <x v="0"/>
    <x v="0"/>
    <n v="6"/>
    <n v="555.03"/>
    <s v="Store C"/>
    <x v="1"/>
    <n v="0.1"/>
    <x v="2"/>
    <n v="2997.1619999999998"/>
    <n v="1998.1079999999997"/>
    <n v="975.36400000000003"/>
    <n v="0.32542918934645509"/>
    <n v="2997.1619999999998"/>
    <s v="Credit Card"/>
    <m/>
    <x v="1"/>
    <n v="1"/>
    <x v="1"/>
    <x v="178"/>
    <s v="Cust 5602"/>
    <n v="23.69"/>
    <d v="2024-07-11T00:00:00"/>
    <d v="2024-07-20T00:00:00"/>
    <s v="Eric"/>
    <n v="9"/>
  </r>
  <r>
    <d v="2024-08-17T00:00:00"/>
    <x v="10"/>
    <x v="1"/>
    <x v="29"/>
    <x v="0"/>
    <x v="2"/>
    <n v="13"/>
    <n v="421.08"/>
    <s v="Store B"/>
    <x v="0"/>
    <n v="0"/>
    <x v="5"/>
    <n v="5474.04"/>
    <n v="3284.4239999999995"/>
    <n v="2165.1060000000002"/>
    <n v="0.39552250257579413"/>
    <n v="5474.04"/>
    <s v="Cash"/>
    <m/>
    <x v="1"/>
    <n v="0"/>
    <x v="0"/>
    <x v="179"/>
    <s v="Cust 5616"/>
    <n v="24.51"/>
    <d v="2024-08-17T00:00:00"/>
    <d v="2024-08-20T00:00:00"/>
    <s v="Eric"/>
    <n v="3"/>
  </r>
  <r>
    <d v="2025-06-30T00:00:00"/>
    <x v="3"/>
    <x v="2"/>
    <x v="16"/>
    <x v="2"/>
    <x v="0"/>
    <n v="16"/>
    <n v="76.17"/>
    <s v="Store D"/>
    <x v="0"/>
    <n v="0.1"/>
    <x v="1"/>
    <n v="1096.848"/>
    <n v="731.23199999999997"/>
    <n v="323.73599999999999"/>
    <n v="0.29515119688416264"/>
    <n v="1096.848"/>
    <s v="Cash"/>
    <s v="WINTER15"/>
    <x v="0"/>
    <n v="0"/>
    <x v="0"/>
    <x v="180"/>
    <s v="Cust 1312"/>
    <n v="41.88"/>
    <d v="2025-06-30T00:00:00"/>
    <d v="2025-07-09T00:00:00"/>
    <s v="Ryan"/>
    <n v="9"/>
  </r>
  <r>
    <d v="2024-11-06T00:00:00"/>
    <x v="9"/>
    <x v="1"/>
    <x v="20"/>
    <x v="1"/>
    <x v="6"/>
    <n v="3"/>
    <n v="503.55"/>
    <s v="Store C"/>
    <x v="0"/>
    <n v="0.1"/>
    <x v="5"/>
    <n v="1359.585"/>
    <n v="906.39"/>
    <n v="415.70500000000004"/>
    <n v="0.3057587425574716"/>
    <n v="1359.585"/>
    <s v="Credit Card"/>
    <s v="WINTER15"/>
    <x v="0"/>
    <n v="0"/>
    <x v="0"/>
    <x v="181"/>
    <s v="Cust 6315"/>
    <n v="37.49"/>
    <d v="2024-11-06T00:00:00"/>
    <d v="2024-11-13T00:00:00"/>
    <s v="Sophie"/>
    <n v="7"/>
  </r>
  <r>
    <d v="2025-04-01T00:00:00"/>
    <x v="7"/>
    <x v="2"/>
    <x v="28"/>
    <x v="0"/>
    <x v="5"/>
    <n v="5"/>
    <n v="31.56"/>
    <s v="Store D"/>
    <x v="1"/>
    <n v="0"/>
    <x v="4"/>
    <n v="157.79999999999998"/>
    <n v="94.68"/>
    <n v="33.559999999999974"/>
    <n v="0.21267427122940416"/>
    <n v="157.80000000000001"/>
    <s v="Online"/>
    <s v="SAVE10"/>
    <x v="0"/>
    <n v="1"/>
    <x v="1"/>
    <x v="182"/>
    <s v="Cust 1224"/>
    <n v="29.56"/>
    <d v="2025-04-01T00:00:00"/>
    <d v="2025-04-04T00:00:00"/>
    <s v="Eric"/>
    <n v="3"/>
  </r>
  <r>
    <d v="2024-07-01T00:00:00"/>
    <x v="8"/>
    <x v="1"/>
    <x v="10"/>
    <x v="4"/>
    <x v="0"/>
    <n v="16"/>
    <n v="72.92"/>
    <s v="Store C"/>
    <x v="0"/>
    <n v="0.05"/>
    <x v="2"/>
    <n v="1108.384"/>
    <n v="700.03200000000004"/>
    <n v="402.65199999999999"/>
    <n v="0.36327843058001558"/>
    <n v="1108.384"/>
    <s v="Cash"/>
    <s v="FREESHIP"/>
    <x v="0"/>
    <n v="0"/>
    <x v="0"/>
    <x v="183"/>
    <s v="Cust 7182"/>
    <n v="5.7"/>
    <d v="2024-07-01T00:00:00"/>
    <d v="2024-07-06T00:00:00"/>
    <s v="Wendy"/>
    <n v="5"/>
  </r>
  <r>
    <d v="2023-12-09T00:00:00"/>
    <x v="1"/>
    <x v="0"/>
    <x v="27"/>
    <x v="4"/>
    <x v="6"/>
    <n v="18"/>
    <n v="421.93"/>
    <s v="Store D"/>
    <x v="1"/>
    <n v="0.05"/>
    <x v="5"/>
    <n v="7215.0029999999997"/>
    <n v="4556.8440000000001"/>
    <n v="2634.7389999999996"/>
    <n v="0.36517503873525758"/>
    <n v="7215.0029999999997"/>
    <s v="Gift Card"/>
    <s v="WINTER15"/>
    <x v="0"/>
    <n v="0"/>
    <x v="0"/>
    <x v="184"/>
    <s v="Cust 7901"/>
    <n v="23.42"/>
    <d v="2023-12-09T00:00:00"/>
    <d v="2023-12-18T00:00:00"/>
    <s v="Wendy"/>
    <n v="9"/>
  </r>
  <r>
    <d v="2023-06-27T00:00:00"/>
    <x v="3"/>
    <x v="0"/>
    <x v="4"/>
    <x v="2"/>
    <x v="2"/>
    <n v="15"/>
    <n v="478.41"/>
    <s v="Store B"/>
    <x v="1"/>
    <n v="0.1"/>
    <x v="3"/>
    <n v="6458.5350000000008"/>
    <n v="4305.6899999999996"/>
    <n v="2117.2150000000011"/>
    <n v="0.32781660237190025"/>
    <n v="6458.5350000000008"/>
    <s v="Debit Card"/>
    <s v="FREESHIP"/>
    <x v="0"/>
    <n v="0"/>
    <x v="0"/>
    <x v="185"/>
    <s v="Cust 1736"/>
    <n v="35.630000000000003"/>
    <d v="2023-06-27T00:00:00"/>
    <d v="2023-06-30T00:00:00"/>
    <s v="Ryan"/>
    <n v="3"/>
  </r>
  <r>
    <d v="2023-07-14T00:00:00"/>
    <x v="8"/>
    <x v="0"/>
    <x v="11"/>
    <x v="1"/>
    <x v="3"/>
    <n v="9"/>
    <n v="501.74"/>
    <s v="Store D"/>
    <x v="1"/>
    <n v="0"/>
    <x v="5"/>
    <n v="4515.66"/>
    <n v="2709.3959999999997"/>
    <n v="1766.5240000000001"/>
    <n v="0.39119951457815694"/>
    <n v="4515.66"/>
    <s v="Online"/>
    <s v="SAVE10"/>
    <x v="0"/>
    <n v="1"/>
    <x v="1"/>
    <x v="186"/>
    <s v="Cust 7795"/>
    <n v="39.74"/>
    <d v="2023-07-14T00:00:00"/>
    <d v="2023-07-17T00:00:00"/>
    <s v="Sophie"/>
    <n v="3"/>
  </r>
  <r>
    <d v="2023-02-08T00:00:00"/>
    <x v="0"/>
    <x v="0"/>
    <x v="0"/>
    <x v="1"/>
    <x v="5"/>
    <n v="7"/>
    <n v="247.53"/>
    <s v="Store C"/>
    <x v="0"/>
    <n v="0.15"/>
    <x v="1"/>
    <n v="1472.8035"/>
    <n v="1039.626"/>
    <n v="419.54750000000001"/>
    <n v="0.28486318779117514"/>
    <n v="1472.8035"/>
    <s v="Gift Card"/>
    <s v="FREESHIP"/>
    <x v="0"/>
    <n v="0"/>
    <x v="0"/>
    <x v="187"/>
    <s v="Cust 2471"/>
    <n v="13.63"/>
    <d v="2023-02-08T00:00:00"/>
    <d v="2023-02-16T00:00:00"/>
    <s v="Sophie"/>
    <n v="8"/>
  </r>
  <r>
    <d v="2024-06-28T00:00:00"/>
    <x v="3"/>
    <x v="1"/>
    <x v="23"/>
    <x v="4"/>
    <x v="5"/>
    <n v="6"/>
    <n v="176.51"/>
    <s v="Store C"/>
    <x v="0"/>
    <n v="0.15"/>
    <x v="3"/>
    <n v="900.20099999999991"/>
    <n v="635.43599999999992"/>
    <n v="233.74499999999998"/>
    <n v="0.25965867622897554"/>
    <n v="900.20099999999991"/>
    <s v="Debit Card"/>
    <s v="FREESHIP"/>
    <x v="0"/>
    <n v="1"/>
    <x v="1"/>
    <x v="188"/>
    <s v="Cust 3068"/>
    <n v="31.02"/>
    <d v="2024-06-28T00:00:00"/>
    <d v="2024-07-07T00:00:00"/>
    <s v="Wendy"/>
    <n v="9"/>
  </r>
  <r>
    <d v="2024-04-15T00:00:00"/>
    <x v="7"/>
    <x v="1"/>
    <x v="9"/>
    <x v="4"/>
    <x v="0"/>
    <n v="2"/>
    <n v="143.43"/>
    <s v="Store D"/>
    <x v="0"/>
    <n v="0"/>
    <x v="5"/>
    <n v="286.86"/>
    <n v="172.11600000000001"/>
    <n v="77.804000000000002"/>
    <n v="0.27122638220734852"/>
    <n v="286.86"/>
    <s v="Credit Card"/>
    <m/>
    <x v="1"/>
    <n v="0"/>
    <x v="0"/>
    <x v="189"/>
    <s v="Cust 3848"/>
    <n v="36.94"/>
    <d v="2024-04-15T00:00:00"/>
    <d v="2024-04-22T00:00:00"/>
    <s v="Wendy"/>
    <n v="7"/>
  </r>
  <r>
    <d v="2023-11-27T00:00:00"/>
    <x v="9"/>
    <x v="0"/>
    <x v="15"/>
    <x v="0"/>
    <x v="4"/>
    <n v="12"/>
    <n v="538.5"/>
    <s v="Store C"/>
    <x v="0"/>
    <n v="0.05"/>
    <x v="1"/>
    <n v="6138.9"/>
    <n v="3877.2"/>
    <n v="2243.16"/>
    <n v="0.36540096760005863"/>
    <n v="6138.9"/>
    <s v="Cash"/>
    <s v="SAVE10"/>
    <x v="0"/>
    <n v="0"/>
    <x v="0"/>
    <x v="190"/>
    <s v="Cust 7777"/>
    <n v="18.54"/>
    <d v="2023-11-27T00:00:00"/>
    <d v="2023-12-06T00:00:00"/>
    <s v="Eric"/>
    <n v="9"/>
  </r>
  <r>
    <d v="2025-03-27T00:00:00"/>
    <x v="6"/>
    <x v="2"/>
    <x v="8"/>
    <x v="0"/>
    <x v="6"/>
    <n v="5"/>
    <n v="87.17"/>
    <s v="Store D"/>
    <x v="0"/>
    <n v="0"/>
    <x v="3"/>
    <n v="435.85"/>
    <n v="261.51"/>
    <n v="161.33000000000004"/>
    <n v="0.37015028105999775"/>
    <n v="435.85"/>
    <s v="Debit Card"/>
    <m/>
    <x v="1"/>
    <n v="0"/>
    <x v="0"/>
    <x v="191"/>
    <s v="Cust 6613"/>
    <n v="13.01"/>
    <d v="2025-03-27T00:00:00"/>
    <d v="2025-03-29T00:00:00"/>
    <s v="Eric"/>
    <n v="2"/>
  </r>
  <r>
    <d v="2023-08-06T00:00:00"/>
    <x v="10"/>
    <x v="0"/>
    <x v="18"/>
    <x v="1"/>
    <x v="4"/>
    <n v="7"/>
    <n v="498.32"/>
    <s v="Store B"/>
    <x v="0"/>
    <n v="0.1"/>
    <x v="1"/>
    <n v="3139.4159999999997"/>
    <n v="2092.9439999999995"/>
    <n v="1018.8220000000002"/>
    <n v="0.32452596279053186"/>
    <n v="3139.4160000000002"/>
    <s v="Credit Card"/>
    <s v="WINTER15"/>
    <x v="0"/>
    <n v="1"/>
    <x v="1"/>
    <x v="192"/>
    <s v="Cust 2326"/>
    <n v="27.65"/>
    <d v="2023-08-06T00:00:00"/>
    <d v="2023-08-10T00:00:00"/>
    <s v="Sophie"/>
    <n v="4"/>
  </r>
  <r>
    <d v="2024-12-13T00:00:00"/>
    <x v="1"/>
    <x v="1"/>
    <x v="1"/>
    <x v="1"/>
    <x v="6"/>
    <n v="15"/>
    <n v="57.14"/>
    <s v="Store B"/>
    <x v="0"/>
    <n v="0.15"/>
    <x v="3"/>
    <n v="728.53499999999997"/>
    <n v="514.26"/>
    <n v="207.25499999999997"/>
    <n v="0.28448187115238111"/>
    <n v="728.53499999999997"/>
    <s v="Debit Card"/>
    <s v="FREESHIP"/>
    <x v="0"/>
    <n v="0"/>
    <x v="0"/>
    <x v="193"/>
    <s v="Cust 8304"/>
    <n v="7.02"/>
    <d v="2024-12-13T00:00:00"/>
    <d v="2024-12-22T00:00:00"/>
    <s v="Sophie"/>
    <n v="9"/>
  </r>
  <r>
    <d v="2025-01-17T00:00:00"/>
    <x v="4"/>
    <x v="2"/>
    <x v="12"/>
    <x v="3"/>
    <x v="5"/>
    <n v="18"/>
    <n v="124.18"/>
    <s v="Store B"/>
    <x v="0"/>
    <n v="0.15"/>
    <x v="3"/>
    <n v="1899.9540000000002"/>
    <n v="1341.144"/>
    <n v="513.04000000000019"/>
    <n v="0.27002759014165612"/>
    <n v="1899.954"/>
    <s v="Debit Card"/>
    <s v="SAVE10"/>
    <x v="0"/>
    <n v="0"/>
    <x v="0"/>
    <x v="194"/>
    <s v="Cust 3630"/>
    <n v="45.77"/>
    <d v="2025-01-17T00:00:00"/>
    <d v="2025-01-26T00:00:00"/>
    <s v="Cameron"/>
    <n v="9"/>
  </r>
  <r>
    <d v="2023-11-26T00:00:00"/>
    <x v="9"/>
    <x v="0"/>
    <x v="15"/>
    <x v="4"/>
    <x v="2"/>
    <n v="12"/>
    <n v="107.45"/>
    <s v="Store C"/>
    <x v="1"/>
    <n v="0.1"/>
    <x v="5"/>
    <n v="1160.46"/>
    <n v="773.64"/>
    <n v="368.65000000000003"/>
    <n v="0.3176757492718405"/>
    <n v="1160.46"/>
    <s v="Online"/>
    <s v="FREESHIP"/>
    <x v="0"/>
    <n v="0"/>
    <x v="0"/>
    <x v="195"/>
    <s v="Cust 8617"/>
    <n v="18.170000000000002"/>
    <d v="2023-11-26T00:00:00"/>
    <d v="2023-12-02T00:00:00"/>
    <s v="Wendy"/>
    <n v="6"/>
  </r>
  <r>
    <d v="2023-02-14T00:00:00"/>
    <x v="0"/>
    <x v="0"/>
    <x v="0"/>
    <x v="0"/>
    <x v="3"/>
    <n v="8"/>
    <n v="411.26"/>
    <s v="Store A"/>
    <x v="1"/>
    <n v="0.1"/>
    <x v="2"/>
    <n v="2961.0720000000001"/>
    <n v="1974.0479999999998"/>
    <n v="958.45400000000029"/>
    <n v="0.3236848006397684"/>
    <n v="2961.0720000000001"/>
    <s v="Gift Card"/>
    <s v="WINTER15"/>
    <x v="0"/>
    <n v="0"/>
    <x v="0"/>
    <x v="196"/>
    <s v="Cust 3530"/>
    <n v="28.57"/>
    <d v="2023-02-14T00:00:00"/>
    <d v="2023-02-18T00:00:00"/>
    <s v="Eric"/>
    <n v="4"/>
  </r>
  <r>
    <d v="2025-02-02T00:00:00"/>
    <x v="0"/>
    <x v="2"/>
    <x v="3"/>
    <x v="3"/>
    <x v="6"/>
    <n v="7"/>
    <n v="248.1"/>
    <s v="Store C"/>
    <x v="1"/>
    <n v="0"/>
    <x v="4"/>
    <n v="1736.7"/>
    <n v="1042.02"/>
    <n v="662.88000000000011"/>
    <n v="0.3816894109518052"/>
    <n v="1736.7"/>
    <s v="Cash"/>
    <s v="WINTER15"/>
    <x v="0"/>
    <n v="0"/>
    <x v="0"/>
    <x v="197"/>
    <s v="Cust 3884"/>
    <n v="31.8"/>
    <d v="2025-02-02T00:00:00"/>
    <d v="2025-02-06T00:00:00"/>
    <s v="Cameron"/>
    <n v="4"/>
  </r>
  <r>
    <d v="2023-04-11T00:00:00"/>
    <x v="7"/>
    <x v="0"/>
    <x v="21"/>
    <x v="4"/>
    <x v="6"/>
    <n v="3"/>
    <n v="486.52"/>
    <s v="Store B"/>
    <x v="0"/>
    <n v="0.1"/>
    <x v="3"/>
    <n v="1313.604"/>
    <n v="875.73599999999988"/>
    <n v="421.36800000000017"/>
    <n v="0.32077247024217354"/>
    <n v="1313.604"/>
    <s v="Gift Card"/>
    <m/>
    <x v="1"/>
    <n v="0"/>
    <x v="0"/>
    <x v="198"/>
    <s v="Cust 5739"/>
    <n v="16.5"/>
    <d v="2023-04-11T00:00:00"/>
    <d v="2023-04-20T00:00:00"/>
    <s v="Wendy"/>
    <n v="9"/>
  </r>
  <r>
    <d v="2024-07-08T00:00:00"/>
    <x v="8"/>
    <x v="1"/>
    <x v="10"/>
    <x v="2"/>
    <x v="4"/>
    <n v="18"/>
    <n v="415.04"/>
    <s v="Store C"/>
    <x v="0"/>
    <n v="0.1"/>
    <x v="0"/>
    <n v="6723.6480000000001"/>
    <n v="4482.4319999999998"/>
    <n v="2207.6360000000004"/>
    <n v="0.32833902072208426"/>
    <n v="6723.6480000000001"/>
    <s v="Cash"/>
    <s v="WINTER15"/>
    <x v="0"/>
    <n v="0"/>
    <x v="0"/>
    <x v="199"/>
    <s v="Cust 9707"/>
    <n v="33.58"/>
    <d v="2024-07-08T00:00:00"/>
    <d v="2024-07-13T00:00:00"/>
    <s v="Ryan"/>
    <n v="5"/>
  </r>
  <r>
    <d v="2023-02-08T00:00:00"/>
    <x v="0"/>
    <x v="0"/>
    <x v="0"/>
    <x v="3"/>
    <x v="6"/>
    <n v="19"/>
    <n v="165.38"/>
    <s v="Store B"/>
    <x v="0"/>
    <n v="0.15"/>
    <x v="1"/>
    <n v="2670.8869999999997"/>
    <n v="1885.3319999999999"/>
    <n v="760.35499999999979"/>
    <n v="0.28468257923304124"/>
    <n v="2670.8870000000002"/>
    <s v="Online"/>
    <m/>
    <x v="1"/>
    <n v="0"/>
    <x v="0"/>
    <x v="200"/>
    <s v="Cust 9288"/>
    <n v="25.2"/>
    <d v="2023-02-08T00:00:00"/>
    <d v="2023-02-14T00:00:00"/>
    <s v="Cameron"/>
    <n v="6"/>
  </r>
  <r>
    <d v="2024-04-09T00:00:00"/>
    <x v="7"/>
    <x v="1"/>
    <x v="9"/>
    <x v="4"/>
    <x v="2"/>
    <n v="2"/>
    <n v="117.47"/>
    <s v="Store C"/>
    <x v="0"/>
    <n v="0"/>
    <x v="0"/>
    <n v="234.94"/>
    <n v="140.964"/>
    <n v="87.396000000000001"/>
    <n v="0.37199284923810333"/>
    <n v="234.94"/>
    <s v="Credit Card"/>
    <s v="FREESHIP"/>
    <x v="0"/>
    <n v="0"/>
    <x v="0"/>
    <x v="201"/>
    <s v="Cust 1216"/>
    <n v="6.58"/>
    <d v="2024-04-09T00:00:00"/>
    <d v="2024-04-16T00:00:00"/>
    <s v="Wendy"/>
    <n v="7"/>
  </r>
  <r>
    <d v="2023-08-14T00:00:00"/>
    <x v="10"/>
    <x v="0"/>
    <x v="18"/>
    <x v="3"/>
    <x v="6"/>
    <n v="9"/>
    <n v="461.79"/>
    <s v="Store C"/>
    <x v="0"/>
    <n v="0.15"/>
    <x v="2"/>
    <n v="3532.6935000000003"/>
    <n v="2493.6660000000002"/>
    <n v="991.2175000000002"/>
    <n v="0.28058406425578675"/>
    <n v="3532.6934999999999"/>
    <s v="Gift Card"/>
    <m/>
    <x v="1"/>
    <n v="0"/>
    <x v="0"/>
    <x v="202"/>
    <s v="Cust 2489"/>
    <n v="47.81"/>
    <d v="2023-08-14T00:00:00"/>
    <d v="2023-08-18T00:00:00"/>
    <s v="Cameron"/>
    <n v="4"/>
  </r>
  <r>
    <d v="2024-09-02T00:00:00"/>
    <x v="11"/>
    <x v="1"/>
    <x v="26"/>
    <x v="4"/>
    <x v="5"/>
    <n v="19"/>
    <n v="208.72"/>
    <s v="Store D"/>
    <x v="1"/>
    <n v="0.05"/>
    <x v="2"/>
    <n v="3767.3959999999997"/>
    <n v="2379.4079999999999"/>
    <n v="1349.5779999999997"/>
    <n v="0.35822568161138352"/>
    <n v="3767.3960000000002"/>
    <s v="Credit Card"/>
    <s v="FREESHIP"/>
    <x v="0"/>
    <n v="0"/>
    <x v="0"/>
    <x v="203"/>
    <s v="Cust 7171"/>
    <n v="38.409999999999997"/>
    <d v="2024-09-02T00:00:00"/>
    <d v="2024-09-06T00:00:00"/>
    <s v="Wendy"/>
    <n v="4"/>
  </r>
  <r>
    <d v="2025-06-29T00:00:00"/>
    <x v="3"/>
    <x v="2"/>
    <x v="16"/>
    <x v="3"/>
    <x v="4"/>
    <n v="16"/>
    <n v="278.13"/>
    <s v="Store A"/>
    <x v="0"/>
    <n v="0.15"/>
    <x v="1"/>
    <n v="3782.5679999999998"/>
    <n v="2670.0479999999998"/>
    <n v="1088.23"/>
    <n v="0.2876960837187858"/>
    <n v="3782.5680000000002"/>
    <s v="Cash"/>
    <s v="SAVE10"/>
    <x v="0"/>
    <n v="0"/>
    <x v="0"/>
    <x v="204"/>
    <s v="Cust 9125"/>
    <n v="24.29"/>
    <d v="2025-06-29T00:00:00"/>
    <d v="2025-07-04T00:00:00"/>
    <s v="Cameron"/>
    <n v="5"/>
  </r>
  <r>
    <d v="2025-04-02T00:00:00"/>
    <x v="7"/>
    <x v="2"/>
    <x v="28"/>
    <x v="4"/>
    <x v="0"/>
    <n v="2"/>
    <n v="580.19000000000005"/>
    <s v="Store B"/>
    <x v="0"/>
    <n v="0.05"/>
    <x v="4"/>
    <n v="1102.3610000000001"/>
    <n v="696.22800000000007"/>
    <n v="398.80300000000005"/>
    <n v="0.36177168822191641"/>
    <n v="1102.3610000000001"/>
    <s v="Debit Card"/>
    <s v="WINTER15"/>
    <x v="0"/>
    <n v="0"/>
    <x v="0"/>
    <x v="205"/>
    <s v="Cust 9697"/>
    <n v="7.33"/>
    <d v="2025-04-02T00:00:00"/>
    <d v="2025-04-08T00:00:00"/>
    <s v="Wendy"/>
    <n v="6"/>
  </r>
  <r>
    <d v="2023-04-27T00:00:00"/>
    <x v="7"/>
    <x v="0"/>
    <x v="21"/>
    <x v="3"/>
    <x v="5"/>
    <n v="8"/>
    <n v="536.42999999999995"/>
    <s v="Store B"/>
    <x v="1"/>
    <n v="0"/>
    <x v="3"/>
    <n v="4291.4399999999996"/>
    <n v="2574.8639999999996"/>
    <n v="1701.9960000000001"/>
    <n v="0.3966025390078855"/>
    <n v="4291.4399999999996"/>
    <s v="Cash"/>
    <m/>
    <x v="1"/>
    <n v="1"/>
    <x v="1"/>
    <x v="206"/>
    <s v="Cust 8171"/>
    <n v="14.58"/>
    <d v="2023-04-27T00:00:00"/>
    <d v="2023-05-07T00:00:00"/>
    <s v="Cameron"/>
    <n v="10"/>
  </r>
  <r>
    <d v="2024-08-07T00:00:00"/>
    <x v="10"/>
    <x v="1"/>
    <x v="29"/>
    <x v="0"/>
    <x v="1"/>
    <n v="1"/>
    <n v="94.33"/>
    <s v="Store A"/>
    <x v="0"/>
    <n v="0"/>
    <x v="3"/>
    <n v="94.33"/>
    <n v="56.597999999999999"/>
    <n v="-11.438000000000002"/>
    <n v="-0.1212551680271388"/>
    <n v="94.33"/>
    <s v="Online"/>
    <m/>
    <x v="1"/>
    <n v="0"/>
    <x v="0"/>
    <x v="207"/>
    <s v="Cust 2004"/>
    <n v="49.17"/>
    <d v="2024-08-07T00:00:00"/>
    <d v="2024-08-17T00:00:00"/>
    <s v="Eric"/>
    <n v="10"/>
  </r>
  <r>
    <d v="2023-04-15T00:00:00"/>
    <x v="7"/>
    <x v="0"/>
    <x v="21"/>
    <x v="4"/>
    <x v="0"/>
    <n v="16"/>
    <n v="489.94"/>
    <s v="Store C"/>
    <x v="1"/>
    <n v="0.1"/>
    <x v="2"/>
    <n v="7055.1360000000004"/>
    <n v="4703.424"/>
    <n v="2342.0220000000004"/>
    <n v="0.33195986583391168"/>
    <n v="7055.1360000000004"/>
    <s v="Cash"/>
    <s v="SAVE10"/>
    <x v="0"/>
    <n v="0"/>
    <x v="0"/>
    <x v="208"/>
    <s v="Cust 4214"/>
    <n v="9.69"/>
    <d v="2023-04-15T00:00:00"/>
    <d v="2023-04-25T00:00:00"/>
    <s v="Wendy"/>
    <n v="10"/>
  </r>
  <r>
    <d v="2023-08-12T00:00:00"/>
    <x v="10"/>
    <x v="0"/>
    <x v="18"/>
    <x v="1"/>
    <x v="2"/>
    <n v="4"/>
    <n v="551.71"/>
    <s v="Store A"/>
    <x v="1"/>
    <n v="0.05"/>
    <x v="0"/>
    <n v="2096.498"/>
    <n v="1324.104"/>
    <n v="746.07399999999996"/>
    <n v="0.35586678356001289"/>
    <n v="2096.498"/>
    <s v="Gift Card"/>
    <m/>
    <x v="1"/>
    <n v="1"/>
    <x v="1"/>
    <x v="209"/>
    <s v="Cust 9837"/>
    <n v="26.32"/>
    <d v="2023-08-12T00:00:00"/>
    <d v="2023-08-15T00:00:00"/>
    <s v="Sophie"/>
    <n v="3"/>
  </r>
  <r>
    <d v="2023-06-19T00:00:00"/>
    <x v="3"/>
    <x v="0"/>
    <x v="4"/>
    <x v="4"/>
    <x v="6"/>
    <n v="17"/>
    <n v="595.57000000000005"/>
    <s v="Store D"/>
    <x v="1"/>
    <n v="0.15"/>
    <x v="5"/>
    <n v="8605.9865000000009"/>
    <n v="6074.8140000000003"/>
    <n v="2521.4425000000006"/>
    <n v="0.29298703873170151"/>
    <n v="8605.9865000000009"/>
    <s v="Credit Card"/>
    <s v="WINTER15"/>
    <x v="0"/>
    <n v="0"/>
    <x v="0"/>
    <x v="210"/>
    <s v="Cust 2082"/>
    <n v="9.73"/>
    <d v="2023-06-19T00:00:00"/>
    <d v="2023-06-28T00:00:00"/>
    <s v="Wendy"/>
    <n v="9"/>
  </r>
  <r>
    <d v="2023-12-29T00:00:00"/>
    <x v="1"/>
    <x v="0"/>
    <x v="27"/>
    <x v="0"/>
    <x v="6"/>
    <n v="1"/>
    <n v="180.12"/>
    <s v="Store A"/>
    <x v="0"/>
    <n v="0.1"/>
    <x v="0"/>
    <n v="162.108"/>
    <n v="108.072"/>
    <n v="26.966000000000001"/>
    <n v="0.16634589286154911"/>
    <n v="162.108"/>
    <s v="Debit Card"/>
    <m/>
    <x v="1"/>
    <n v="0"/>
    <x v="0"/>
    <x v="211"/>
    <s v="Cust 3001"/>
    <n v="27.07"/>
    <d v="2023-12-29T00:00:00"/>
    <d v="2024-01-07T00:00:00"/>
    <s v="Eric"/>
    <n v="9"/>
  </r>
  <r>
    <d v="2023-03-26T00:00:00"/>
    <x v="6"/>
    <x v="0"/>
    <x v="17"/>
    <x v="0"/>
    <x v="2"/>
    <n v="12"/>
    <n v="301.5"/>
    <s v="Store D"/>
    <x v="1"/>
    <n v="0.15"/>
    <x v="5"/>
    <n v="3075.2999999999997"/>
    <n v="2170.8000000000002"/>
    <n v="860.82999999999959"/>
    <n v="0.27991740643189272"/>
    <n v="3075.3"/>
    <s v="Credit Card"/>
    <s v="FREESHIP"/>
    <x v="0"/>
    <n v="1"/>
    <x v="1"/>
    <x v="212"/>
    <s v="Cust 6161"/>
    <n v="43.67"/>
    <d v="2023-03-26T00:00:00"/>
    <d v="2023-03-30T00:00:00"/>
    <s v="Eric"/>
    <n v="4"/>
  </r>
  <r>
    <d v="2023-09-01T00:00:00"/>
    <x v="11"/>
    <x v="0"/>
    <x v="22"/>
    <x v="1"/>
    <x v="1"/>
    <n v="20"/>
    <n v="273.55"/>
    <s v="Store D"/>
    <x v="1"/>
    <n v="0.15"/>
    <x v="2"/>
    <n v="4650.3499999999995"/>
    <n v="3282.6"/>
    <n v="1352.9899999999996"/>
    <n v="0.29094369241024864"/>
    <n v="4650.3499999999995"/>
    <s v="Debit Card"/>
    <m/>
    <x v="1"/>
    <n v="0"/>
    <x v="0"/>
    <x v="213"/>
    <s v="Cust 5220"/>
    <n v="14.76"/>
    <d v="2023-09-01T00:00:00"/>
    <d v="2023-09-07T00:00:00"/>
    <s v="Sophie"/>
    <n v="6"/>
  </r>
  <r>
    <d v="2024-08-05T00:00:00"/>
    <x v="10"/>
    <x v="1"/>
    <x v="29"/>
    <x v="4"/>
    <x v="5"/>
    <n v="6"/>
    <n v="187.06"/>
    <s v="Store B"/>
    <x v="0"/>
    <n v="0.1"/>
    <x v="2"/>
    <n v="1010.1240000000001"/>
    <n v="673.41600000000005"/>
    <n v="325.67800000000011"/>
    <n v="0.32241388186004893"/>
    <n v="1010.124"/>
    <s v="Debit Card"/>
    <s v="FREESHIP"/>
    <x v="0"/>
    <n v="0"/>
    <x v="0"/>
    <x v="214"/>
    <s v="Cust 3386"/>
    <n v="11.03"/>
    <d v="2024-08-05T00:00:00"/>
    <d v="2024-08-13T00:00:00"/>
    <s v="Wendy"/>
    <n v="8"/>
  </r>
  <r>
    <d v="2025-01-23T00:00:00"/>
    <x v="4"/>
    <x v="2"/>
    <x v="12"/>
    <x v="2"/>
    <x v="3"/>
    <n v="16"/>
    <n v="562.52"/>
    <s v="Store D"/>
    <x v="1"/>
    <n v="0"/>
    <x v="2"/>
    <n v="9000.32"/>
    <n v="5400.192"/>
    <n v="3581.8979999999997"/>
    <n v="0.3979745164616369"/>
    <n v="9000.32"/>
    <s v="Gift Card"/>
    <m/>
    <x v="1"/>
    <n v="0"/>
    <x v="0"/>
    <x v="215"/>
    <s v="Cust 1591"/>
    <n v="18.23"/>
    <d v="2025-01-23T00:00:00"/>
    <d v="2025-01-27T00:00:00"/>
    <s v="Ryan"/>
    <n v="4"/>
  </r>
  <r>
    <d v="2023-05-16T00:00:00"/>
    <x v="2"/>
    <x v="0"/>
    <x v="2"/>
    <x v="0"/>
    <x v="5"/>
    <n v="4"/>
    <n v="85.16"/>
    <s v="Store D"/>
    <x v="0"/>
    <n v="0.1"/>
    <x v="3"/>
    <n v="306.57600000000002"/>
    <n v="204.38399999999999"/>
    <n v="63.682000000000038"/>
    <n v="0.20772010855383341"/>
    <n v="306.57600000000002"/>
    <s v="Credit Card"/>
    <m/>
    <x v="1"/>
    <n v="0"/>
    <x v="0"/>
    <x v="216"/>
    <s v="Cust 3434"/>
    <n v="38.51"/>
    <d v="2023-05-16T00:00:00"/>
    <d v="2023-05-23T00:00:00"/>
    <s v="Eric"/>
    <n v="7"/>
  </r>
  <r>
    <d v="2023-02-14T00:00:00"/>
    <x v="0"/>
    <x v="0"/>
    <x v="0"/>
    <x v="2"/>
    <x v="5"/>
    <n v="12"/>
    <n v="451.51"/>
    <s v="Store B"/>
    <x v="0"/>
    <n v="0.15"/>
    <x v="3"/>
    <n v="4605.402"/>
    <n v="3250.8720000000003"/>
    <n v="1344.9899999999998"/>
    <n v="0.29204616665385558"/>
    <n v="4605.402"/>
    <s v="Online"/>
    <s v="WINTER15"/>
    <x v="0"/>
    <n v="0"/>
    <x v="0"/>
    <x v="217"/>
    <s v="Cust 1501"/>
    <n v="9.5399999999999991"/>
    <d v="2023-02-14T00:00:00"/>
    <d v="2023-02-22T00:00:00"/>
    <s v="Ryan"/>
    <n v="8"/>
  </r>
  <r>
    <d v="2024-06-03T00:00:00"/>
    <x v="3"/>
    <x v="1"/>
    <x v="23"/>
    <x v="3"/>
    <x v="5"/>
    <n v="1"/>
    <n v="259.87"/>
    <s v="Store D"/>
    <x v="1"/>
    <n v="0.15"/>
    <x v="0"/>
    <n v="220.8895"/>
    <n v="155.922"/>
    <n v="45.767499999999998"/>
    <n v="0.20719635836017555"/>
    <n v="220.8895"/>
    <s v="Gift Card"/>
    <s v="FREESHIP"/>
    <x v="0"/>
    <n v="0"/>
    <x v="0"/>
    <x v="218"/>
    <s v="Cust 9683"/>
    <n v="19.2"/>
    <d v="2024-06-03T00:00:00"/>
    <d v="2024-06-12T00:00:00"/>
    <s v="Cameron"/>
    <n v="9"/>
  </r>
  <r>
    <d v="2023-11-08T00:00:00"/>
    <x v="9"/>
    <x v="0"/>
    <x v="15"/>
    <x v="3"/>
    <x v="5"/>
    <n v="20"/>
    <n v="268.25"/>
    <s v="Store D"/>
    <x v="1"/>
    <n v="0.05"/>
    <x v="4"/>
    <n v="5096.75"/>
    <n v="3219"/>
    <n v="1856.79"/>
    <n v="0.36430862804728503"/>
    <n v="5096.75"/>
    <s v="Cash"/>
    <s v="FREESHIP"/>
    <x v="0"/>
    <n v="0"/>
    <x v="0"/>
    <x v="219"/>
    <s v="Cust 5416"/>
    <n v="20.96"/>
    <d v="2023-11-08T00:00:00"/>
    <d v="2023-11-15T00:00:00"/>
    <s v="Cameron"/>
    <n v="7"/>
  </r>
  <r>
    <d v="2023-01-24T00:00:00"/>
    <x v="4"/>
    <x v="0"/>
    <x v="6"/>
    <x v="4"/>
    <x v="1"/>
    <n v="10"/>
    <n v="266.13"/>
    <s v="Store B"/>
    <x v="0"/>
    <n v="0"/>
    <x v="4"/>
    <n v="2661.3"/>
    <n v="1596.78"/>
    <n v="1043.5100000000002"/>
    <n v="0.3921053620411078"/>
    <n v="2661.3"/>
    <s v="Gift Card"/>
    <s v="WINTER15"/>
    <x v="0"/>
    <n v="0"/>
    <x v="0"/>
    <x v="220"/>
    <s v="Cust 2153"/>
    <n v="21.01"/>
    <d v="2023-01-24T00:00:00"/>
    <d v="2023-01-26T00:00:00"/>
    <s v="Wendy"/>
    <n v="2"/>
  </r>
  <r>
    <d v="2025-03-20T00:00:00"/>
    <x v="6"/>
    <x v="2"/>
    <x v="8"/>
    <x v="4"/>
    <x v="0"/>
    <n v="18"/>
    <n v="493.06"/>
    <s v="Store D"/>
    <x v="0"/>
    <n v="0.05"/>
    <x v="4"/>
    <n v="8431.3259999999991"/>
    <n v="5325.0480000000007"/>
    <n v="3059.4079999999985"/>
    <n v="0.36286202194055822"/>
    <n v="8431.3259999999991"/>
    <s v="Cash"/>
    <s v="WINTER15"/>
    <x v="0"/>
    <n v="1"/>
    <x v="1"/>
    <x v="221"/>
    <s v="Cust 3572"/>
    <n v="46.87"/>
    <d v="2025-03-20T00:00:00"/>
    <d v="2025-03-28T00:00:00"/>
    <s v="Wendy"/>
    <n v="8"/>
  </r>
  <r>
    <d v="2024-02-22T00:00:00"/>
    <x v="0"/>
    <x v="1"/>
    <x v="5"/>
    <x v="4"/>
    <x v="4"/>
    <n v="4"/>
    <n v="36.82"/>
    <s v="Store C"/>
    <x v="0"/>
    <n v="0.05"/>
    <x v="2"/>
    <n v="139.916"/>
    <n v="88.367999999999995"/>
    <n v="26.688000000000002"/>
    <n v="0.19074301723891479"/>
    <n v="139.916"/>
    <s v="Credit Card"/>
    <s v="WINTER15"/>
    <x v="0"/>
    <n v="1"/>
    <x v="1"/>
    <x v="222"/>
    <s v="Cust 6372"/>
    <n v="24.86"/>
    <d v="2024-02-22T00:00:00"/>
    <d v="2024-03-01T00:00:00"/>
    <s v="Wendy"/>
    <n v="8"/>
  </r>
  <r>
    <d v="2025-04-02T00:00:00"/>
    <x v="7"/>
    <x v="2"/>
    <x v="28"/>
    <x v="2"/>
    <x v="6"/>
    <n v="12"/>
    <n v="413.45"/>
    <s v="Store D"/>
    <x v="1"/>
    <n v="0.15"/>
    <x v="5"/>
    <n v="4217.1899999999996"/>
    <n v="2976.84"/>
    <n v="1217.0999999999995"/>
    <n v="0.28860449730744869"/>
    <n v="4217.1899999999996"/>
    <s v="Cash"/>
    <s v="FREESHIP"/>
    <x v="0"/>
    <n v="0"/>
    <x v="0"/>
    <x v="223"/>
    <s v="Cust 6109"/>
    <n v="23.25"/>
    <d v="2025-04-02T00:00:00"/>
    <d v="2025-04-10T00:00:00"/>
    <s v="Ryan"/>
    <n v="8"/>
  </r>
  <r>
    <d v="2025-06-12T00:00:00"/>
    <x v="3"/>
    <x v="2"/>
    <x v="16"/>
    <x v="2"/>
    <x v="3"/>
    <n v="19"/>
    <n v="446.25"/>
    <s v="Store B"/>
    <x v="1"/>
    <n v="0.1"/>
    <x v="0"/>
    <n v="7630.875"/>
    <n v="5087.25"/>
    <n v="2528.7449999999999"/>
    <n v="0.33138336036168853"/>
    <n v="7630.875"/>
    <s v="Gift Card"/>
    <m/>
    <x v="1"/>
    <n v="0"/>
    <x v="0"/>
    <x v="224"/>
    <s v="Cust 5234"/>
    <n v="14.88"/>
    <d v="2025-06-12T00:00:00"/>
    <d v="2025-06-18T00:00:00"/>
    <s v="Ryan"/>
    <n v="6"/>
  </r>
  <r>
    <d v="2023-05-13T00:00:00"/>
    <x v="2"/>
    <x v="0"/>
    <x v="2"/>
    <x v="0"/>
    <x v="0"/>
    <n v="7"/>
    <n v="82.77"/>
    <s v="Store D"/>
    <x v="0"/>
    <n v="0.15"/>
    <x v="2"/>
    <n v="492.48149999999998"/>
    <n v="347.63400000000001"/>
    <n v="129.18749999999997"/>
    <n v="0.26231949829587503"/>
    <n v="492.48149999999998"/>
    <s v="Debit Card"/>
    <s v="SAVE10"/>
    <x v="0"/>
    <n v="1"/>
    <x v="1"/>
    <x v="225"/>
    <s v="Cust 5530"/>
    <n v="15.66"/>
    <d v="2023-05-13T00:00:00"/>
    <d v="2023-05-17T00:00:00"/>
    <s v="Eric"/>
    <n v="4"/>
  </r>
  <r>
    <d v="2023-03-25T00:00:00"/>
    <x v="6"/>
    <x v="0"/>
    <x v="17"/>
    <x v="1"/>
    <x v="2"/>
    <n v="17"/>
    <n v="339.88"/>
    <s v="Store A"/>
    <x v="1"/>
    <n v="0"/>
    <x v="1"/>
    <n v="5777.96"/>
    <n v="3466.7759999999998"/>
    <n v="2266.3240000000001"/>
    <n v="0.39223601409494008"/>
    <n v="5777.96"/>
    <s v="Cash"/>
    <m/>
    <x v="1"/>
    <n v="0"/>
    <x v="0"/>
    <x v="226"/>
    <s v="Cust 5398"/>
    <n v="44.86"/>
    <d v="2023-03-25T00:00:00"/>
    <d v="2023-03-28T00:00:00"/>
    <s v="Sophie"/>
    <n v="3"/>
  </r>
  <r>
    <d v="2024-11-22T00:00:00"/>
    <x v="9"/>
    <x v="1"/>
    <x v="20"/>
    <x v="1"/>
    <x v="6"/>
    <n v="19"/>
    <n v="364.32"/>
    <s v="Store B"/>
    <x v="1"/>
    <n v="0.15"/>
    <x v="2"/>
    <n v="5883.768"/>
    <n v="4153.2479999999996"/>
    <n v="1690.7600000000004"/>
    <n v="0.28736007266092078"/>
    <n v="5883.768"/>
    <s v="Debit Card"/>
    <m/>
    <x v="1"/>
    <n v="1"/>
    <x v="1"/>
    <x v="227"/>
    <s v="Cust 3247"/>
    <n v="39.76"/>
    <d v="2024-11-22T00:00:00"/>
    <d v="2024-11-25T00:00:00"/>
    <s v="Sophie"/>
    <n v="3"/>
  </r>
  <r>
    <d v="2023-07-07T00:00:00"/>
    <x v="8"/>
    <x v="0"/>
    <x v="11"/>
    <x v="0"/>
    <x v="5"/>
    <n v="3"/>
    <n v="71.91"/>
    <s v="Store B"/>
    <x v="0"/>
    <n v="0"/>
    <x v="1"/>
    <n v="215.73"/>
    <n v="129.43799999999999"/>
    <n v="40.042000000000002"/>
    <n v="0.18561164418486073"/>
    <n v="215.73"/>
    <s v="Gift Card"/>
    <s v="WINTER15"/>
    <x v="0"/>
    <n v="1"/>
    <x v="1"/>
    <x v="228"/>
    <s v="Cust 7137"/>
    <n v="46.25"/>
    <d v="2023-07-07T00:00:00"/>
    <d v="2023-07-17T00:00:00"/>
    <s v="Eric"/>
    <n v="10"/>
  </r>
  <r>
    <d v="2024-10-05T00:00:00"/>
    <x v="5"/>
    <x v="1"/>
    <x v="7"/>
    <x v="0"/>
    <x v="5"/>
    <n v="20"/>
    <n v="576.29999999999995"/>
    <s v="Store D"/>
    <x v="0"/>
    <n v="0.05"/>
    <x v="0"/>
    <n v="10949.699999999999"/>
    <n v="6915.5999999999995"/>
    <n v="4008.8799999999997"/>
    <n v="0.36611779318154836"/>
    <n v="10949.7"/>
    <s v="Credit Card"/>
    <m/>
    <x v="1"/>
    <n v="0"/>
    <x v="0"/>
    <x v="229"/>
    <s v="Cust 4627"/>
    <n v="25.22"/>
    <d v="2024-10-05T00:00:00"/>
    <d v="2024-10-09T00:00:00"/>
    <s v="Eric"/>
    <n v="4"/>
  </r>
  <r>
    <d v="2024-03-31T00:00:00"/>
    <x v="6"/>
    <x v="1"/>
    <x v="25"/>
    <x v="4"/>
    <x v="0"/>
    <n v="7"/>
    <n v="120.6"/>
    <s v="Store B"/>
    <x v="0"/>
    <n v="0"/>
    <x v="4"/>
    <n v="844.19999999999993"/>
    <n v="506.52"/>
    <n v="293.87999999999994"/>
    <n v="0.34811656005685854"/>
    <n v="844.19999999999993"/>
    <s v="Online"/>
    <s v="WINTER15"/>
    <x v="0"/>
    <n v="0"/>
    <x v="0"/>
    <x v="230"/>
    <s v="Cust 4878"/>
    <n v="43.8"/>
    <d v="2024-03-31T00:00:00"/>
    <d v="2024-04-08T00:00:00"/>
    <s v="Wendy"/>
    <n v="8"/>
  </r>
  <r>
    <d v="2025-04-01T00:00:00"/>
    <x v="7"/>
    <x v="2"/>
    <x v="28"/>
    <x v="4"/>
    <x v="6"/>
    <n v="8"/>
    <n v="96.19"/>
    <s v="Store A"/>
    <x v="0"/>
    <n v="0.05"/>
    <x v="3"/>
    <n v="731.04399999999998"/>
    <n v="461.71199999999999"/>
    <n v="235.262"/>
    <n v="0.32181647069123065"/>
    <n v="731.04399999999998"/>
    <s v="Debit Card"/>
    <s v="SAVE10"/>
    <x v="0"/>
    <n v="0"/>
    <x v="0"/>
    <x v="231"/>
    <s v="Cust 2779"/>
    <n v="34.07"/>
    <d v="2025-04-01T00:00:00"/>
    <d v="2025-04-04T00:00:00"/>
    <s v="Wendy"/>
    <n v="3"/>
  </r>
  <r>
    <d v="2023-08-23T00:00:00"/>
    <x v="10"/>
    <x v="0"/>
    <x v="18"/>
    <x v="4"/>
    <x v="6"/>
    <n v="14"/>
    <n v="471.17"/>
    <s v="Store A"/>
    <x v="0"/>
    <n v="0.05"/>
    <x v="3"/>
    <n v="6266.5609999999997"/>
    <n v="3957.828"/>
    <n v="2282.3529999999996"/>
    <n v="0.36421140718170614"/>
    <n v="6266.5609999999997"/>
    <s v="Gift Card"/>
    <s v="FREESHIP"/>
    <x v="0"/>
    <n v="0"/>
    <x v="0"/>
    <x v="232"/>
    <s v="Cust 8606"/>
    <n v="26.38"/>
    <d v="2023-08-23T00:00:00"/>
    <d v="2023-08-26T00:00:00"/>
    <s v="Wendy"/>
    <n v="3"/>
  </r>
  <r>
    <d v="2024-08-14T00:00:00"/>
    <x v="10"/>
    <x v="1"/>
    <x v="29"/>
    <x v="1"/>
    <x v="1"/>
    <n v="20"/>
    <n v="14.33"/>
    <s v="Store D"/>
    <x v="0"/>
    <n v="0.1"/>
    <x v="3"/>
    <n v="257.94000000000005"/>
    <n v="171.95999999999998"/>
    <n v="79.760000000000076"/>
    <n v="0.30921919826316219"/>
    <n v="257.94000000000011"/>
    <s v="Debit Card"/>
    <m/>
    <x v="1"/>
    <n v="0"/>
    <x v="0"/>
    <x v="233"/>
    <s v="Cust 9599"/>
    <n v="6.22"/>
    <d v="2024-08-14T00:00:00"/>
    <d v="2024-08-21T00:00:00"/>
    <s v="Sophie"/>
    <n v="7"/>
  </r>
  <r>
    <d v="2025-02-14T00:00:00"/>
    <x v="0"/>
    <x v="2"/>
    <x v="3"/>
    <x v="3"/>
    <x v="5"/>
    <n v="18"/>
    <n v="499.61"/>
    <s v="Store B"/>
    <x v="1"/>
    <n v="0.15"/>
    <x v="1"/>
    <n v="7644.0329999999994"/>
    <n v="5395.7880000000005"/>
    <n v="2238.6049999999991"/>
    <n v="0.29285653267064643"/>
    <n v="7644.0329999999994"/>
    <s v="Debit Card"/>
    <m/>
    <x v="1"/>
    <n v="0"/>
    <x v="0"/>
    <x v="234"/>
    <s v="Cust 4500"/>
    <n v="9.64"/>
    <d v="2025-02-14T00:00:00"/>
    <d v="2025-02-19T00:00:00"/>
    <s v="Cameron"/>
    <n v="5"/>
  </r>
  <r>
    <d v="2023-11-11T00:00:00"/>
    <x v="9"/>
    <x v="0"/>
    <x v="15"/>
    <x v="4"/>
    <x v="4"/>
    <n v="14"/>
    <n v="16.329999999999998"/>
    <s v="Store B"/>
    <x v="0"/>
    <n v="0.1"/>
    <x v="4"/>
    <n v="205.75799999999998"/>
    <n v="137.17199999999997"/>
    <n v="45.866000000000014"/>
    <n v="0.22291235334713605"/>
    <n v="205.75800000000001"/>
    <s v="Debit Card"/>
    <s v="WINTER15"/>
    <x v="0"/>
    <n v="0"/>
    <x v="0"/>
    <x v="235"/>
    <s v="Cust 4173"/>
    <n v="22.72"/>
    <d v="2023-11-11T00:00:00"/>
    <d v="2023-11-16T00:00:00"/>
    <s v="Wendy"/>
    <n v="5"/>
  </r>
  <r>
    <d v="2024-04-01T00:00:00"/>
    <x v="7"/>
    <x v="1"/>
    <x v="9"/>
    <x v="3"/>
    <x v="2"/>
    <n v="17"/>
    <n v="480.62"/>
    <s v="Store C"/>
    <x v="0"/>
    <n v="0.15"/>
    <x v="3"/>
    <n v="6944.9589999999998"/>
    <n v="4902.3240000000005"/>
    <n v="2005.5449999999994"/>
    <n v="0.28877708277327474"/>
    <n v="6944.9589999999998"/>
    <s v="Online"/>
    <s v="FREESHIP"/>
    <x v="0"/>
    <n v="0"/>
    <x v="0"/>
    <x v="236"/>
    <s v="Cust 7607"/>
    <n v="37.090000000000003"/>
    <d v="2024-04-01T00:00:00"/>
    <d v="2024-04-09T00:00:00"/>
    <s v="Cameron"/>
    <n v="8"/>
  </r>
  <r>
    <d v="2024-06-13T00:00:00"/>
    <x v="3"/>
    <x v="1"/>
    <x v="23"/>
    <x v="1"/>
    <x v="3"/>
    <n v="5"/>
    <n v="555.84"/>
    <s v="Store C"/>
    <x v="1"/>
    <n v="0.05"/>
    <x v="4"/>
    <n v="2640.2400000000002"/>
    <n v="1667.52"/>
    <n v="943.32000000000028"/>
    <n v="0.35728570129988191"/>
    <n v="2640.24"/>
    <s v="Credit Card"/>
    <m/>
    <x v="1"/>
    <n v="0"/>
    <x v="0"/>
    <x v="237"/>
    <s v="Cust 4768"/>
    <n v="29.4"/>
    <d v="2024-06-13T00:00:00"/>
    <d v="2024-06-20T00:00:00"/>
    <s v="Sophie"/>
    <n v="7"/>
  </r>
  <r>
    <d v="2023-11-28T00:00:00"/>
    <x v="9"/>
    <x v="0"/>
    <x v="15"/>
    <x v="2"/>
    <x v="3"/>
    <n v="18"/>
    <n v="174.03"/>
    <s v="Store B"/>
    <x v="0"/>
    <n v="0.1"/>
    <x v="2"/>
    <n v="2819.2860000000001"/>
    <n v="1879.5239999999999"/>
    <n v="907.57200000000012"/>
    <n v="0.32191554883044859"/>
    <n v="2819.2860000000001"/>
    <s v="Online"/>
    <s v="SAVE10"/>
    <x v="0"/>
    <n v="0"/>
    <x v="0"/>
    <x v="238"/>
    <s v="Cust 5746"/>
    <n v="32.19"/>
    <d v="2023-11-28T00:00:00"/>
    <d v="2023-12-03T00:00:00"/>
    <s v="Ryan"/>
    <n v="5"/>
  </r>
  <r>
    <d v="2024-11-11T00:00:00"/>
    <x v="9"/>
    <x v="1"/>
    <x v="20"/>
    <x v="3"/>
    <x v="2"/>
    <n v="11"/>
    <n v="286.05"/>
    <s v="Store A"/>
    <x v="1"/>
    <n v="0.1"/>
    <x v="5"/>
    <n v="2831.8950000000004"/>
    <n v="1887.9299999999998"/>
    <n v="935.37500000000057"/>
    <n v="0.33030002877931575"/>
    <n v="2831.895"/>
    <s v="Debit Card"/>
    <m/>
    <x v="1"/>
    <n v="1"/>
    <x v="1"/>
    <x v="239"/>
    <s v="Cust 3002"/>
    <n v="8.59"/>
    <d v="2024-11-11T00:00:00"/>
    <d v="2024-11-16T00:00:00"/>
    <s v="Cameron"/>
    <n v="5"/>
  </r>
  <r>
    <d v="2024-11-04T00:00:00"/>
    <x v="9"/>
    <x v="1"/>
    <x v="20"/>
    <x v="2"/>
    <x v="2"/>
    <n v="16"/>
    <n v="40.729999999999997"/>
    <s v="Store D"/>
    <x v="1"/>
    <n v="0"/>
    <x v="1"/>
    <n v="651.67999999999995"/>
    <n v="391.00799999999998"/>
    <n v="235.95199999999997"/>
    <n v="0.36206727228087404"/>
    <n v="651.67999999999995"/>
    <s v="Credit Card"/>
    <m/>
    <x v="1"/>
    <n v="0"/>
    <x v="0"/>
    <x v="240"/>
    <s v="Cust 3237"/>
    <n v="24.72"/>
    <d v="2024-11-04T00:00:00"/>
    <d v="2024-11-08T00:00:00"/>
    <s v="Ryan"/>
    <n v="4"/>
  </r>
  <r>
    <d v="2023-01-01T00:00:00"/>
    <x v="4"/>
    <x v="0"/>
    <x v="6"/>
    <x v="3"/>
    <x v="3"/>
    <n v="11"/>
    <n v="468.22"/>
    <s v="Store D"/>
    <x v="1"/>
    <n v="0"/>
    <x v="3"/>
    <n v="5150.42"/>
    <n v="3090.2520000000004"/>
    <n v="2040.2479999999996"/>
    <n v="0.39613235425460441"/>
    <n v="5150.42"/>
    <s v="Debit Card"/>
    <s v="WINTER15"/>
    <x v="0"/>
    <n v="0"/>
    <x v="0"/>
    <x v="241"/>
    <s v="Cust 6437"/>
    <n v="19.920000000000002"/>
    <d v="2023-01-01T00:00:00"/>
    <d v="2023-01-11T00:00:00"/>
    <s v="Cameron"/>
    <n v="10"/>
  </r>
  <r>
    <d v="2025-01-18T00:00:00"/>
    <x v="4"/>
    <x v="2"/>
    <x v="12"/>
    <x v="2"/>
    <x v="5"/>
    <n v="1"/>
    <n v="411.54"/>
    <s v="Store C"/>
    <x v="1"/>
    <n v="0.1"/>
    <x v="0"/>
    <n v="370.38600000000002"/>
    <n v="246.92400000000001"/>
    <n v="116.00200000000002"/>
    <n v="0.3131921832898652"/>
    <n v="370.38600000000002"/>
    <s v="Gift Card"/>
    <s v="WINTER15"/>
    <x v="0"/>
    <n v="0"/>
    <x v="0"/>
    <x v="242"/>
    <s v="Cust 8806"/>
    <n v="7.46"/>
    <d v="2025-01-18T00:00:00"/>
    <d v="2025-01-20T00:00:00"/>
    <s v="Ryan"/>
    <n v="2"/>
  </r>
  <r>
    <d v="2023-05-02T00:00:00"/>
    <x v="2"/>
    <x v="0"/>
    <x v="2"/>
    <x v="3"/>
    <x v="6"/>
    <n v="13"/>
    <n v="134.19999999999999"/>
    <s v="Store A"/>
    <x v="0"/>
    <n v="0.05"/>
    <x v="0"/>
    <n v="1657.37"/>
    <n v="1046.76"/>
    <n v="601.00999999999988"/>
    <n v="0.36262874312917448"/>
    <n v="1657.37"/>
    <s v="Credit Card"/>
    <s v="WINTER15"/>
    <x v="0"/>
    <n v="0"/>
    <x v="0"/>
    <x v="243"/>
    <s v="Cust 8678"/>
    <n v="9.6"/>
    <d v="2023-05-02T00:00:00"/>
    <d v="2023-05-10T00:00:00"/>
    <s v="Cameron"/>
    <n v="8"/>
  </r>
  <r>
    <d v="2025-05-27T00:00:00"/>
    <x v="2"/>
    <x v="2"/>
    <x v="13"/>
    <x v="4"/>
    <x v="6"/>
    <n v="10"/>
    <n v="351.23"/>
    <s v="Store B"/>
    <x v="1"/>
    <n v="0.15"/>
    <x v="2"/>
    <n v="2985.4549999999999"/>
    <n v="2107.38"/>
    <n v="835.33499999999981"/>
    <n v="0.279801571284779"/>
    <n v="2985.4549999999999"/>
    <s v="Online"/>
    <m/>
    <x v="1"/>
    <n v="0"/>
    <x v="0"/>
    <x v="244"/>
    <s v="Cust 9649"/>
    <n v="42.74"/>
    <d v="2025-05-27T00:00:00"/>
    <d v="2025-06-02T00:00:00"/>
    <s v="Wendy"/>
    <n v="6"/>
  </r>
  <r>
    <d v="2024-12-27T00:00:00"/>
    <x v="1"/>
    <x v="1"/>
    <x v="1"/>
    <x v="1"/>
    <x v="4"/>
    <n v="14"/>
    <n v="551.14"/>
    <s v="Store C"/>
    <x v="0"/>
    <n v="0.1"/>
    <x v="4"/>
    <n v="6944.3640000000005"/>
    <n v="4629.5759999999991"/>
    <n v="2302.4380000000015"/>
    <n v="0.3315549127321093"/>
    <n v="6944.3639999999996"/>
    <s v="Online"/>
    <s v="FREESHIP"/>
    <x v="0"/>
    <n v="1"/>
    <x v="1"/>
    <x v="245"/>
    <s v="Cust 1960"/>
    <n v="12.35"/>
    <d v="2024-12-27T00:00:00"/>
    <d v="2025-01-05T00:00:00"/>
    <s v="Sophie"/>
    <n v="9"/>
  </r>
  <r>
    <d v="2025-03-18T00:00:00"/>
    <x v="6"/>
    <x v="2"/>
    <x v="8"/>
    <x v="4"/>
    <x v="3"/>
    <n v="2"/>
    <n v="131.13"/>
    <s v="Store B"/>
    <x v="1"/>
    <n v="0.1"/>
    <x v="0"/>
    <n v="236.03399999999999"/>
    <n v="157.35599999999999"/>
    <n v="63.937999999999995"/>
    <n v="0.27088470305125534"/>
    <n v="236.03399999999999"/>
    <s v="Debit Card"/>
    <m/>
    <x v="1"/>
    <n v="0"/>
    <x v="0"/>
    <x v="246"/>
    <s v="Cust 3910"/>
    <n v="14.74"/>
    <d v="2025-03-18T00:00:00"/>
    <d v="2025-03-24T00:00:00"/>
    <s v="Wendy"/>
    <n v="6"/>
  </r>
  <r>
    <d v="2024-03-24T00:00:00"/>
    <x v="6"/>
    <x v="1"/>
    <x v="25"/>
    <x v="0"/>
    <x v="0"/>
    <n v="6"/>
    <n v="595.11"/>
    <s v="Store C"/>
    <x v="0"/>
    <n v="0"/>
    <x v="4"/>
    <n v="3570.66"/>
    <n v="2142.3959999999997"/>
    <n v="1399.3440000000001"/>
    <n v="0.39190065702139104"/>
    <n v="3570.66"/>
    <s v="Cash"/>
    <s v="SAVE10"/>
    <x v="0"/>
    <n v="1"/>
    <x v="1"/>
    <x v="247"/>
    <s v="Cust 4944"/>
    <n v="28.92"/>
    <d v="2024-03-24T00:00:00"/>
    <d v="2024-03-31T00:00:00"/>
    <s v="Eric"/>
    <n v="7"/>
  </r>
  <r>
    <d v="2024-12-26T00:00:00"/>
    <x v="1"/>
    <x v="1"/>
    <x v="1"/>
    <x v="0"/>
    <x v="0"/>
    <n v="6"/>
    <n v="516.66"/>
    <s v="Store C"/>
    <x v="0"/>
    <n v="0.05"/>
    <x v="5"/>
    <n v="2944.962"/>
    <n v="1859.9759999999999"/>
    <n v="1079.836"/>
    <n v="0.36667230341172485"/>
    <n v="2944.962"/>
    <s v="Online"/>
    <m/>
    <x v="1"/>
    <n v="1"/>
    <x v="1"/>
    <x v="248"/>
    <s v="Cust 9618"/>
    <n v="5.15"/>
    <d v="2024-12-26T00:00:00"/>
    <d v="2025-01-03T00:00:00"/>
    <s v="Eric"/>
    <n v="8"/>
  </r>
  <r>
    <d v="2023-01-11T00:00:00"/>
    <x v="4"/>
    <x v="0"/>
    <x v="6"/>
    <x v="2"/>
    <x v="2"/>
    <n v="6"/>
    <n v="202.57"/>
    <s v="Store D"/>
    <x v="1"/>
    <n v="0.05"/>
    <x v="0"/>
    <n v="1154.6490000000001"/>
    <n v="729.25199999999995"/>
    <n v="401.00700000000018"/>
    <n v="0.34729775022539328"/>
    <n v="1154.6489999999999"/>
    <s v="Gift Card"/>
    <s v="FREESHIP"/>
    <x v="0"/>
    <n v="0"/>
    <x v="0"/>
    <x v="249"/>
    <s v="Cust 2279"/>
    <n v="24.39"/>
    <d v="2023-01-11T00:00:00"/>
    <d v="2023-01-14T00:00:00"/>
    <s v="Ryan"/>
    <n v="3"/>
  </r>
  <r>
    <d v="2025-06-01T00:00:00"/>
    <x v="3"/>
    <x v="2"/>
    <x v="16"/>
    <x v="1"/>
    <x v="0"/>
    <n v="13"/>
    <n v="306.16000000000003"/>
    <s v="Store A"/>
    <x v="0"/>
    <n v="0.15"/>
    <x v="2"/>
    <n v="3383.0680000000002"/>
    <n v="2388.0479999999998"/>
    <n v="969.86000000000047"/>
    <n v="0.28668061061734507"/>
    <n v="3383.0680000000002"/>
    <s v="Cash"/>
    <s v="SAVE10"/>
    <x v="0"/>
    <n v="0"/>
    <x v="0"/>
    <x v="250"/>
    <s v="Cust 4689"/>
    <n v="25.16"/>
    <d v="2025-06-01T00:00:00"/>
    <d v="2025-06-10T00:00:00"/>
    <s v="Sophie"/>
    <n v="9"/>
  </r>
  <r>
    <d v="2024-09-26T00:00:00"/>
    <x v="11"/>
    <x v="1"/>
    <x v="26"/>
    <x v="0"/>
    <x v="2"/>
    <n v="11"/>
    <n v="472.74"/>
    <s v="Store D"/>
    <x v="1"/>
    <n v="0.15"/>
    <x v="3"/>
    <n v="4420.1190000000006"/>
    <n v="3120.0839999999998"/>
    <n v="1283.2350000000008"/>
    <n v="0.29031684441075017"/>
    <n v="4420.1190000000006"/>
    <s v="Credit Card"/>
    <m/>
    <x v="1"/>
    <n v="1"/>
    <x v="1"/>
    <x v="251"/>
    <s v="Cust 7381"/>
    <n v="16.8"/>
    <d v="2024-09-26T00:00:00"/>
    <d v="2024-10-01T00:00:00"/>
    <s v="Eric"/>
    <n v="5"/>
  </r>
  <r>
    <d v="2024-08-10T00:00:00"/>
    <x v="10"/>
    <x v="1"/>
    <x v="29"/>
    <x v="0"/>
    <x v="1"/>
    <n v="20"/>
    <n v="337.37"/>
    <s v="Store C"/>
    <x v="1"/>
    <n v="0.1"/>
    <x v="4"/>
    <n v="6072.66"/>
    <n v="4048.44"/>
    <n v="1981.0499999999997"/>
    <n v="0.3262244222465937"/>
    <n v="6072.66"/>
    <s v="Gift Card"/>
    <m/>
    <x v="1"/>
    <n v="0"/>
    <x v="0"/>
    <x v="252"/>
    <s v="Cust 2724"/>
    <n v="43.17"/>
    <d v="2024-08-10T00:00:00"/>
    <d v="2024-08-17T00:00:00"/>
    <s v="Eric"/>
    <n v="7"/>
  </r>
  <r>
    <d v="2025-03-02T00:00:00"/>
    <x v="6"/>
    <x v="2"/>
    <x v="8"/>
    <x v="1"/>
    <x v="1"/>
    <n v="12"/>
    <n v="34.24"/>
    <s v="Store C"/>
    <x v="1"/>
    <n v="0.1"/>
    <x v="2"/>
    <n v="369.79200000000003"/>
    <n v="246.52800000000002"/>
    <n v="105.62400000000001"/>
    <n v="0.28563084112149534"/>
    <n v="369.79199999999997"/>
    <s v="Cash"/>
    <m/>
    <x v="1"/>
    <n v="0"/>
    <x v="0"/>
    <x v="253"/>
    <s v="Cust 2823"/>
    <n v="17.64"/>
    <d v="2025-03-02T00:00:00"/>
    <d v="2025-03-10T00:00:00"/>
    <s v="Sophie"/>
    <n v="8"/>
  </r>
  <r>
    <d v="2023-02-21T00:00:00"/>
    <x v="0"/>
    <x v="0"/>
    <x v="0"/>
    <x v="0"/>
    <x v="5"/>
    <n v="4"/>
    <n v="477.05"/>
    <s v="Store B"/>
    <x v="0"/>
    <n v="0"/>
    <x v="3"/>
    <n v="1908.2"/>
    <n v="1144.92"/>
    <n v="717.74"/>
    <n v="0.37613457708835552"/>
    <n v="1908.2"/>
    <s v="Credit Card"/>
    <s v="WINTER15"/>
    <x v="0"/>
    <n v="0"/>
    <x v="0"/>
    <x v="254"/>
    <s v="Cust 9402"/>
    <n v="45.54"/>
    <d v="2023-02-21T00:00:00"/>
    <d v="2023-03-02T00:00:00"/>
    <s v="Eric"/>
    <n v="9"/>
  </r>
  <r>
    <d v="2024-11-20T00:00:00"/>
    <x v="9"/>
    <x v="1"/>
    <x v="20"/>
    <x v="0"/>
    <x v="0"/>
    <n v="6"/>
    <n v="562.92999999999995"/>
    <s v="Store C"/>
    <x v="1"/>
    <n v="0"/>
    <x v="1"/>
    <n v="3377.58"/>
    <n v="2026.5479999999998"/>
    <n v="1307.3020000000001"/>
    <n v="0.38705286033195369"/>
    <n v="3377.58"/>
    <s v="Credit Card"/>
    <s v="WINTER15"/>
    <x v="0"/>
    <n v="0"/>
    <x v="0"/>
    <x v="255"/>
    <s v="Cust 6561"/>
    <n v="43.73"/>
    <d v="2024-11-20T00:00:00"/>
    <d v="2024-11-27T00:00:00"/>
    <s v="Eric"/>
    <n v="7"/>
  </r>
  <r>
    <d v="2023-08-26T00:00:00"/>
    <x v="10"/>
    <x v="0"/>
    <x v="18"/>
    <x v="0"/>
    <x v="3"/>
    <n v="20"/>
    <n v="18.29"/>
    <s v="Store B"/>
    <x v="1"/>
    <n v="0"/>
    <x v="4"/>
    <n v="365.79999999999995"/>
    <n v="219.47999999999996"/>
    <n v="110.94999999999999"/>
    <n v="0.30330781848004373"/>
    <n v="365.8"/>
    <s v="Debit Card"/>
    <s v="FREESHIP"/>
    <x v="0"/>
    <n v="1"/>
    <x v="1"/>
    <x v="256"/>
    <s v="Cust 3116"/>
    <n v="35.369999999999997"/>
    <d v="2023-08-26T00:00:00"/>
    <d v="2023-08-29T00:00:00"/>
    <s v="Eric"/>
    <n v="3"/>
  </r>
  <r>
    <d v="2024-01-01T00:00:00"/>
    <x v="4"/>
    <x v="1"/>
    <x v="24"/>
    <x v="1"/>
    <x v="4"/>
    <n v="7"/>
    <n v="208.86"/>
    <s v="Store B"/>
    <x v="1"/>
    <n v="0"/>
    <x v="2"/>
    <n v="1462.02"/>
    <n v="877.21199999999999"/>
    <n v="564.16800000000001"/>
    <n v="0.38588254606640127"/>
    <n v="1462.02"/>
    <s v="Cash"/>
    <s v="FREESHIP"/>
    <x v="0"/>
    <n v="0"/>
    <x v="0"/>
    <x v="257"/>
    <s v="Cust 1015"/>
    <n v="20.64"/>
    <d v="2024-01-01T00:00:00"/>
    <d v="2024-01-08T00:00:00"/>
    <s v="Sophie"/>
    <n v="7"/>
  </r>
  <r>
    <d v="2024-11-24T00:00:00"/>
    <x v="9"/>
    <x v="1"/>
    <x v="20"/>
    <x v="1"/>
    <x v="6"/>
    <n v="12"/>
    <n v="330.36"/>
    <s v="Store D"/>
    <x v="1"/>
    <n v="0.05"/>
    <x v="4"/>
    <n v="3766.1039999999998"/>
    <n v="2378.5920000000001"/>
    <n v="1339.1819999999998"/>
    <n v="0.35558816219626432"/>
    <n v="3766.1039999999998"/>
    <s v="Cash"/>
    <s v="WINTER15"/>
    <x v="0"/>
    <n v="0"/>
    <x v="0"/>
    <x v="258"/>
    <s v="Cust 1207"/>
    <n v="48.33"/>
    <d v="2024-11-24T00:00:00"/>
    <d v="2024-11-30T00:00:00"/>
    <s v="Sophie"/>
    <n v="6"/>
  </r>
  <r>
    <d v="2024-08-25T00:00:00"/>
    <x v="10"/>
    <x v="1"/>
    <x v="29"/>
    <x v="1"/>
    <x v="5"/>
    <n v="7"/>
    <n v="50.26"/>
    <s v="Store C"/>
    <x v="1"/>
    <n v="0.15"/>
    <x v="4"/>
    <n v="299.04699999999997"/>
    <n v="211.09199999999998"/>
    <n v="70.83499999999998"/>
    <n v="0.23686912090741585"/>
    <n v="299.04700000000003"/>
    <s v="Cash"/>
    <m/>
    <x v="1"/>
    <n v="0"/>
    <x v="0"/>
    <x v="259"/>
    <s v="Cust 2501"/>
    <n v="17.12"/>
    <d v="2024-08-25T00:00:00"/>
    <d v="2024-09-01T00:00:00"/>
    <s v="Sophie"/>
    <n v="7"/>
  </r>
  <r>
    <d v="2023-06-10T00:00:00"/>
    <x v="3"/>
    <x v="0"/>
    <x v="4"/>
    <x v="1"/>
    <x v="0"/>
    <n v="2"/>
    <n v="374.59"/>
    <s v="Store C"/>
    <x v="0"/>
    <n v="0.15"/>
    <x v="3"/>
    <n v="636.803"/>
    <n v="449.50799999999998"/>
    <n v="152.65500000000003"/>
    <n v="0.23972091840019602"/>
    <n v="636.803"/>
    <s v="Online"/>
    <s v="SAVE10"/>
    <x v="0"/>
    <n v="0"/>
    <x v="0"/>
    <x v="260"/>
    <s v="Cust 2330"/>
    <n v="34.64"/>
    <d v="2023-06-10T00:00:00"/>
    <d v="2023-06-18T00:00:00"/>
    <s v="Sophie"/>
    <n v="8"/>
  </r>
  <r>
    <d v="2024-12-18T00:00:00"/>
    <x v="1"/>
    <x v="1"/>
    <x v="1"/>
    <x v="2"/>
    <x v="6"/>
    <n v="7"/>
    <n v="467.6"/>
    <s v="Store A"/>
    <x v="1"/>
    <n v="0.1"/>
    <x v="3"/>
    <n v="2945.88"/>
    <n v="1963.92"/>
    <n v="966.32"/>
    <n v="0.32802422366152051"/>
    <n v="2945.88"/>
    <s v="Debit Card"/>
    <m/>
    <x v="1"/>
    <n v="0"/>
    <x v="0"/>
    <x v="261"/>
    <s v="Cust 7436"/>
    <n v="15.64"/>
    <d v="2024-12-18T00:00:00"/>
    <d v="2024-12-26T00:00:00"/>
    <s v="Ryan"/>
    <n v="8"/>
  </r>
  <r>
    <d v="2023-08-28T00:00:00"/>
    <x v="10"/>
    <x v="0"/>
    <x v="18"/>
    <x v="0"/>
    <x v="3"/>
    <n v="3"/>
    <n v="376.24"/>
    <s v="Store A"/>
    <x v="1"/>
    <n v="0.05"/>
    <x v="2"/>
    <n v="1072.2839999999999"/>
    <n v="677.23199999999997"/>
    <n v="388.90199999999993"/>
    <n v="0.36268563179157759"/>
    <n v="1072.2840000000001"/>
    <s v="Debit Card"/>
    <s v="FREESHIP"/>
    <x v="0"/>
    <n v="1"/>
    <x v="1"/>
    <x v="262"/>
    <s v="Cust 2762"/>
    <n v="6.15"/>
    <d v="2023-08-28T00:00:00"/>
    <d v="2023-09-01T00:00:00"/>
    <s v="Eric"/>
    <n v="4"/>
  </r>
  <r>
    <d v="2023-01-22T00:00:00"/>
    <x v="4"/>
    <x v="0"/>
    <x v="6"/>
    <x v="4"/>
    <x v="1"/>
    <n v="13"/>
    <n v="140.49"/>
    <s v="Store A"/>
    <x v="1"/>
    <n v="0"/>
    <x v="0"/>
    <n v="1826.3700000000001"/>
    <n v="1095.8219999999999"/>
    <n v="712.85800000000017"/>
    <n v="0.39031412035896346"/>
    <n v="1826.37"/>
    <s v="Debit Card"/>
    <s v="SAVE10"/>
    <x v="0"/>
    <n v="0"/>
    <x v="0"/>
    <x v="263"/>
    <s v="Cust 3599"/>
    <n v="17.690000000000001"/>
    <d v="2023-01-22T00:00:00"/>
    <d v="2023-01-31T00:00:00"/>
    <s v="Wendy"/>
    <n v="9"/>
  </r>
  <r>
    <d v="2023-02-07T00:00:00"/>
    <x v="0"/>
    <x v="0"/>
    <x v="0"/>
    <x v="2"/>
    <x v="4"/>
    <n v="3"/>
    <n v="506.33"/>
    <s v="Store B"/>
    <x v="1"/>
    <n v="0.15"/>
    <x v="2"/>
    <n v="1291.1415"/>
    <n v="911.39400000000001"/>
    <n v="354.03749999999997"/>
    <n v="0.27420503484707137"/>
    <n v="1291.1415"/>
    <s v="Debit Card"/>
    <s v="FREESHIP"/>
    <x v="0"/>
    <n v="0"/>
    <x v="0"/>
    <x v="264"/>
    <s v="Cust 4127"/>
    <n v="25.71"/>
    <d v="2023-02-07T00:00:00"/>
    <d v="2023-02-14T00:00:00"/>
    <s v="Ryan"/>
    <n v="7"/>
  </r>
  <r>
    <d v="2023-11-22T00:00:00"/>
    <x v="9"/>
    <x v="0"/>
    <x v="15"/>
    <x v="1"/>
    <x v="4"/>
    <n v="8"/>
    <n v="138.72999999999999"/>
    <s v="Store A"/>
    <x v="0"/>
    <n v="0.05"/>
    <x v="2"/>
    <n v="1054.348"/>
    <n v="665.90399999999988"/>
    <n v="339.93400000000008"/>
    <n v="0.32241157568468864"/>
    <n v="1054.348"/>
    <s v="Online"/>
    <s v="WINTER15"/>
    <x v="0"/>
    <n v="1"/>
    <x v="1"/>
    <x v="265"/>
    <s v="Cust 6855"/>
    <n v="48.51"/>
    <d v="2023-11-22T00:00:00"/>
    <d v="2023-11-29T00:00:00"/>
    <s v="Sophie"/>
    <n v="7"/>
  </r>
  <r>
    <d v="2023-01-25T00:00:00"/>
    <x v="4"/>
    <x v="0"/>
    <x v="6"/>
    <x v="4"/>
    <x v="2"/>
    <n v="6"/>
    <n v="134.53"/>
    <s v="Store C"/>
    <x v="1"/>
    <n v="0.15"/>
    <x v="3"/>
    <n v="686.10300000000007"/>
    <n v="484.30799999999999"/>
    <n v="168.29500000000007"/>
    <n v="0.24529115890762765"/>
    <n v="686.10300000000007"/>
    <s v="Debit Card"/>
    <s v="FREESHIP"/>
    <x v="0"/>
    <n v="1"/>
    <x v="1"/>
    <x v="266"/>
    <s v="Cust 7017"/>
    <n v="33.5"/>
    <d v="2023-01-25T00:00:00"/>
    <d v="2023-01-29T00:00:00"/>
    <s v="Wendy"/>
    <n v="4"/>
  </r>
  <r>
    <d v="2025-03-05T00:00:00"/>
    <x v="6"/>
    <x v="2"/>
    <x v="8"/>
    <x v="1"/>
    <x v="5"/>
    <n v="18"/>
    <n v="375.96"/>
    <s v="Store D"/>
    <x v="0"/>
    <n v="0.05"/>
    <x v="4"/>
    <n v="6428.9159999999993"/>
    <n v="4060.3679999999999"/>
    <n v="2341.7679999999991"/>
    <n v="0.3642554981275225"/>
    <n v="6428.9159999999993"/>
    <s v="Debit Card"/>
    <s v="SAVE10"/>
    <x v="0"/>
    <n v="0"/>
    <x v="0"/>
    <x v="267"/>
    <s v="Cust 6957"/>
    <n v="26.78"/>
    <d v="2025-03-05T00:00:00"/>
    <d v="2025-03-09T00:00:00"/>
    <s v="Sophie"/>
    <n v="4"/>
  </r>
  <r>
    <d v="2023-02-02T00:00:00"/>
    <x v="0"/>
    <x v="0"/>
    <x v="0"/>
    <x v="2"/>
    <x v="6"/>
    <n v="10"/>
    <n v="538.47"/>
    <s v="Store D"/>
    <x v="1"/>
    <n v="0.1"/>
    <x v="5"/>
    <n v="4846.2300000000005"/>
    <n v="3230.8199999999997"/>
    <n v="1598.1600000000008"/>
    <n v="0.32977386545830484"/>
    <n v="4846.2299999999996"/>
    <s v="Gift Card"/>
    <s v="WINTER15"/>
    <x v="0"/>
    <n v="1"/>
    <x v="1"/>
    <x v="268"/>
    <s v="Cust 9822"/>
    <n v="17.25"/>
    <d v="2023-02-02T00:00:00"/>
    <d v="2023-02-12T00:00:00"/>
    <s v="Ryan"/>
    <n v="10"/>
  </r>
  <r>
    <d v="2023-05-24T00:00:00"/>
    <x v="2"/>
    <x v="0"/>
    <x v="2"/>
    <x v="2"/>
    <x v="5"/>
    <n v="15"/>
    <n v="505.44"/>
    <s v="Store A"/>
    <x v="0"/>
    <n v="0.1"/>
    <x v="1"/>
    <n v="6823.4400000000005"/>
    <n v="4548.96"/>
    <n v="2236.9800000000005"/>
    <n v="0.32783757166473221"/>
    <n v="6823.4400000000014"/>
    <s v="Online"/>
    <s v="SAVE10"/>
    <x v="0"/>
    <n v="0"/>
    <x v="0"/>
    <x v="269"/>
    <s v="Cust 7425"/>
    <n v="37.5"/>
    <d v="2023-05-24T00:00:00"/>
    <d v="2023-06-01T00:00:00"/>
    <s v="Ryan"/>
    <n v="8"/>
  </r>
  <r>
    <d v="2024-05-30T00:00:00"/>
    <x v="2"/>
    <x v="1"/>
    <x v="14"/>
    <x v="1"/>
    <x v="6"/>
    <n v="4"/>
    <n v="312.08999999999997"/>
    <s v="Store C"/>
    <x v="0"/>
    <n v="0.15"/>
    <x v="4"/>
    <n v="1061.106"/>
    <n v="749.01599999999996"/>
    <n v="294.10000000000002"/>
    <n v="0.27716363869396649"/>
    <n v="1061.106"/>
    <s v="Debit Card"/>
    <s v="SAVE10"/>
    <x v="0"/>
    <n v="1"/>
    <x v="1"/>
    <x v="270"/>
    <s v="Cust 6468"/>
    <n v="17.989999999999998"/>
    <d v="2024-05-30T00:00:00"/>
    <d v="2024-06-06T00:00:00"/>
    <s v="Sophie"/>
    <n v="7"/>
  </r>
  <r>
    <d v="2024-01-23T00:00:00"/>
    <x v="4"/>
    <x v="1"/>
    <x v="24"/>
    <x v="4"/>
    <x v="2"/>
    <n v="15"/>
    <n v="579.58000000000004"/>
    <s v="Store C"/>
    <x v="1"/>
    <n v="0.15"/>
    <x v="0"/>
    <n v="7389.6450000000004"/>
    <n v="5216.22"/>
    <n v="2142.2050000000004"/>
    <n v="0.28989281623136165"/>
    <n v="7389.6450000000004"/>
    <s v="Credit Card"/>
    <m/>
    <x v="1"/>
    <n v="0"/>
    <x v="0"/>
    <x v="271"/>
    <s v="Cust 8897"/>
    <n v="31.22"/>
    <d v="2024-01-23T00:00:00"/>
    <d v="2024-01-31T00:00:00"/>
    <s v="Wendy"/>
    <n v="8"/>
  </r>
  <r>
    <d v="2023-02-06T00:00:00"/>
    <x v="0"/>
    <x v="0"/>
    <x v="0"/>
    <x v="2"/>
    <x v="3"/>
    <n v="10"/>
    <n v="217.43"/>
    <s v="Store A"/>
    <x v="1"/>
    <n v="0.15"/>
    <x v="5"/>
    <n v="1848.1550000000002"/>
    <n v="1304.58"/>
    <n v="510.43500000000029"/>
    <n v="0.27618625061209706"/>
    <n v="1848.155"/>
    <s v="Credit Card"/>
    <s v="FREESHIP"/>
    <x v="0"/>
    <n v="0"/>
    <x v="0"/>
    <x v="272"/>
    <s v="Cust 9816"/>
    <n v="33.14"/>
    <d v="2023-02-06T00:00:00"/>
    <d v="2023-02-15T00:00:00"/>
    <s v="Ryan"/>
    <n v="9"/>
  </r>
  <r>
    <d v="2024-07-15T00:00:00"/>
    <x v="8"/>
    <x v="1"/>
    <x v="10"/>
    <x v="4"/>
    <x v="1"/>
    <n v="15"/>
    <n v="476.15"/>
    <s v="Store B"/>
    <x v="0"/>
    <n v="0.05"/>
    <x v="3"/>
    <n v="6785.1374999999998"/>
    <n v="4285.3500000000004"/>
    <n v="2475.3074999999994"/>
    <n v="0.36481316701393296"/>
    <n v="6785.1374999999998"/>
    <s v="Online"/>
    <s v="SAVE10"/>
    <x v="0"/>
    <n v="0"/>
    <x v="0"/>
    <x v="273"/>
    <s v="Cust 8227"/>
    <n v="24.48"/>
    <d v="2024-07-15T00:00:00"/>
    <d v="2024-07-19T00:00:00"/>
    <s v="Wendy"/>
    <n v="4"/>
  </r>
  <r>
    <d v="2025-03-06T00:00:00"/>
    <x v="6"/>
    <x v="2"/>
    <x v="8"/>
    <x v="0"/>
    <x v="3"/>
    <n v="5"/>
    <n v="89.03"/>
    <s v="Store C"/>
    <x v="0"/>
    <n v="0.1"/>
    <x v="2"/>
    <n v="400.63499999999999"/>
    <n v="267.08999999999997"/>
    <n v="111.12500000000001"/>
    <n v="0.27737217167746209"/>
    <n v="400.63499999999999"/>
    <s v="Debit Card"/>
    <s v="WINTER15"/>
    <x v="0"/>
    <n v="0"/>
    <x v="0"/>
    <x v="274"/>
    <s v="Cust 4990"/>
    <n v="22.42"/>
    <d v="2025-03-06T00:00:00"/>
    <d v="2025-03-16T00:00:00"/>
    <s v="Eric"/>
    <n v="10"/>
  </r>
  <r>
    <d v="2023-07-29T00:00:00"/>
    <x v="8"/>
    <x v="0"/>
    <x v="11"/>
    <x v="3"/>
    <x v="1"/>
    <n v="17"/>
    <n v="6.88"/>
    <s v="Store A"/>
    <x v="1"/>
    <n v="0.1"/>
    <x v="2"/>
    <n v="105.264"/>
    <n v="70.176000000000002"/>
    <n v="-7.2820000000000036"/>
    <n v="-6.9178446572427457E-2"/>
    <n v="105.264"/>
    <s v="Gift Card"/>
    <m/>
    <x v="1"/>
    <n v="0"/>
    <x v="0"/>
    <x v="275"/>
    <s v="Cust 5834"/>
    <n v="42.37"/>
    <d v="2023-07-29T00:00:00"/>
    <d v="2023-08-08T00:00:00"/>
    <s v="Cameron"/>
    <n v="10"/>
  </r>
  <r>
    <d v="2023-07-26T00:00:00"/>
    <x v="8"/>
    <x v="0"/>
    <x v="11"/>
    <x v="2"/>
    <x v="6"/>
    <n v="6"/>
    <n v="355.26"/>
    <s v="Store D"/>
    <x v="1"/>
    <n v="0.1"/>
    <x v="5"/>
    <n v="1918.404"/>
    <n v="1278.9359999999999"/>
    <n v="608.97800000000007"/>
    <n v="0.31743991359484242"/>
    <n v="1918.404"/>
    <s v="Online"/>
    <s v="WINTER15"/>
    <x v="0"/>
    <n v="0"/>
    <x v="0"/>
    <x v="276"/>
    <s v="Cust 7330"/>
    <n v="30.49"/>
    <d v="2023-07-26T00:00:00"/>
    <d v="2023-07-29T00:00:00"/>
    <s v="Ryan"/>
    <n v="3"/>
  </r>
  <r>
    <d v="2024-04-10T00:00:00"/>
    <x v="7"/>
    <x v="1"/>
    <x v="9"/>
    <x v="4"/>
    <x v="5"/>
    <n v="8"/>
    <n v="294.76"/>
    <s v="Store C"/>
    <x v="1"/>
    <n v="0.1"/>
    <x v="4"/>
    <n v="2122.2719999999999"/>
    <n v="1414.848"/>
    <n v="671.38400000000001"/>
    <n v="0.31635153269703414"/>
    <n v="2122.2719999999999"/>
    <s v="Online"/>
    <s v="SAVE10"/>
    <x v="0"/>
    <n v="0"/>
    <x v="0"/>
    <x v="277"/>
    <s v="Cust 5273"/>
    <n v="36.04"/>
    <d v="2024-04-10T00:00:00"/>
    <d v="2024-04-13T00:00:00"/>
    <s v="Wendy"/>
    <n v="3"/>
  </r>
  <r>
    <d v="2025-01-24T00:00:00"/>
    <x v="4"/>
    <x v="2"/>
    <x v="12"/>
    <x v="2"/>
    <x v="2"/>
    <n v="16"/>
    <n v="60.69"/>
    <s v="Store A"/>
    <x v="0"/>
    <n v="0"/>
    <x v="3"/>
    <n v="971.04"/>
    <n v="582.62399999999991"/>
    <n v="381.38600000000008"/>
    <n v="0.39276033942988969"/>
    <n v="971.04"/>
    <s v="Credit Card"/>
    <s v="WINTER15"/>
    <x v="0"/>
    <n v="0"/>
    <x v="0"/>
    <x v="278"/>
    <s v="Cust 6138"/>
    <n v="7.03"/>
    <d v="2025-01-24T00:00:00"/>
    <d v="2025-01-27T00:00:00"/>
    <s v="Ryan"/>
    <n v="3"/>
  </r>
  <r>
    <d v="2025-04-27T00:00:00"/>
    <x v="7"/>
    <x v="2"/>
    <x v="28"/>
    <x v="4"/>
    <x v="0"/>
    <n v="2"/>
    <n v="559.63"/>
    <s v="Store B"/>
    <x v="0"/>
    <n v="0.1"/>
    <x v="4"/>
    <n v="1007.3340000000001"/>
    <n v="671.55599999999993"/>
    <n v="293.4380000000001"/>
    <n v="0.29130159410880613"/>
    <n v="1007.3339999999999"/>
    <s v="Credit Card"/>
    <s v="WINTER15"/>
    <x v="0"/>
    <n v="1"/>
    <x v="1"/>
    <x v="279"/>
    <s v="Cust 2084"/>
    <n v="42.34"/>
    <d v="2025-04-27T00:00:00"/>
    <d v="2025-05-03T00:00:00"/>
    <s v="Wendy"/>
    <n v="6"/>
  </r>
  <r>
    <d v="2025-02-20T00:00:00"/>
    <x v="0"/>
    <x v="2"/>
    <x v="3"/>
    <x v="0"/>
    <x v="1"/>
    <n v="4"/>
    <n v="232.66"/>
    <s v="Store B"/>
    <x v="0"/>
    <n v="0.1"/>
    <x v="2"/>
    <n v="837.57600000000002"/>
    <n v="558.38400000000001"/>
    <n v="267.31200000000001"/>
    <n v="0.3191495458322588"/>
    <n v="837.57600000000002"/>
    <s v="Online"/>
    <s v="WINTER15"/>
    <x v="0"/>
    <n v="0"/>
    <x v="0"/>
    <x v="280"/>
    <s v="Cust 2799"/>
    <n v="11.88"/>
    <d v="2025-02-20T00:00:00"/>
    <d v="2025-02-23T00:00:00"/>
    <s v="Eric"/>
    <n v="3"/>
  </r>
  <r>
    <d v="2023-09-14T00:00:00"/>
    <x v="11"/>
    <x v="0"/>
    <x v="22"/>
    <x v="2"/>
    <x v="6"/>
    <n v="10"/>
    <n v="230.87"/>
    <s v="Store A"/>
    <x v="1"/>
    <n v="0.15"/>
    <x v="5"/>
    <n v="1962.3949999999998"/>
    <n v="1385.2199999999998"/>
    <n v="548.84499999999991"/>
    <n v="0.27968120587343526"/>
    <n v="1962.395"/>
    <s v="Debit Card"/>
    <s v="SAVE10"/>
    <x v="0"/>
    <n v="0"/>
    <x v="0"/>
    <x v="281"/>
    <s v="Cust 5234"/>
    <n v="28.33"/>
    <d v="2023-09-14T00:00:00"/>
    <d v="2023-09-19T00:00:00"/>
    <s v="Ryan"/>
    <n v="5"/>
  </r>
  <r>
    <d v="2024-04-17T00:00:00"/>
    <x v="7"/>
    <x v="1"/>
    <x v="9"/>
    <x v="4"/>
    <x v="5"/>
    <n v="7"/>
    <n v="353.9"/>
    <s v="Store C"/>
    <x v="0"/>
    <n v="0.15"/>
    <x v="1"/>
    <n v="2105.7049999999999"/>
    <n v="1486.3799999999999"/>
    <n v="603.58500000000004"/>
    <n v="0.28664271586000889"/>
    <n v="2105.7049999999999"/>
    <s v="Debit Card"/>
    <s v="SAVE10"/>
    <x v="0"/>
    <n v="1"/>
    <x v="1"/>
    <x v="282"/>
    <s v="Cust 3051"/>
    <n v="15.74"/>
    <d v="2024-04-17T00:00:00"/>
    <d v="2024-04-27T00:00:00"/>
    <s v="Wendy"/>
    <n v="10"/>
  </r>
  <r>
    <d v="2024-11-14T00:00:00"/>
    <x v="9"/>
    <x v="1"/>
    <x v="20"/>
    <x v="3"/>
    <x v="5"/>
    <n v="12"/>
    <n v="561.07000000000005"/>
    <s v="Store A"/>
    <x v="1"/>
    <n v="0"/>
    <x v="1"/>
    <n v="6732.84"/>
    <n v="4039.7039999999997"/>
    <n v="2658.1160000000004"/>
    <n v="0.39479862881042777"/>
    <n v="6732.84"/>
    <s v="Gift Card"/>
    <m/>
    <x v="1"/>
    <n v="0"/>
    <x v="0"/>
    <x v="283"/>
    <s v="Cust 5456"/>
    <n v="35.020000000000003"/>
    <d v="2024-11-14T00:00:00"/>
    <d v="2024-11-18T00:00:00"/>
    <s v="Cameron"/>
    <n v="4"/>
  </r>
  <r>
    <d v="2024-07-25T00:00:00"/>
    <x v="8"/>
    <x v="1"/>
    <x v="10"/>
    <x v="2"/>
    <x v="3"/>
    <n v="15"/>
    <n v="247.21"/>
    <s v="Store D"/>
    <x v="0"/>
    <n v="0.1"/>
    <x v="5"/>
    <n v="3337.335"/>
    <n v="2224.89"/>
    <n v="1067.0250000000001"/>
    <n v="0.31972367173208566"/>
    <n v="3337.335"/>
    <s v="Gift Card"/>
    <m/>
    <x v="1"/>
    <n v="0"/>
    <x v="0"/>
    <x v="284"/>
    <s v="Cust 6029"/>
    <n v="45.42"/>
    <d v="2024-07-25T00:00:00"/>
    <d v="2024-07-27T00:00:00"/>
    <s v="Ryan"/>
    <n v="2"/>
  </r>
  <r>
    <d v="2024-08-05T00:00:00"/>
    <x v="10"/>
    <x v="1"/>
    <x v="29"/>
    <x v="0"/>
    <x v="1"/>
    <n v="19"/>
    <n v="271.22000000000003"/>
    <s v="Store A"/>
    <x v="0"/>
    <n v="0.1"/>
    <x v="1"/>
    <n v="4637.8620000000001"/>
    <n v="3091.9079999999999"/>
    <n v="1510.6240000000003"/>
    <n v="0.32571559912735659"/>
    <n v="4637.8620000000001"/>
    <s v="Credit Card"/>
    <s v="WINTER15"/>
    <x v="0"/>
    <n v="0"/>
    <x v="0"/>
    <x v="285"/>
    <s v="Cust 4002"/>
    <n v="35.33"/>
    <d v="2024-08-05T00:00:00"/>
    <d v="2024-08-15T00:00:00"/>
    <s v="Eric"/>
    <n v="10"/>
  </r>
  <r>
    <d v="2025-01-23T00:00:00"/>
    <x v="4"/>
    <x v="2"/>
    <x v="12"/>
    <x v="4"/>
    <x v="0"/>
    <n v="6"/>
    <n v="532.54"/>
    <s v="Store A"/>
    <x v="0"/>
    <n v="0"/>
    <x v="4"/>
    <n v="3195.24"/>
    <n v="1917.1439999999998"/>
    <n v="1253.0060000000001"/>
    <n v="0.39214769469586014"/>
    <n v="3195.24"/>
    <s v="Debit Card"/>
    <m/>
    <x v="1"/>
    <n v="1"/>
    <x v="1"/>
    <x v="286"/>
    <s v="Cust 5830"/>
    <n v="25.09"/>
    <d v="2025-01-23T00:00:00"/>
    <d v="2025-02-02T00:00:00"/>
    <s v="Wendy"/>
    <n v="10"/>
  </r>
  <r>
    <d v="2025-04-27T00:00:00"/>
    <x v="7"/>
    <x v="2"/>
    <x v="28"/>
    <x v="4"/>
    <x v="6"/>
    <n v="16"/>
    <n v="329.54"/>
    <s v="Store A"/>
    <x v="0"/>
    <n v="0.15"/>
    <x v="5"/>
    <n v="4481.7440000000006"/>
    <n v="3163.5840000000003"/>
    <n v="1278.7700000000002"/>
    <n v="0.28532865777250999"/>
    <n v="4481.7440000000006"/>
    <s v="Debit Card"/>
    <s v="FREESHIP"/>
    <x v="0"/>
    <n v="1"/>
    <x v="1"/>
    <x v="287"/>
    <s v="Cust 8088"/>
    <n v="39.39"/>
    <d v="2025-04-27T00:00:00"/>
    <d v="2025-05-03T00:00:00"/>
    <s v="Wendy"/>
    <n v="6"/>
  </r>
  <r>
    <d v="2024-09-20T00:00:00"/>
    <x v="11"/>
    <x v="1"/>
    <x v="26"/>
    <x v="1"/>
    <x v="1"/>
    <n v="6"/>
    <n v="170.1"/>
    <s v="Store A"/>
    <x v="1"/>
    <n v="0"/>
    <x v="0"/>
    <n v="1020.5999999999999"/>
    <n v="612.3599999999999"/>
    <n v="369.63"/>
    <n v="0.3621693121693122"/>
    <n v="1020.6"/>
    <s v="Gift Card"/>
    <s v="FREESHIP"/>
    <x v="0"/>
    <n v="0"/>
    <x v="0"/>
    <x v="288"/>
    <s v="Cust 6455"/>
    <n v="38.61"/>
    <d v="2024-09-20T00:00:00"/>
    <d v="2024-09-23T00:00:00"/>
    <s v="Sophie"/>
    <n v="3"/>
  </r>
  <r>
    <d v="2023-09-08T00:00:00"/>
    <x v="11"/>
    <x v="0"/>
    <x v="22"/>
    <x v="4"/>
    <x v="0"/>
    <n v="19"/>
    <n v="212.83"/>
    <s v="Store D"/>
    <x v="0"/>
    <n v="0.15"/>
    <x v="3"/>
    <n v="3437.2045000000003"/>
    <n v="2426.2620000000002"/>
    <n v="968.06250000000011"/>
    <n v="0.28164239282242298"/>
    <n v="3437.2044999999998"/>
    <s v="Online"/>
    <s v="WINTER15"/>
    <x v="0"/>
    <n v="0"/>
    <x v="0"/>
    <x v="289"/>
    <s v="Cust 4117"/>
    <n v="42.88"/>
    <d v="2023-09-08T00:00:00"/>
    <d v="2023-09-15T00:00:00"/>
    <s v="Wendy"/>
    <n v="7"/>
  </r>
  <r>
    <d v="2025-04-20T00:00:00"/>
    <x v="7"/>
    <x v="2"/>
    <x v="28"/>
    <x v="1"/>
    <x v="0"/>
    <n v="5"/>
    <n v="578.91999999999996"/>
    <s v="Store A"/>
    <x v="0"/>
    <n v="0"/>
    <x v="5"/>
    <n v="2894.6"/>
    <n v="1736.7599999999998"/>
    <n v="1113.7500000000002"/>
    <n v="0.38476818904166388"/>
    <n v="2894.6"/>
    <s v="Credit Card"/>
    <m/>
    <x v="1"/>
    <n v="1"/>
    <x v="1"/>
    <x v="290"/>
    <s v="Cust 1385"/>
    <n v="44.09"/>
    <d v="2025-04-20T00:00:00"/>
    <d v="2025-04-28T00:00:00"/>
    <s v="Sophie"/>
    <n v="8"/>
  </r>
  <r>
    <d v="2024-06-20T00:00:00"/>
    <x v="3"/>
    <x v="1"/>
    <x v="23"/>
    <x v="2"/>
    <x v="1"/>
    <n v="3"/>
    <n v="456.92"/>
    <s v="Store C"/>
    <x v="1"/>
    <n v="0.1"/>
    <x v="2"/>
    <n v="1233.684"/>
    <n v="822.4559999999999"/>
    <n v="393.65800000000007"/>
    <n v="0.31909143670502338"/>
    <n v="1233.684"/>
    <s v="Gift Card"/>
    <s v="FREESHIP"/>
    <x v="0"/>
    <n v="0"/>
    <x v="0"/>
    <x v="291"/>
    <s v="Cust 5185"/>
    <n v="17.57"/>
    <d v="2024-06-20T00:00:00"/>
    <d v="2024-06-27T00:00:00"/>
    <s v="Ryan"/>
    <n v="7"/>
  </r>
  <r>
    <d v="2023-01-11T00:00:00"/>
    <x v="4"/>
    <x v="0"/>
    <x v="6"/>
    <x v="0"/>
    <x v="5"/>
    <n v="12"/>
    <n v="521.53"/>
    <s v="Store D"/>
    <x v="1"/>
    <n v="0"/>
    <x v="0"/>
    <n v="6258.36"/>
    <n v="3755.0159999999996"/>
    <n v="2453.7539999999999"/>
    <n v="0.39207619887638295"/>
    <n v="6258.36"/>
    <s v="Credit Card"/>
    <s v="SAVE10"/>
    <x v="0"/>
    <n v="1"/>
    <x v="1"/>
    <x v="292"/>
    <s v="Cust 8704"/>
    <n v="49.59"/>
    <d v="2023-01-11T00:00:00"/>
    <d v="2023-01-20T00:00:00"/>
    <s v="Eric"/>
    <n v="9"/>
  </r>
  <r>
    <d v="2023-07-04T00:00:00"/>
    <x v="8"/>
    <x v="0"/>
    <x v="11"/>
    <x v="2"/>
    <x v="2"/>
    <n v="17"/>
    <n v="468.19"/>
    <s v="Store D"/>
    <x v="1"/>
    <n v="0.05"/>
    <x v="4"/>
    <n v="7561.2684999999992"/>
    <n v="4775.5379999999996"/>
    <n v="2771.8904999999995"/>
    <n v="0.36659067192231037"/>
    <n v="7561.2684999999992"/>
    <s v="Cash"/>
    <m/>
    <x v="1"/>
    <n v="0"/>
    <x v="0"/>
    <x v="293"/>
    <s v="Cust 3528"/>
    <n v="13.84"/>
    <d v="2023-07-04T00:00:00"/>
    <d v="2023-07-07T00:00:00"/>
    <s v="Ryan"/>
    <n v="3"/>
  </r>
  <r>
    <d v="2025-03-08T00:00:00"/>
    <x v="6"/>
    <x v="2"/>
    <x v="8"/>
    <x v="3"/>
    <x v="4"/>
    <n v="9"/>
    <n v="8.81"/>
    <s v="Store D"/>
    <x v="1"/>
    <n v="0.15"/>
    <x v="1"/>
    <n v="67.396500000000003"/>
    <n v="47.574000000000005"/>
    <n v="-22.877500000000005"/>
    <n v="-0.33944641042190626"/>
    <n v="67.396500000000003"/>
    <s v="Online"/>
    <s v="SAVE10"/>
    <x v="0"/>
    <n v="0"/>
    <x v="0"/>
    <x v="294"/>
    <s v="Cust 3907"/>
    <n v="42.7"/>
    <d v="2025-03-08T00:00:00"/>
    <d v="2025-03-18T00:00:00"/>
    <s v="Cameron"/>
    <n v="10"/>
  </r>
  <r>
    <d v="2025-02-10T00:00:00"/>
    <x v="0"/>
    <x v="2"/>
    <x v="3"/>
    <x v="1"/>
    <x v="3"/>
    <n v="6"/>
    <n v="521.1"/>
    <s v="Store A"/>
    <x v="0"/>
    <n v="0.15"/>
    <x v="2"/>
    <n v="2657.61"/>
    <n v="1875.96"/>
    <n v="750.5100000000001"/>
    <n v="0.28240035219614618"/>
    <n v="2657.61"/>
    <s v="Cash"/>
    <m/>
    <x v="1"/>
    <n v="0"/>
    <x v="0"/>
    <x v="295"/>
    <s v="Cust 9005"/>
    <n v="31.14"/>
    <d v="2025-02-10T00:00:00"/>
    <d v="2025-02-12T00:00:00"/>
    <s v="Sophie"/>
    <n v="2"/>
  </r>
  <r>
    <d v="2025-03-17T00:00:00"/>
    <x v="6"/>
    <x v="2"/>
    <x v="8"/>
    <x v="4"/>
    <x v="4"/>
    <n v="10"/>
    <n v="289.91000000000003"/>
    <s v="Store C"/>
    <x v="1"/>
    <n v="0.1"/>
    <x v="4"/>
    <n v="2609.1900000000005"/>
    <n v="1739.46"/>
    <n v="836.77000000000044"/>
    <n v="0.32070106048237201"/>
    <n v="2609.190000000001"/>
    <s v="Cash"/>
    <s v="SAVE10"/>
    <x v="0"/>
    <n v="0"/>
    <x v="0"/>
    <x v="296"/>
    <s v="Cust 3635"/>
    <n v="32.96"/>
    <d v="2025-03-17T00:00:00"/>
    <d v="2025-03-21T00:00:00"/>
    <s v="Wendy"/>
    <n v="4"/>
  </r>
  <r>
    <d v="2023-11-09T00:00:00"/>
    <x v="9"/>
    <x v="0"/>
    <x v="15"/>
    <x v="0"/>
    <x v="6"/>
    <n v="3"/>
    <n v="142.27000000000001"/>
    <s v="Store D"/>
    <x v="1"/>
    <n v="0.05"/>
    <x v="5"/>
    <n v="405.46950000000004"/>
    <n v="256.08600000000001"/>
    <n v="116.58350000000003"/>
    <n v="0.28752717528692051"/>
    <n v="405.46949999999998"/>
    <s v="Online"/>
    <s v="SAVE10"/>
    <x v="0"/>
    <n v="0"/>
    <x v="0"/>
    <x v="297"/>
    <s v="Cust 2122"/>
    <n v="32.799999999999997"/>
    <d v="2023-11-09T00:00:00"/>
    <d v="2023-11-15T00:00:00"/>
    <s v="Eric"/>
    <n v="6"/>
  </r>
  <r>
    <d v="2023-11-30T00:00:00"/>
    <x v="9"/>
    <x v="0"/>
    <x v="15"/>
    <x v="3"/>
    <x v="6"/>
    <n v="15"/>
    <n v="354.09"/>
    <s v="Store B"/>
    <x v="1"/>
    <n v="0.05"/>
    <x v="3"/>
    <n v="5045.7824999999993"/>
    <n v="3186.8099999999995"/>
    <n v="1833.6724999999999"/>
    <n v="0.36340696413291695"/>
    <n v="5045.7824999999993"/>
    <s v="Online"/>
    <m/>
    <x v="1"/>
    <n v="1"/>
    <x v="1"/>
    <x v="298"/>
    <s v="Cust 4467"/>
    <n v="25.3"/>
    <d v="2023-11-30T00:00:00"/>
    <d v="2023-12-08T00:00:00"/>
    <s v="Cameron"/>
    <n v="8"/>
  </r>
  <r>
    <d v="2024-08-15T00:00:00"/>
    <x v="10"/>
    <x v="1"/>
    <x v="29"/>
    <x v="1"/>
    <x v="5"/>
    <n v="20"/>
    <n v="358.57"/>
    <s v="Store B"/>
    <x v="0"/>
    <n v="0"/>
    <x v="1"/>
    <n v="7171.4"/>
    <n v="4302.84"/>
    <n v="2847.4499999999994"/>
    <n v="0.39705636277435363"/>
    <n v="7171.4"/>
    <s v="Debit Card"/>
    <s v="FREESHIP"/>
    <x v="0"/>
    <n v="1"/>
    <x v="1"/>
    <x v="299"/>
    <s v="Cust 6146"/>
    <n v="21.11"/>
    <d v="2024-08-15T00:00:00"/>
    <d v="2024-08-20T00:00:00"/>
    <s v="Sophie"/>
    <n v="5"/>
  </r>
  <r>
    <d v="2023-03-21T00:00:00"/>
    <x v="6"/>
    <x v="0"/>
    <x v="17"/>
    <x v="4"/>
    <x v="5"/>
    <n v="16"/>
    <n v="33.18"/>
    <s v="Store C"/>
    <x v="1"/>
    <n v="0.05"/>
    <x v="0"/>
    <n v="504.33599999999996"/>
    <n v="318.52799999999996"/>
    <n v="162.86799999999999"/>
    <n v="0.32293550331525017"/>
    <n v="504.33600000000001"/>
    <s v="Online"/>
    <s v="SAVE10"/>
    <x v="0"/>
    <n v="0"/>
    <x v="0"/>
    <x v="300"/>
    <s v="Cust 4001"/>
    <n v="22.94"/>
    <d v="2023-03-21T00:00:00"/>
    <d v="2023-03-26T00:00:00"/>
    <s v="Wendy"/>
    <n v="5"/>
  </r>
  <r>
    <d v="2023-10-26T00:00:00"/>
    <x v="5"/>
    <x v="0"/>
    <x v="19"/>
    <x v="4"/>
    <x v="4"/>
    <n v="2"/>
    <n v="124.4"/>
    <s v="Store B"/>
    <x v="1"/>
    <n v="0"/>
    <x v="0"/>
    <n v="248.8"/>
    <n v="149.28"/>
    <n v="62.470000000000013"/>
    <n v="0.25108520900321546"/>
    <n v="248.8"/>
    <s v="Online"/>
    <m/>
    <x v="1"/>
    <n v="0"/>
    <x v="0"/>
    <x v="301"/>
    <s v="Cust 3365"/>
    <n v="37.049999999999997"/>
    <d v="2023-10-26T00:00:00"/>
    <d v="2023-10-31T00:00:00"/>
    <s v="Wendy"/>
    <n v="5"/>
  </r>
  <r>
    <d v="2023-11-03T00:00:00"/>
    <x v="9"/>
    <x v="0"/>
    <x v="15"/>
    <x v="4"/>
    <x v="1"/>
    <n v="12"/>
    <n v="17.760000000000002"/>
    <s v="Store D"/>
    <x v="1"/>
    <n v="0.1"/>
    <x v="3"/>
    <n v="191.80800000000002"/>
    <n v="127.87200000000001"/>
    <n v="51.756000000000007"/>
    <n v="0.26983233233233234"/>
    <n v="191.80799999999999"/>
    <s v="Online"/>
    <s v="FREESHIP"/>
    <x v="0"/>
    <n v="0"/>
    <x v="0"/>
    <x v="302"/>
    <s v="Cust 2194"/>
    <n v="12.18"/>
    <d v="2023-11-03T00:00:00"/>
    <d v="2023-11-11T00:00:00"/>
    <s v="Wendy"/>
    <n v="8"/>
  </r>
  <r>
    <d v="2025-01-30T00:00:00"/>
    <x v="4"/>
    <x v="2"/>
    <x v="12"/>
    <x v="2"/>
    <x v="3"/>
    <n v="16"/>
    <n v="345.53"/>
    <s v="Store C"/>
    <x v="1"/>
    <n v="0.15"/>
    <x v="2"/>
    <n v="4699.2079999999996"/>
    <n v="3317.0879999999997"/>
    <n v="1368.6899999999998"/>
    <n v="0.29125971865897399"/>
    <n v="4699.2079999999996"/>
    <s v="Gift Card"/>
    <s v="SAVE10"/>
    <x v="0"/>
    <n v="0"/>
    <x v="0"/>
    <x v="303"/>
    <s v="Cust 7942"/>
    <n v="13.43"/>
    <d v="2025-01-30T00:00:00"/>
    <d v="2025-02-05T00:00:00"/>
    <s v="Ryan"/>
    <n v="6"/>
  </r>
  <r>
    <d v="2024-01-25T00:00:00"/>
    <x v="4"/>
    <x v="1"/>
    <x v="24"/>
    <x v="4"/>
    <x v="0"/>
    <n v="13"/>
    <n v="453.48"/>
    <s v="Store A"/>
    <x v="0"/>
    <n v="0.05"/>
    <x v="1"/>
    <n v="5600.4779999999992"/>
    <n v="3537.1440000000002"/>
    <n v="2017.053999999999"/>
    <n v="0.36015747227290229"/>
    <n v="5600.4779999999992"/>
    <s v="Gift Card"/>
    <s v="SAVE10"/>
    <x v="0"/>
    <n v="0"/>
    <x v="0"/>
    <x v="304"/>
    <s v="Cust 8451"/>
    <n v="46.28"/>
    <d v="2024-01-25T00:00:00"/>
    <d v="2024-02-03T00:00:00"/>
    <s v="Wendy"/>
    <n v="9"/>
  </r>
  <r>
    <d v="2025-03-29T00:00:00"/>
    <x v="6"/>
    <x v="2"/>
    <x v="8"/>
    <x v="1"/>
    <x v="0"/>
    <n v="10"/>
    <n v="277.74"/>
    <s v="Store B"/>
    <x v="1"/>
    <n v="0.15"/>
    <x v="3"/>
    <n v="2360.79"/>
    <n v="1666.44"/>
    <n v="659.32999999999993"/>
    <n v="0.27928362963245351"/>
    <n v="2360.79"/>
    <s v="Gift Card"/>
    <s v="SAVE10"/>
    <x v="0"/>
    <n v="1"/>
    <x v="1"/>
    <x v="305"/>
    <s v="Cust 4238"/>
    <n v="35.020000000000003"/>
    <d v="2025-03-29T00:00:00"/>
    <d v="2025-04-02T00:00:00"/>
    <s v="Sophie"/>
    <n v="4"/>
  </r>
  <r>
    <d v="2024-11-02T00:00:00"/>
    <x v="9"/>
    <x v="1"/>
    <x v="20"/>
    <x v="3"/>
    <x v="3"/>
    <n v="16"/>
    <n v="89.76"/>
    <s v="Store A"/>
    <x v="0"/>
    <n v="0"/>
    <x v="1"/>
    <n v="1436.16"/>
    <n v="861.69600000000003"/>
    <n v="529.77400000000011"/>
    <n v="0.36888229723707672"/>
    <n v="1436.16"/>
    <s v="Debit Card"/>
    <s v="WINTER15"/>
    <x v="0"/>
    <n v="1"/>
    <x v="1"/>
    <x v="306"/>
    <s v="Cust 2529"/>
    <n v="44.69"/>
    <d v="2024-11-02T00:00:00"/>
    <d v="2024-11-09T00:00:00"/>
    <s v="Cameron"/>
    <n v="7"/>
  </r>
  <r>
    <d v="2024-06-30T00:00:00"/>
    <x v="3"/>
    <x v="1"/>
    <x v="23"/>
    <x v="3"/>
    <x v="3"/>
    <n v="11"/>
    <n v="535.37"/>
    <s v="Store D"/>
    <x v="0"/>
    <n v="0"/>
    <x v="2"/>
    <n v="5889.07"/>
    <n v="3533.442"/>
    <n v="2319.6679999999997"/>
    <n v="0.39389377270095277"/>
    <n v="5889.07"/>
    <s v="Cash"/>
    <m/>
    <x v="1"/>
    <n v="0"/>
    <x v="0"/>
    <x v="307"/>
    <s v="Cust 7057"/>
    <n v="35.96"/>
    <d v="2024-06-30T00:00:00"/>
    <d v="2024-07-09T00:00:00"/>
    <s v="Cameron"/>
    <n v="9"/>
  </r>
  <r>
    <d v="2023-01-11T00:00:00"/>
    <x v="4"/>
    <x v="0"/>
    <x v="6"/>
    <x v="1"/>
    <x v="5"/>
    <n v="9"/>
    <n v="15.58"/>
    <s v="Store D"/>
    <x v="1"/>
    <n v="0.1"/>
    <x v="2"/>
    <n v="126.19800000000001"/>
    <n v="84.131999999999991"/>
    <n v="14.256000000000018"/>
    <n v="0.11296534017971772"/>
    <n v="126.19799999999999"/>
    <s v="Gift Card"/>
    <s v="FREESHIP"/>
    <x v="0"/>
    <n v="1"/>
    <x v="1"/>
    <x v="308"/>
    <s v="Cust 9069"/>
    <n v="27.81"/>
    <d v="2023-01-11T00:00:00"/>
    <d v="2023-01-19T00:00:00"/>
    <s v="Sophie"/>
    <n v="8"/>
  </r>
  <r>
    <d v="2025-06-05T00:00:00"/>
    <x v="3"/>
    <x v="2"/>
    <x v="16"/>
    <x v="2"/>
    <x v="2"/>
    <n v="13"/>
    <n v="466.54"/>
    <s v="Store C"/>
    <x v="0"/>
    <n v="0"/>
    <x v="0"/>
    <n v="6065.02"/>
    <n v="3639.0119999999997"/>
    <n v="2407.3780000000006"/>
    <n v="0.39692828712848438"/>
    <n v="6065.02"/>
    <s v="Cash"/>
    <s v="FREESHIP"/>
    <x v="0"/>
    <n v="0"/>
    <x v="0"/>
    <x v="309"/>
    <s v="Cust 5858"/>
    <n v="18.63"/>
    <d v="2025-06-05T00:00:00"/>
    <d v="2025-06-14T00:00:00"/>
    <s v="Ryan"/>
    <n v="9"/>
  </r>
  <r>
    <d v="2024-03-21T00:00:00"/>
    <x v="6"/>
    <x v="1"/>
    <x v="25"/>
    <x v="2"/>
    <x v="4"/>
    <n v="16"/>
    <n v="593"/>
    <s v="Store D"/>
    <x v="1"/>
    <n v="0.1"/>
    <x v="0"/>
    <n v="8539.2000000000007"/>
    <n v="5692.8"/>
    <n v="2827.6300000000006"/>
    <n v="0.33113523515083382"/>
    <n v="8539.2000000000007"/>
    <s v="Gift Card"/>
    <s v="SAVE10"/>
    <x v="0"/>
    <n v="0"/>
    <x v="0"/>
    <x v="310"/>
    <s v="Cust 2712"/>
    <n v="18.77"/>
    <d v="2024-03-21T00:00:00"/>
    <d v="2024-03-24T00:00:00"/>
    <s v="Ryan"/>
    <n v="3"/>
  </r>
  <r>
    <d v="2023-08-31T00:00:00"/>
    <x v="10"/>
    <x v="0"/>
    <x v="18"/>
    <x v="1"/>
    <x v="2"/>
    <n v="6"/>
    <n v="567.36"/>
    <s v="Store C"/>
    <x v="0"/>
    <n v="0.05"/>
    <x v="1"/>
    <n v="3233.9519999999998"/>
    <n v="2042.4960000000001"/>
    <n v="1145.4759999999997"/>
    <n v="0.35420315453043205"/>
    <n v="3233.9520000000002"/>
    <s v="Gift Card"/>
    <s v="WINTER15"/>
    <x v="0"/>
    <n v="0"/>
    <x v="0"/>
    <x v="311"/>
    <s v="Cust 7052"/>
    <n v="45.98"/>
    <d v="2023-08-31T00:00:00"/>
    <d v="2023-09-08T00:00:00"/>
    <s v="Sophie"/>
    <n v="8"/>
  </r>
  <r>
    <d v="2024-10-07T00:00:00"/>
    <x v="5"/>
    <x v="1"/>
    <x v="7"/>
    <x v="1"/>
    <x v="1"/>
    <n v="17"/>
    <n v="523.04"/>
    <s v="Store A"/>
    <x v="1"/>
    <n v="0.05"/>
    <x v="0"/>
    <n v="8447.0959999999995"/>
    <n v="5335.0079999999989"/>
    <n v="3074.7080000000005"/>
    <n v="0.36399586319369409"/>
    <n v="8447.0959999999995"/>
    <s v="Debit Card"/>
    <s v="FREESHIP"/>
    <x v="0"/>
    <n v="0"/>
    <x v="0"/>
    <x v="312"/>
    <s v="Cust 9397"/>
    <n v="37.380000000000003"/>
    <d v="2024-10-07T00:00:00"/>
    <d v="2024-10-17T00:00:00"/>
    <s v="Sophie"/>
    <n v="10"/>
  </r>
  <r>
    <d v="2023-04-12T00:00:00"/>
    <x v="7"/>
    <x v="0"/>
    <x v="21"/>
    <x v="2"/>
    <x v="0"/>
    <n v="17"/>
    <n v="376.4"/>
    <s v="Store C"/>
    <x v="0"/>
    <n v="0"/>
    <x v="1"/>
    <n v="6398.7999999999993"/>
    <n v="3839.2799999999997"/>
    <n v="2526.1399999999994"/>
    <n v="0.39478339688691627"/>
    <n v="6398.7999999999993"/>
    <s v="Debit Card"/>
    <s v="FREESHIP"/>
    <x v="0"/>
    <n v="0"/>
    <x v="0"/>
    <x v="313"/>
    <s v="Cust 4614"/>
    <n v="33.380000000000003"/>
    <d v="2023-04-12T00:00:00"/>
    <d v="2023-04-15T00:00:00"/>
    <s v="Ryan"/>
    <n v="3"/>
  </r>
  <r>
    <d v="2023-11-06T00:00:00"/>
    <x v="9"/>
    <x v="0"/>
    <x v="15"/>
    <x v="1"/>
    <x v="6"/>
    <n v="5"/>
    <n v="95.19"/>
    <s v="Store A"/>
    <x v="1"/>
    <n v="0.15"/>
    <x v="2"/>
    <n v="404.5575"/>
    <n v="285.57"/>
    <n v="70.437500000000014"/>
    <n v="0.1741099843656341"/>
    <n v="404.5575"/>
    <s v="Credit Card"/>
    <s v="WINTER15"/>
    <x v="0"/>
    <n v="0"/>
    <x v="0"/>
    <x v="314"/>
    <s v="Cust 1573"/>
    <n v="48.55"/>
    <d v="2023-11-06T00:00:00"/>
    <d v="2023-11-16T00:00:00"/>
    <s v="Sophie"/>
    <n v="10"/>
  </r>
  <r>
    <d v="2023-04-28T00:00:00"/>
    <x v="7"/>
    <x v="0"/>
    <x v="21"/>
    <x v="4"/>
    <x v="2"/>
    <n v="2"/>
    <n v="210.71"/>
    <s v="Store D"/>
    <x v="0"/>
    <n v="0.15"/>
    <x v="4"/>
    <n v="358.20699999999999"/>
    <n v="252.852"/>
    <n v="97.574999999999989"/>
    <n v="0.27239836184105837"/>
    <n v="358.20699999999999"/>
    <s v="Credit Card"/>
    <s v="SAVE10"/>
    <x v="0"/>
    <n v="0"/>
    <x v="0"/>
    <x v="315"/>
    <s v="Cust 5660"/>
    <n v="7.78"/>
    <d v="2023-04-28T00:00:00"/>
    <d v="2023-05-08T00:00:00"/>
    <s v="Wendy"/>
    <n v="10"/>
  </r>
  <r>
    <d v="2023-12-18T00:00:00"/>
    <x v="1"/>
    <x v="0"/>
    <x v="27"/>
    <x v="4"/>
    <x v="6"/>
    <n v="7"/>
    <n v="393.39"/>
    <s v="Store B"/>
    <x v="1"/>
    <n v="0.1"/>
    <x v="1"/>
    <n v="2478.357"/>
    <n v="1652.2379999999998"/>
    <n v="791.76900000000012"/>
    <n v="0.31947334463921062"/>
    <n v="2478.357"/>
    <s v="Cash"/>
    <s v="SAVE10"/>
    <x v="0"/>
    <n v="0"/>
    <x v="0"/>
    <x v="316"/>
    <s v="Cust 3952"/>
    <n v="34.35"/>
    <d v="2023-12-18T00:00:00"/>
    <d v="2023-12-21T00:00:00"/>
    <s v="Wendy"/>
    <n v="3"/>
  </r>
  <r>
    <d v="2024-10-10T00:00:00"/>
    <x v="5"/>
    <x v="1"/>
    <x v="7"/>
    <x v="1"/>
    <x v="1"/>
    <n v="13"/>
    <n v="114.03"/>
    <s v="Store A"/>
    <x v="1"/>
    <n v="0"/>
    <x v="5"/>
    <n v="1482.39"/>
    <n v="889.43399999999986"/>
    <n v="549.14600000000019"/>
    <n v="0.37044637376129097"/>
    <n v="1482.39"/>
    <s v="Cash"/>
    <m/>
    <x v="1"/>
    <n v="0"/>
    <x v="0"/>
    <x v="317"/>
    <s v="Cust 5407"/>
    <n v="43.81"/>
    <d v="2024-10-10T00:00:00"/>
    <d v="2024-10-16T00:00:00"/>
    <s v="Sophie"/>
    <n v="6"/>
  </r>
  <r>
    <d v="2023-02-05T00:00:00"/>
    <x v="0"/>
    <x v="0"/>
    <x v="0"/>
    <x v="2"/>
    <x v="5"/>
    <n v="18"/>
    <n v="336.48"/>
    <s v="Store B"/>
    <x v="1"/>
    <n v="0"/>
    <x v="2"/>
    <n v="6056.64"/>
    <n v="3633.9839999999999"/>
    <n v="2404.0660000000003"/>
    <n v="0.39693064141173984"/>
    <n v="6056.64"/>
    <s v="Online"/>
    <s v="WINTER15"/>
    <x v="0"/>
    <n v="0"/>
    <x v="0"/>
    <x v="318"/>
    <s v="Cust 9595"/>
    <n v="18.59"/>
    <d v="2023-02-05T00:00:00"/>
    <d v="2023-02-07T00:00:00"/>
    <s v="Ryan"/>
    <n v="2"/>
  </r>
  <r>
    <d v="2024-08-04T00:00:00"/>
    <x v="10"/>
    <x v="1"/>
    <x v="29"/>
    <x v="3"/>
    <x v="4"/>
    <n v="9"/>
    <n v="24.44"/>
    <s v="Store C"/>
    <x v="0"/>
    <n v="0.15"/>
    <x v="0"/>
    <n v="186.96600000000001"/>
    <n v="131.976"/>
    <n v="32.930000000000007"/>
    <n v="0.17612828000812986"/>
    <n v="186.96600000000001"/>
    <s v="Gift Card"/>
    <s v="SAVE10"/>
    <x v="0"/>
    <n v="1"/>
    <x v="1"/>
    <x v="319"/>
    <s v="Cust 3245"/>
    <n v="22.06"/>
    <d v="2024-08-04T00:00:00"/>
    <d v="2024-08-14T00:00:00"/>
    <s v="Cameron"/>
    <n v="10"/>
  </r>
  <r>
    <d v="2024-10-23T00:00:00"/>
    <x v="5"/>
    <x v="1"/>
    <x v="7"/>
    <x v="3"/>
    <x v="5"/>
    <n v="12"/>
    <n v="352.2"/>
    <s v="Store A"/>
    <x v="1"/>
    <n v="0.05"/>
    <x v="0"/>
    <n v="4015.0799999999995"/>
    <n v="2535.84"/>
    <n v="1460.8499999999992"/>
    <n v="0.36384082010819196"/>
    <n v="4015.079999999999"/>
    <s v="Credit Card"/>
    <s v="WINTER15"/>
    <x v="0"/>
    <n v="0"/>
    <x v="0"/>
    <x v="320"/>
    <s v="Cust 7180"/>
    <n v="18.39"/>
    <d v="2024-10-23T00:00:00"/>
    <d v="2024-11-01T00:00:00"/>
    <s v="Cameron"/>
    <n v="9"/>
  </r>
  <r>
    <d v="2024-02-13T00:00:00"/>
    <x v="0"/>
    <x v="1"/>
    <x v="5"/>
    <x v="4"/>
    <x v="4"/>
    <n v="7"/>
    <n v="353.99"/>
    <s v="Store C"/>
    <x v="0"/>
    <n v="0.05"/>
    <x v="3"/>
    <n v="2354.0335"/>
    <n v="1486.758"/>
    <n v="861.34550000000002"/>
    <n v="0.36590197208323499"/>
    <n v="2354.0335"/>
    <s v="Gift Card"/>
    <s v="FREESHIP"/>
    <x v="0"/>
    <n v="0"/>
    <x v="0"/>
    <x v="321"/>
    <s v="Cust 5973"/>
    <n v="5.93"/>
    <d v="2024-02-13T00:00:00"/>
    <d v="2024-02-20T00:00:00"/>
    <s v="Wendy"/>
    <n v="7"/>
  </r>
  <r>
    <d v="2024-06-03T00:00:00"/>
    <x v="3"/>
    <x v="1"/>
    <x v="23"/>
    <x v="1"/>
    <x v="5"/>
    <n v="15"/>
    <n v="10.220000000000001"/>
    <s v="Store C"/>
    <x v="1"/>
    <n v="0"/>
    <x v="1"/>
    <n v="153.30000000000001"/>
    <n v="91.98"/>
    <n v="25.050000000000004"/>
    <n v="0.16340508806262233"/>
    <n v="153.30000000000001"/>
    <s v="Gift Card"/>
    <s v="FREESHIP"/>
    <x v="0"/>
    <n v="0"/>
    <x v="0"/>
    <x v="322"/>
    <s v="Cust 4310"/>
    <n v="36.270000000000003"/>
    <d v="2024-06-03T00:00:00"/>
    <d v="2024-06-07T00:00:00"/>
    <s v="Sophie"/>
    <n v="4"/>
  </r>
  <r>
    <d v="2023-04-14T00:00:00"/>
    <x v="7"/>
    <x v="0"/>
    <x v="21"/>
    <x v="1"/>
    <x v="6"/>
    <n v="17"/>
    <n v="464.16"/>
    <s v="Store A"/>
    <x v="1"/>
    <n v="0.15"/>
    <x v="3"/>
    <n v="6707.1120000000001"/>
    <n v="4734.4319999999998"/>
    <n v="1925.8500000000004"/>
    <n v="0.28713550631031665"/>
    <n v="6707.1120000000001"/>
    <s v="Debit Card"/>
    <s v="FREESHIP"/>
    <x v="0"/>
    <n v="1"/>
    <x v="1"/>
    <x v="323"/>
    <s v="Cust 6243"/>
    <n v="46.83"/>
    <d v="2023-04-14T00:00:00"/>
    <d v="2023-04-18T00:00:00"/>
    <s v="Sophie"/>
    <n v="4"/>
  </r>
  <r>
    <d v="2024-10-19T00:00:00"/>
    <x v="5"/>
    <x v="1"/>
    <x v="7"/>
    <x v="3"/>
    <x v="0"/>
    <n v="16"/>
    <n v="436.31"/>
    <s v="Store C"/>
    <x v="1"/>
    <n v="0.05"/>
    <x v="4"/>
    <n v="6631.9119999999994"/>
    <n v="4188.576"/>
    <n v="2395.7259999999992"/>
    <n v="0.36124212745886847"/>
    <n v="6631.9119999999994"/>
    <s v="Online"/>
    <m/>
    <x v="1"/>
    <n v="0"/>
    <x v="0"/>
    <x v="324"/>
    <s v="Cust 2448"/>
    <n v="47.61"/>
    <d v="2024-10-19T00:00:00"/>
    <d v="2024-10-23T00:00:00"/>
    <s v="Cameron"/>
    <n v="4"/>
  </r>
  <r>
    <d v="2023-12-18T00:00:00"/>
    <x v="1"/>
    <x v="0"/>
    <x v="27"/>
    <x v="1"/>
    <x v="0"/>
    <n v="9"/>
    <n v="219.93"/>
    <s v="Store B"/>
    <x v="0"/>
    <n v="0.05"/>
    <x v="5"/>
    <n v="1880.4014999999999"/>
    <n v="1187.6220000000001"/>
    <n v="647.9994999999999"/>
    <n v="0.34460698951793006"/>
    <n v="1880.4014999999999"/>
    <s v="Gift Card"/>
    <s v="FREESHIP"/>
    <x v="0"/>
    <n v="0"/>
    <x v="0"/>
    <x v="325"/>
    <s v="Cust 9386"/>
    <n v="44.78"/>
    <d v="2023-12-18T00:00:00"/>
    <d v="2023-12-22T00:00:00"/>
    <s v="Sophie"/>
    <n v="4"/>
  </r>
  <r>
    <d v="2023-08-31T00:00:00"/>
    <x v="10"/>
    <x v="0"/>
    <x v="18"/>
    <x v="2"/>
    <x v="0"/>
    <n v="5"/>
    <n v="311.22000000000003"/>
    <s v="Store A"/>
    <x v="0"/>
    <n v="0.15"/>
    <x v="4"/>
    <n v="1322.6850000000002"/>
    <n v="933.66"/>
    <n v="352.04500000000019"/>
    <n v="0.26615936523057276"/>
    <n v="1322.6849999999999"/>
    <s v="Cash"/>
    <s v="FREESHIP"/>
    <x v="0"/>
    <n v="0"/>
    <x v="0"/>
    <x v="326"/>
    <s v="Cust 2227"/>
    <n v="36.979999999999997"/>
    <d v="2023-08-31T00:00:00"/>
    <d v="2023-09-06T00:00:00"/>
    <s v="Ryan"/>
    <n v="6"/>
  </r>
  <r>
    <d v="2023-09-19T00:00:00"/>
    <x v="11"/>
    <x v="0"/>
    <x v="22"/>
    <x v="1"/>
    <x v="0"/>
    <n v="4"/>
    <n v="547.55999999999995"/>
    <s v="Store D"/>
    <x v="1"/>
    <n v="0.15"/>
    <x v="2"/>
    <n v="1861.7039999999997"/>
    <n v="1314.1439999999998"/>
    <n v="521.67999999999995"/>
    <n v="0.28021640389664526"/>
    <n v="1861.704"/>
    <s v="Gift Card"/>
    <m/>
    <x v="1"/>
    <n v="0"/>
    <x v="0"/>
    <x v="327"/>
    <s v="Cust 3803"/>
    <n v="25.88"/>
    <d v="2023-09-19T00:00:00"/>
    <d v="2023-09-26T00:00:00"/>
    <s v="Sophie"/>
    <n v="7"/>
  </r>
  <r>
    <d v="2023-02-27T00:00:00"/>
    <x v="0"/>
    <x v="0"/>
    <x v="0"/>
    <x v="3"/>
    <x v="0"/>
    <n v="9"/>
    <n v="52.69"/>
    <s v="Store D"/>
    <x v="1"/>
    <n v="0.15"/>
    <x v="4"/>
    <n v="403.07849999999996"/>
    <n v="284.52599999999995"/>
    <n v="103.96250000000001"/>
    <n v="0.25792122378147186"/>
    <n v="403.07850000000002"/>
    <s v="Online"/>
    <s v="SAVE10"/>
    <x v="0"/>
    <n v="0"/>
    <x v="0"/>
    <x v="328"/>
    <s v="Cust 1236"/>
    <n v="14.59"/>
    <d v="2023-02-27T00:00:00"/>
    <d v="2023-03-04T00:00:00"/>
    <s v="Cameron"/>
    <n v="5"/>
  </r>
  <r>
    <d v="2024-01-28T00:00:00"/>
    <x v="4"/>
    <x v="1"/>
    <x v="24"/>
    <x v="1"/>
    <x v="5"/>
    <n v="9"/>
    <n v="434.74"/>
    <s v="Store D"/>
    <x v="0"/>
    <n v="0.1"/>
    <x v="5"/>
    <n v="3521.3939999999998"/>
    <n v="2347.596"/>
    <n v="1153.6879999999999"/>
    <n v="0.32762252676070897"/>
    <n v="3521.3939999999998"/>
    <s v="Online"/>
    <s v="SAVE10"/>
    <x v="0"/>
    <n v="0"/>
    <x v="0"/>
    <x v="329"/>
    <s v="Cust 2669"/>
    <n v="20.11"/>
    <d v="2024-01-28T00:00:00"/>
    <d v="2024-01-31T00:00:00"/>
    <s v="Sophie"/>
    <n v="3"/>
  </r>
  <r>
    <d v="2025-05-06T00:00:00"/>
    <x v="2"/>
    <x v="2"/>
    <x v="13"/>
    <x v="1"/>
    <x v="4"/>
    <n v="9"/>
    <n v="124.17"/>
    <s v="Store C"/>
    <x v="0"/>
    <n v="0"/>
    <x v="0"/>
    <n v="1117.53"/>
    <n v="670.51799999999992"/>
    <n v="433.70200000000006"/>
    <n v="0.38808980519538633"/>
    <n v="1117.53"/>
    <s v="Debit Card"/>
    <s v="WINTER15"/>
    <x v="0"/>
    <n v="0"/>
    <x v="0"/>
    <x v="330"/>
    <s v="Cust 3746"/>
    <n v="13.31"/>
    <d v="2025-05-06T00:00:00"/>
    <d v="2025-05-10T00:00:00"/>
    <s v="Sophie"/>
    <n v="4"/>
  </r>
  <r>
    <d v="2024-09-13T00:00:00"/>
    <x v="11"/>
    <x v="1"/>
    <x v="26"/>
    <x v="0"/>
    <x v="4"/>
    <n v="2"/>
    <n v="375.48"/>
    <s v="Store D"/>
    <x v="1"/>
    <n v="0.05"/>
    <x v="4"/>
    <n v="713.41200000000003"/>
    <n v="450.57600000000002"/>
    <n v="236.44600000000003"/>
    <n v="0.33142980493739943"/>
    <n v="713.41200000000003"/>
    <s v="Credit Card"/>
    <s v="FREESHIP"/>
    <x v="0"/>
    <n v="0"/>
    <x v="0"/>
    <x v="331"/>
    <s v="Cust 9694"/>
    <n v="26.39"/>
    <d v="2024-09-13T00:00:00"/>
    <d v="2024-09-15T00:00:00"/>
    <s v="Eric"/>
    <n v="2"/>
  </r>
  <r>
    <d v="2023-05-25T00:00:00"/>
    <x v="2"/>
    <x v="0"/>
    <x v="2"/>
    <x v="0"/>
    <x v="6"/>
    <n v="13"/>
    <n v="211.06"/>
    <s v="Store B"/>
    <x v="1"/>
    <n v="0.1"/>
    <x v="5"/>
    <n v="2469.402"/>
    <n v="1646.268"/>
    <n v="803.55399999999997"/>
    <n v="0.32540428816369305"/>
    <n v="2469.402"/>
    <s v="Gift Card"/>
    <m/>
    <x v="1"/>
    <n v="1"/>
    <x v="1"/>
    <x v="332"/>
    <s v="Cust 4993"/>
    <n v="19.579999999999998"/>
    <d v="2023-05-25T00:00:00"/>
    <d v="2023-05-29T00:00:00"/>
    <s v="Eric"/>
    <n v="4"/>
  </r>
  <r>
    <d v="2024-09-26T00:00:00"/>
    <x v="11"/>
    <x v="1"/>
    <x v="26"/>
    <x v="1"/>
    <x v="5"/>
    <n v="7"/>
    <n v="88.87"/>
    <s v="Store C"/>
    <x v="1"/>
    <n v="0"/>
    <x v="1"/>
    <n v="622.09"/>
    <n v="373.25400000000002"/>
    <n v="240.476"/>
    <n v="0.38656143001816456"/>
    <n v="622.09"/>
    <s v="Online"/>
    <s v="SAVE10"/>
    <x v="0"/>
    <n v="0"/>
    <x v="0"/>
    <x v="333"/>
    <s v="Cust 1271"/>
    <n v="8.36"/>
    <d v="2024-09-26T00:00:00"/>
    <d v="2024-10-01T00:00:00"/>
    <s v="Sophie"/>
    <n v="5"/>
  </r>
  <r>
    <d v="2023-02-13T00:00:00"/>
    <x v="0"/>
    <x v="0"/>
    <x v="0"/>
    <x v="1"/>
    <x v="1"/>
    <n v="5"/>
    <n v="254.24"/>
    <s v="Store B"/>
    <x v="0"/>
    <n v="0.05"/>
    <x v="5"/>
    <n v="1207.6400000000001"/>
    <n v="762.72"/>
    <n v="434.95000000000005"/>
    <n v="0.36016528104401974"/>
    <n v="1207.6400000000001"/>
    <s v="Online"/>
    <m/>
    <x v="1"/>
    <n v="0"/>
    <x v="0"/>
    <x v="334"/>
    <s v="Cust 3042"/>
    <n v="9.9700000000000006"/>
    <d v="2023-02-13T00:00:00"/>
    <d v="2023-02-18T00:00:00"/>
    <s v="Sophie"/>
    <n v="5"/>
  </r>
  <r>
    <d v="2024-06-20T00:00:00"/>
    <x v="3"/>
    <x v="1"/>
    <x v="23"/>
    <x v="3"/>
    <x v="3"/>
    <n v="5"/>
    <n v="432.35"/>
    <s v="Store C"/>
    <x v="0"/>
    <n v="0.1"/>
    <x v="5"/>
    <n v="1945.575"/>
    <n v="1297.0500000000002"/>
    <n v="607.04499999999985"/>
    <n v="0.31201315806381136"/>
    <n v="1945.575"/>
    <s v="Gift Card"/>
    <m/>
    <x v="1"/>
    <n v="1"/>
    <x v="1"/>
    <x v="335"/>
    <s v="Cust 6424"/>
    <n v="41.48"/>
    <d v="2024-06-20T00:00:00"/>
    <d v="2024-06-27T00:00:00"/>
    <s v="Cameron"/>
    <n v="7"/>
  </r>
  <r>
    <d v="2024-03-22T00:00:00"/>
    <x v="6"/>
    <x v="1"/>
    <x v="25"/>
    <x v="4"/>
    <x v="0"/>
    <n v="19"/>
    <n v="590"/>
    <s v="Store D"/>
    <x v="1"/>
    <n v="0.05"/>
    <x v="1"/>
    <n v="10649.5"/>
    <n v="6726"/>
    <n v="3917.59"/>
    <n v="0.36786609699985917"/>
    <n v="10649.5"/>
    <s v="Online"/>
    <s v="FREESHIP"/>
    <x v="0"/>
    <n v="0"/>
    <x v="0"/>
    <x v="336"/>
    <s v="Cust 1422"/>
    <n v="5.91"/>
    <d v="2024-03-22T00:00:00"/>
    <d v="2024-03-25T00:00:00"/>
    <s v="Wendy"/>
    <n v="3"/>
  </r>
  <r>
    <d v="2024-02-08T00:00:00"/>
    <x v="0"/>
    <x v="1"/>
    <x v="5"/>
    <x v="4"/>
    <x v="4"/>
    <n v="11"/>
    <n v="151.25"/>
    <s v="Store B"/>
    <x v="0"/>
    <n v="0.1"/>
    <x v="2"/>
    <n v="1497.375"/>
    <n v="998.25"/>
    <n v="476.47500000000002"/>
    <n v="0.31820686200851489"/>
    <n v="1497.375"/>
    <s v="Credit Card"/>
    <m/>
    <x v="1"/>
    <n v="1"/>
    <x v="1"/>
    <x v="337"/>
    <s v="Cust 5857"/>
    <n v="22.65"/>
    <d v="2024-02-08T00:00:00"/>
    <d v="2024-02-11T00:00:00"/>
    <s v="Wendy"/>
    <n v="3"/>
  </r>
  <r>
    <d v="2024-06-01T00:00:00"/>
    <x v="3"/>
    <x v="1"/>
    <x v="23"/>
    <x v="0"/>
    <x v="2"/>
    <n v="3"/>
    <n v="204.79"/>
    <s v="Store B"/>
    <x v="1"/>
    <n v="0.1"/>
    <x v="2"/>
    <n v="552.93299999999999"/>
    <n v="368.62199999999996"/>
    <n v="176.59100000000004"/>
    <n v="0.31937142474766389"/>
    <n v="552.93299999999999"/>
    <s v="Online"/>
    <s v="FREESHIP"/>
    <x v="0"/>
    <n v="1"/>
    <x v="1"/>
    <x v="338"/>
    <s v="Cust 6953"/>
    <n v="7.72"/>
    <d v="2024-06-01T00:00:00"/>
    <d v="2024-06-04T00:00:00"/>
    <s v="Eric"/>
    <n v="3"/>
  </r>
  <r>
    <d v="2024-05-26T00:00:00"/>
    <x v="2"/>
    <x v="1"/>
    <x v="14"/>
    <x v="2"/>
    <x v="0"/>
    <n v="16"/>
    <n v="586.52"/>
    <s v="Store C"/>
    <x v="0"/>
    <n v="0"/>
    <x v="4"/>
    <n v="9384.32"/>
    <n v="5630.5919999999996"/>
    <n v="3736.6680000000001"/>
    <n v="0.39818207392757282"/>
    <n v="9384.32"/>
    <s v="Credit Card"/>
    <s v="WINTER15"/>
    <x v="0"/>
    <n v="1"/>
    <x v="1"/>
    <x v="339"/>
    <s v="Cust 2916"/>
    <n v="17.059999999999999"/>
    <d v="2024-05-26T00:00:00"/>
    <d v="2024-06-01T00:00:00"/>
    <s v="Ryan"/>
    <n v="6"/>
  </r>
  <r>
    <d v="2024-06-25T00:00:00"/>
    <x v="3"/>
    <x v="1"/>
    <x v="23"/>
    <x v="0"/>
    <x v="6"/>
    <n v="16"/>
    <n v="104.83"/>
    <s v="Store A"/>
    <x v="0"/>
    <n v="0"/>
    <x v="3"/>
    <n v="1677.28"/>
    <n v="1006.3679999999999"/>
    <n v="636.92200000000003"/>
    <n v="0.37973504721930745"/>
    <n v="1677.28"/>
    <s v="Gift Card"/>
    <s v="FREESHIP"/>
    <x v="0"/>
    <n v="0"/>
    <x v="0"/>
    <x v="340"/>
    <s v="Cust 6855"/>
    <n v="33.99"/>
    <d v="2024-06-25T00:00:00"/>
    <d v="2024-06-30T00:00:00"/>
    <s v="Eric"/>
    <n v="5"/>
  </r>
  <r>
    <d v="2024-01-29T00:00:00"/>
    <x v="4"/>
    <x v="1"/>
    <x v="24"/>
    <x v="3"/>
    <x v="6"/>
    <n v="16"/>
    <n v="598.48"/>
    <s v="Store A"/>
    <x v="1"/>
    <n v="0.1"/>
    <x v="2"/>
    <n v="8618.112000000001"/>
    <n v="5745.4080000000004"/>
    <n v="2824.8440000000005"/>
    <n v="0.32777991281617136"/>
    <n v="8618.112000000001"/>
    <s v="Cash"/>
    <m/>
    <x v="1"/>
    <n v="0"/>
    <x v="0"/>
    <x v="341"/>
    <s v="Cust 8464"/>
    <n v="47.86"/>
    <d v="2024-01-29T00:00:00"/>
    <d v="2024-02-07T00:00:00"/>
    <s v="Cameron"/>
    <n v="9"/>
  </r>
  <r>
    <d v="2024-12-07T00:00:00"/>
    <x v="1"/>
    <x v="1"/>
    <x v="1"/>
    <x v="1"/>
    <x v="3"/>
    <n v="8"/>
    <n v="367.89"/>
    <s v="Store B"/>
    <x v="1"/>
    <n v="0.05"/>
    <x v="1"/>
    <n v="2795.9639999999999"/>
    <n v="1765.8719999999998"/>
    <n v="1011.9920000000001"/>
    <n v="0.36194743566083115"/>
    <n v="2795.9639999999999"/>
    <s v="Cash"/>
    <s v="FREESHIP"/>
    <x v="0"/>
    <n v="0"/>
    <x v="0"/>
    <x v="342"/>
    <s v="Cust 9700"/>
    <n v="18.100000000000001"/>
    <d v="2024-12-07T00:00:00"/>
    <d v="2024-12-09T00:00:00"/>
    <s v="Sophie"/>
    <n v="2"/>
  </r>
  <r>
    <d v="2023-11-21T00:00:00"/>
    <x v="9"/>
    <x v="0"/>
    <x v="15"/>
    <x v="4"/>
    <x v="3"/>
    <n v="10"/>
    <n v="333.35"/>
    <s v="Store A"/>
    <x v="1"/>
    <n v="0.15"/>
    <x v="1"/>
    <n v="2833.4749999999999"/>
    <n v="2000.1000000000001"/>
    <n v="794.02499999999975"/>
    <n v="0.28023010614175164"/>
    <n v="2833.4749999999999"/>
    <s v="Debit Card"/>
    <s v="FREESHIP"/>
    <x v="0"/>
    <n v="0"/>
    <x v="0"/>
    <x v="343"/>
    <s v="Cust 7765"/>
    <n v="39.35"/>
    <d v="2023-11-21T00:00:00"/>
    <d v="2023-11-26T00:00:00"/>
    <s v="Wendy"/>
    <n v="5"/>
  </r>
  <r>
    <d v="2024-12-16T00:00:00"/>
    <x v="1"/>
    <x v="1"/>
    <x v="1"/>
    <x v="2"/>
    <x v="3"/>
    <n v="8"/>
    <n v="378.88"/>
    <s v="Store A"/>
    <x v="0"/>
    <n v="0.1"/>
    <x v="2"/>
    <n v="2727.9360000000001"/>
    <n v="1818.624"/>
    <n v="904.0920000000001"/>
    <n v="0.33141979870495497"/>
    <n v="2727.9360000000001"/>
    <s v="Debit Card"/>
    <s v="WINTER15"/>
    <x v="0"/>
    <n v="1"/>
    <x v="1"/>
    <x v="344"/>
    <s v="Cust 8246"/>
    <n v="5.22"/>
    <d v="2024-12-16T00:00:00"/>
    <d v="2024-12-24T00:00:00"/>
    <s v="Ryan"/>
    <n v="8"/>
  </r>
  <r>
    <d v="2023-08-05T00:00:00"/>
    <x v="10"/>
    <x v="0"/>
    <x v="18"/>
    <x v="3"/>
    <x v="4"/>
    <n v="12"/>
    <n v="169.2"/>
    <s v="Store C"/>
    <x v="1"/>
    <n v="0.05"/>
    <x v="4"/>
    <n v="1928.8799999999999"/>
    <n v="1218.24"/>
    <n v="681.9899999999999"/>
    <n v="0.35356787358467084"/>
    <n v="1928.88"/>
    <s v="Gift Card"/>
    <s v="SAVE10"/>
    <x v="0"/>
    <n v="0"/>
    <x v="0"/>
    <x v="345"/>
    <s v="Cust 6500"/>
    <n v="28.65"/>
    <d v="2023-08-05T00:00:00"/>
    <d v="2023-08-15T00:00:00"/>
    <s v="Cameron"/>
    <n v="10"/>
  </r>
  <r>
    <d v="2023-08-30T00:00:00"/>
    <x v="10"/>
    <x v="0"/>
    <x v="18"/>
    <x v="3"/>
    <x v="3"/>
    <n v="7"/>
    <n v="103.03"/>
    <s v="Store D"/>
    <x v="1"/>
    <n v="0.1"/>
    <x v="5"/>
    <n v="649.08900000000006"/>
    <n v="432.726"/>
    <n v="211.07300000000006"/>
    <n v="0.32518344941910898"/>
    <n v="649.08900000000006"/>
    <s v="Online"/>
    <s v="FREESHIP"/>
    <x v="0"/>
    <n v="1"/>
    <x v="1"/>
    <x v="346"/>
    <s v="Cust 1150"/>
    <n v="5.29"/>
    <d v="2023-08-30T00:00:00"/>
    <d v="2023-09-06T00:00:00"/>
    <s v="Cameron"/>
    <n v="7"/>
  </r>
  <r>
    <d v="2025-03-25T00:00:00"/>
    <x v="6"/>
    <x v="2"/>
    <x v="8"/>
    <x v="0"/>
    <x v="6"/>
    <n v="3"/>
    <n v="378.74"/>
    <s v="Store D"/>
    <x v="0"/>
    <n v="0.15"/>
    <x v="2"/>
    <n v="965.78700000000003"/>
    <n v="681.73199999999997"/>
    <n v="275.83500000000004"/>
    <n v="0.28560645359691117"/>
    <n v="965.78700000000003"/>
    <s v="Online"/>
    <s v="SAVE10"/>
    <x v="0"/>
    <n v="0"/>
    <x v="0"/>
    <x v="347"/>
    <s v="Cust 7449"/>
    <n v="8.2200000000000006"/>
    <d v="2025-03-25T00:00:00"/>
    <d v="2025-03-27T00:00:00"/>
    <s v="Eric"/>
    <n v="2"/>
  </r>
  <r>
    <d v="2024-12-13T00:00:00"/>
    <x v="1"/>
    <x v="1"/>
    <x v="1"/>
    <x v="2"/>
    <x v="1"/>
    <n v="15"/>
    <n v="27.21"/>
    <s v="Store C"/>
    <x v="0"/>
    <n v="0"/>
    <x v="1"/>
    <n v="408.15000000000003"/>
    <n v="244.89000000000001"/>
    <n v="119.57000000000002"/>
    <n v="0.2929560210706848"/>
    <n v="408.15"/>
    <s v="Online"/>
    <s v="WINTER15"/>
    <x v="0"/>
    <n v="0"/>
    <x v="0"/>
    <x v="348"/>
    <s v="Cust 1957"/>
    <n v="43.69"/>
    <d v="2024-12-13T00:00:00"/>
    <d v="2024-12-22T00:00:00"/>
    <s v="Ryan"/>
    <n v="9"/>
  </r>
  <r>
    <d v="2023-09-07T00:00:00"/>
    <x v="11"/>
    <x v="0"/>
    <x v="22"/>
    <x v="3"/>
    <x v="1"/>
    <n v="14"/>
    <n v="52.09"/>
    <s v="Store A"/>
    <x v="1"/>
    <n v="0"/>
    <x v="5"/>
    <n v="729.26"/>
    <n v="437.55600000000004"/>
    <n v="243.68399999999994"/>
    <n v="0.33415242848915333"/>
    <n v="729.26"/>
    <s v="Gift Card"/>
    <m/>
    <x v="1"/>
    <n v="1"/>
    <x v="1"/>
    <x v="349"/>
    <s v="Cust 3467"/>
    <n v="48.02"/>
    <d v="2023-09-07T00:00:00"/>
    <d v="2023-09-14T00:00:00"/>
    <s v="Cameron"/>
    <n v="7"/>
  </r>
  <r>
    <d v="2023-12-12T00:00:00"/>
    <x v="1"/>
    <x v="0"/>
    <x v="27"/>
    <x v="2"/>
    <x v="4"/>
    <n v="7"/>
    <n v="570.01"/>
    <s v="Store C"/>
    <x v="0"/>
    <n v="0"/>
    <x v="3"/>
    <n v="3990.0699999999997"/>
    <n v="2394.0419999999999"/>
    <n v="1553.6979999999999"/>
    <n v="0.38939116356354647"/>
    <n v="3990.07"/>
    <s v="Credit Card"/>
    <s v="WINTER15"/>
    <x v="0"/>
    <n v="0"/>
    <x v="0"/>
    <x v="350"/>
    <s v="Cust 5212"/>
    <n v="42.33"/>
    <d v="2023-12-12T00:00:00"/>
    <d v="2023-12-21T00:00:00"/>
    <s v="Ryan"/>
    <n v="9"/>
  </r>
  <r>
    <d v="2024-04-25T00:00:00"/>
    <x v="7"/>
    <x v="1"/>
    <x v="9"/>
    <x v="0"/>
    <x v="4"/>
    <n v="19"/>
    <n v="526.23"/>
    <s v="Store B"/>
    <x v="1"/>
    <n v="0"/>
    <x v="5"/>
    <n v="9998.3700000000008"/>
    <n v="5999.0219999999999"/>
    <n v="3966.5780000000009"/>
    <n v="0.39672246576191927"/>
    <n v="9998.3700000000008"/>
    <s v="Credit Card"/>
    <s v="WINTER15"/>
    <x v="0"/>
    <n v="0"/>
    <x v="0"/>
    <x v="351"/>
    <s v="Cust 3509"/>
    <n v="32.770000000000003"/>
    <d v="2024-04-25T00:00:00"/>
    <d v="2024-05-05T00:00:00"/>
    <s v="Eric"/>
    <n v="10"/>
  </r>
  <r>
    <d v="2025-05-04T00:00:00"/>
    <x v="2"/>
    <x v="2"/>
    <x v="13"/>
    <x v="2"/>
    <x v="0"/>
    <n v="8"/>
    <n v="294.51"/>
    <s v="Store A"/>
    <x v="0"/>
    <n v="0.15"/>
    <x v="4"/>
    <n v="2002.6679999999999"/>
    <n v="1413.6479999999999"/>
    <n v="578.55999999999995"/>
    <n v="0.28889461458414473"/>
    <n v="2002.6679999999999"/>
    <s v="Gift Card"/>
    <m/>
    <x v="1"/>
    <n v="0"/>
    <x v="0"/>
    <x v="352"/>
    <s v="Cust 5316"/>
    <n v="10.46"/>
    <d v="2025-05-04T00:00:00"/>
    <d v="2025-05-07T00:00:00"/>
    <s v="Ryan"/>
    <n v="3"/>
  </r>
  <r>
    <d v="2023-09-16T00:00:00"/>
    <x v="11"/>
    <x v="0"/>
    <x v="22"/>
    <x v="1"/>
    <x v="4"/>
    <n v="18"/>
    <n v="448.27"/>
    <s v="Store C"/>
    <x v="0"/>
    <n v="0.05"/>
    <x v="4"/>
    <n v="7665.4169999999995"/>
    <n v="4841.3159999999998"/>
    <n v="2776.5409999999997"/>
    <n v="0.36221656303890576"/>
    <n v="7665.4169999999986"/>
    <s v="Credit Card"/>
    <s v="SAVE10"/>
    <x v="0"/>
    <n v="0"/>
    <x v="0"/>
    <x v="353"/>
    <s v="Cust 9919"/>
    <n v="47.56"/>
    <d v="2023-09-16T00:00:00"/>
    <d v="2023-09-20T00:00:00"/>
    <s v="Sophie"/>
    <n v="4"/>
  </r>
  <r>
    <d v="2024-10-23T00:00:00"/>
    <x v="5"/>
    <x v="1"/>
    <x v="7"/>
    <x v="4"/>
    <x v="2"/>
    <n v="17"/>
    <n v="583.88"/>
    <s v="Store D"/>
    <x v="1"/>
    <n v="0.1"/>
    <x v="1"/>
    <n v="8933.3639999999996"/>
    <n v="5955.5759999999991"/>
    <n v="2940.2580000000003"/>
    <n v="0.32913222835205197"/>
    <n v="8933.3639999999996"/>
    <s v="Credit Card"/>
    <s v="WINTER15"/>
    <x v="0"/>
    <n v="0"/>
    <x v="0"/>
    <x v="354"/>
    <s v="Cust 7129"/>
    <n v="37.53"/>
    <d v="2024-10-23T00:00:00"/>
    <d v="2024-10-26T00:00:00"/>
    <s v="Wendy"/>
    <n v="3"/>
  </r>
  <r>
    <d v="2023-05-03T00:00:00"/>
    <x v="2"/>
    <x v="0"/>
    <x v="2"/>
    <x v="2"/>
    <x v="2"/>
    <n v="2"/>
    <n v="97.5"/>
    <s v="Store D"/>
    <x v="1"/>
    <n v="0.1"/>
    <x v="1"/>
    <n v="175.5"/>
    <n v="117"/>
    <n v="12.130000000000003"/>
    <n v="6.9116809116809133E-2"/>
    <n v="175.5"/>
    <s v="Cash"/>
    <m/>
    <x v="1"/>
    <n v="1"/>
    <x v="1"/>
    <x v="355"/>
    <s v="Cust 9841"/>
    <n v="46.37"/>
    <d v="2023-05-03T00:00:00"/>
    <d v="2023-05-06T00:00:00"/>
    <s v="Ryan"/>
    <n v="3"/>
  </r>
  <r>
    <d v="2025-03-18T00:00:00"/>
    <x v="6"/>
    <x v="2"/>
    <x v="8"/>
    <x v="2"/>
    <x v="6"/>
    <n v="16"/>
    <n v="420.79"/>
    <s v="Store B"/>
    <x v="0"/>
    <n v="0.15"/>
    <x v="3"/>
    <n v="5722.7439999999997"/>
    <n v="4039.5839999999998"/>
    <n v="1661.0299999999997"/>
    <n v="0.29025062103075028"/>
    <n v="5722.7439999999997"/>
    <s v="Cash"/>
    <s v="FREESHIP"/>
    <x v="0"/>
    <n v="1"/>
    <x v="1"/>
    <x v="356"/>
    <s v="Cust 6362"/>
    <n v="22.13"/>
    <d v="2025-03-18T00:00:00"/>
    <d v="2025-03-25T00:00:00"/>
    <s v="Ryan"/>
    <n v="7"/>
  </r>
  <r>
    <d v="2023-08-25T00:00:00"/>
    <x v="10"/>
    <x v="0"/>
    <x v="18"/>
    <x v="4"/>
    <x v="3"/>
    <n v="13"/>
    <n v="513.17999999999995"/>
    <s v="Store B"/>
    <x v="1"/>
    <n v="0"/>
    <x v="0"/>
    <n v="6671.3399999999992"/>
    <n v="4002.8039999999996"/>
    <n v="2657.9659999999994"/>
    <n v="0.39841561065692943"/>
    <n v="6671.3399999999992"/>
    <s v="Credit Card"/>
    <s v="FREESHIP"/>
    <x v="0"/>
    <n v="0"/>
    <x v="0"/>
    <x v="357"/>
    <s v="Cust 4142"/>
    <n v="10.57"/>
    <d v="2023-08-25T00:00:00"/>
    <d v="2023-08-27T00:00:00"/>
    <s v="Wendy"/>
    <n v="2"/>
  </r>
  <r>
    <d v="2023-07-13T00:00:00"/>
    <x v="8"/>
    <x v="0"/>
    <x v="11"/>
    <x v="2"/>
    <x v="4"/>
    <n v="19"/>
    <n v="475.64"/>
    <s v="Store C"/>
    <x v="1"/>
    <n v="0.1"/>
    <x v="2"/>
    <n v="8133.4440000000004"/>
    <n v="5422.2959999999994"/>
    <n v="2699.978000000001"/>
    <n v="0.33195999136405202"/>
    <n v="8133.4440000000004"/>
    <s v="Cash"/>
    <s v="WINTER15"/>
    <x v="0"/>
    <n v="1"/>
    <x v="1"/>
    <x v="358"/>
    <s v="Cust 9584"/>
    <n v="11.17"/>
    <d v="2023-07-13T00:00:00"/>
    <d v="2023-07-17T00:00:00"/>
    <s v="Ryan"/>
    <n v="4"/>
  </r>
  <r>
    <d v="2025-02-25T00:00:00"/>
    <x v="0"/>
    <x v="2"/>
    <x v="3"/>
    <x v="2"/>
    <x v="5"/>
    <n v="13"/>
    <n v="238.34"/>
    <s v="Store C"/>
    <x v="1"/>
    <n v="0.1"/>
    <x v="3"/>
    <n v="2788.578"/>
    <n v="1859.0519999999999"/>
    <n v="921.62600000000009"/>
    <n v="0.33050034820614665"/>
    <n v="2788.578"/>
    <s v="Credit Card"/>
    <s v="SAVE10"/>
    <x v="0"/>
    <n v="1"/>
    <x v="1"/>
    <x v="359"/>
    <s v="Cust 2553"/>
    <n v="7.9"/>
    <d v="2025-02-25T00:00:00"/>
    <d v="2025-03-06T00:00:00"/>
    <s v="Ryan"/>
    <n v="9"/>
  </r>
  <r>
    <d v="2025-04-14T00:00:00"/>
    <x v="7"/>
    <x v="2"/>
    <x v="28"/>
    <x v="3"/>
    <x v="0"/>
    <n v="14"/>
    <n v="285.02999999999997"/>
    <s v="Store B"/>
    <x v="0"/>
    <n v="0.1"/>
    <x v="0"/>
    <n v="3591.3779999999997"/>
    <n v="2394.2519999999995"/>
    <n v="1155.6260000000002"/>
    <n v="0.32177788024541004"/>
    <n v="3591.3780000000002"/>
    <s v="Credit Card"/>
    <s v="SAVE10"/>
    <x v="0"/>
    <n v="0"/>
    <x v="0"/>
    <x v="360"/>
    <s v="Cust 1347"/>
    <n v="41.5"/>
    <d v="2025-04-14T00:00:00"/>
    <d v="2025-04-17T00:00:00"/>
    <s v="Cameron"/>
    <n v="3"/>
  </r>
  <r>
    <d v="2025-06-15T00:00:00"/>
    <x v="3"/>
    <x v="2"/>
    <x v="16"/>
    <x v="3"/>
    <x v="2"/>
    <n v="5"/>
    <n v="5.52"/>
    <s v="Store C"/>
    <x v="1"/>
    <n v="0.05"/>
    <x v="1"/>
    <n v="26.219999999999995"/>
    <n v="16.559999999999999"/>
    <n v="-0.92000000000000348"/>
    <n v="-3.5087719298245751E-2"/>
    <n v="26.22"/>
    <s v="Credit Card"/>
    <s v="FREESHIP"/>
    <x v="0"/>
    <n v="0"/>
    <x v="0"/>
    <x v="361"/>
    <s v="Cust 8305"/>
    <n v="10.58"/>
    <d v="2025-06-15T00:00:00"/>
    <d v="2025-06-18T00:00:00"/>
    <s v="Cameron"/>
    <n v="3"/>
  </r>
  <r>
    <d v="2024-10-22T00:00:00"/>
    <x v="5"/>
    <x v="1"/>
    <x v="7"/>
    <x v="2"/>
    <x v="4"/>
    <n v="18"/>
    <n v="396.25"/>
    <s v="Store D"/>
    <x v="1"/>
    <n v="0.1"/>
    <x v="2"/>
    <n v="6419.25"/>
    <n v="4279.5"/>
    <n v="2119.36"/>
    <n v="0.33015694979943144"/>
    <n v="6419.25"/>
    <s v="Credit Card"/>
    <s v="FREESHIP"/>
    <x v="0"/>
    <n v="0"/>
    <x v="0"/>
    <x v="362"/>
    <s v="Cust 7015"/>
    <n v="20.39"/>
    <d v="2024-10-22T00:00:00"/>
    <d v="2024-10-27T00:00:00"/>
    <s v="Ryan"/>
    <n v="5"/>
  </r>
  <r>
    <d v="2023-06-20T00:00:00"/>
    <x v="3"/>
    <x v="0"/>
    <x v="4"/>
    <x v="1"/>
    <x v="0"/>
    <n v="9"/>
    <n v="282.8"/>
    <s v="Store D"/>
    <x v="0"/>
    <n v="0.05"/>
    <x v="0"/>
    <n v="2417.94"/>
    <n v="1527.1200000000001"/>
    <n v="841.03"/>
    <n v="0.34782914381663727"/>
    <n v="2417.94"/>
    <s v="Online"/>
    <m/>
    <x v="1"/>
    <n v="0"/>
    <x v="0"/>
    <x v="363"/>
    <s v="Cust 4394"/>
    <n v="49.79"/>
    <d v="2023-06-20T00:00:00"/>
    <d v="2023-06-25T00:00:00"/>
    <s v="Sophie"/>
    <n v="5"/>
  </r>
  <r>
    <d v="2025-03-05T00:00:00"/>
    <x v="6"/>
    <x v="2"/>
    <x v="8"/>
    <x v="1"/>
    <x v="1"/>
    <n v="6"/>
    <n v="525.42999999999995"/>
    <s v="Store C"/>
    <x v="0"/>
    <n v="0.05"/>
    <x v="1"/>
    <n v="2994.9509999999996"/>
    <n v="1891.5479999999998"/>
    <n v="1064.1229999999998"/>
    <n v="0.35530564606900078"/>
    <n v="2994.951"/>
    <s v="Credit Card"/>
    <m/>
    <x v="1"/>
    <n v="0"/>
    <x v="0"/>
    <x v="364"/>
    <s v="Cust 3323"/>
    <n v="39.28"/>
    <d v="2025-03-05T00:00:00"/>
    <d v="2025-03-11T00:00:00"/>
    <s v="Sophie"/>
    <n v="6"/>
  </r>
  <r>
    <d v="2023-10-28T00:00:00"/>
    <x v="5"/>
    <x v="0"/>
    <x v="19"/>
    <x v="4"/>
    <x v="5"/>
    <n v="15"/>
    <n v="127.67"/>
    <s v="Store D"/>
    <x v="1"/>
    <n v="0.1"/>
    <x v="1"/>
    <n v="1723.5450000000001"/>
    <n v="1149.03"/>
    <n v="525.74500000000012"/>
    <n v="0.30503700222506525"/>
    <n v="1723.5450000000001"/>
    <s v="Debit Card"/>
    <m/>
    <x v="1"/>
    <n v="0"/>
    <x v="0"/>
    <x v="365"/>
    <s v="Cust 4029"/>
    <n v="48.77"/>
    <d v="2023-10-28T00:00:00"/>
    <d v="2023-10-30T00:00:00"/>
    <s v="Wendy"/>
    <n v="2"/>
  </r>
  <r>
    <d v="2025-03-19T00:00:00"/>
    <x v="6"/>
    <x v="2"/>
    <x v="8"/>
    <x v="3"/>
    <x v="0"/>
    <n v="17"/>
    <n v="511.8"/>
    <s v="Store B"/>
    <x v="1"/>
    <n v="0.05"/>
    <x v="3"/>
    <n v="8265.57"/>
    <n v="5220.3599999999997"/>
    <n v="3031.88"/>
    <n v="0.36680833868686613"/>
    <n v="8265.57"/>
    <s v="Credit Card"/>
    <s v="WINTER15"/>
    <x v="0"/>
    <n v="1"/>
    <x v="1"/>
    <x v="366"/>
    <s v="Cust 1400"/>
    <n v="13.33"/>
    <d v="2025-03-19T00:00:00"/>
    <d v="2025-03-26T00:00:00"/>
    <s v="Cameron"/>
    <n v="7"/>
  </r>
  <r>
    <d v="2023-08-06T00:00:00"/>
    <x v="10"/>
    <x v="0"/>
    <x v="18"/>
    <x v="4"/>
    <x v="5"/>
    <n v="4"/>
    <n v="555.86"/>
    <s v="Store C"/>
    <x v="1"/>
    <n v="0.05"/>
    <x v="5"/>
    <n v="2112.268"/>
    <n v="1334.0640000000001"/>
    <n v="749.28399999999999"/>
    <n v="0.35472960817472027"/>
    <n v="2112.268"/>
    <s v="Cash"/>
    <s v="FREESHIP"/>
    <x v="0"/>
    <n v="0"/>
    <x v="0"/>
    <x v="367"/>
    <s v="Cust 6361"/>
    <n v="28.92"/>
    <d v="2023-08-06T00:00:00"/>
    <d v="2023-08-08T00:00:00"/>
    <s v="Wendy"/>
    <n v="2"/>
  </r>
  <r>
    <d v="2024-09-11T00:00:00"/>
    <x v="11"/>
    <x v="1"/>
    <x v="26"/>
    <x v="3"/>
    <x v="4"/>
    <n v="15"/>
    <n v="202.72"/>
    <s v="Store D"/>
    <x v="1"/>
    <n v="0.05"/>
    <x v="0"/>
    <n v="2888.76"/>
    <n v="1824.4799999999998"/>
    <n v="1022.6700000000004"/>
    <n v="0.35401694844846937"/>
    <n v="2888.76"/>
    <s v="Debit Card"/>
    <s v="WINTER15"/>
    <x v="0"/>
    <n v="1"/>
    <x v="1"/>
    <x v="368"/>
    <s v="Cust 5267"/>
    <n v="41.61"/>
    <d v="2024-09-11T00:00:00"/>
    <d v="2024-09-19T00:00:00"/>
    <s v="Cameron"/>
    <n v="8"/>
  </r>
  <r>
    <d v="2025-01-08T00:00:00"/>
    <x v="4"/>
    <x v="2"/>
    <x v="12"/>
    <x v="3"/>
    <x v="3"/>
    <n v="4"/>
    <n v="353.7"/>
    <s v="Store A"/>
    <x v="0"/>
    <n v="0"/>
    <x v="2"/>
    <n v="1414.8"/>
    <n v="848.88"/>
    <n v="523.93999999999994"/>
    <n v="0.37032796154933556"/>
    <n v="1414.8"/>
    <s v="Credit Card"/>
    <s v="FREESHIP"/>
    <x v="0"/>
    <n v="0"/>
    <x v="0"/>
    <x v="369"/>
    <s v="Cust 9354"/>
    <n v="41.98"/>
    <d v="2025-01-08T00:00:00"/>
    <d v="2025-01-12T00:00:00"/>
    <s v="Cameron"/>
    <n v="4"/>
  </r>
  <r>
    <d v="2024-08-12T00:00:00"/>
    <x v="10"/>
    <x v="1"/>
    <x v="29"/>
    <x v="3"/>
    <x v="3"/>
    <n v="3"/>
    <n v="149.25"/>
    <s v="Store D"/>
    <x v="0"/>
    <n v="0"/>
    <x v="3"/>
    <n v="447.75"/>
    <n v="268.64999999999998"/>
    <n v="165.93000000000004"/>
    <n v="0.37058626465661648"/>
    <n v="447.75"/>
    <s v="Debit Card"/>
    <m/>
    <x v="1"/>
    <n v="1"/>
    <x v="1"/>
    <x v="370"/>
    <s v="Cust 9443"/>
    <n v="13.17"/>
    <d v="2024-08-12T00:00:00"/>
    <d v="2024-08-14T00:00:00"/>
    <s v="Cameron"/>
    <n v="2"/>
  </r>
  <r>
    <d v="2023-03-30T00:00:00"/>
    <x v="6"/>
    <x v="0"/>
    <x v="17"/>
    <x v="2"/>
    <x v="4"/>
    <n v="19"/>
    <n v="156.44"/>
    <s v="Store C"/>
    <x v="0"/>
    <n v="0.1"/>
    <x v="1"/>
    <n v="2675.1240000000003"/>
    <n v="1783.4159999999997"/>
    <n v="872.26800000000048"/>
    <n v="0.32606638047432585"/>
    <n v="2675.1239999999998"/>
    <s v="Online"/>
    <s v="WINTER15"/>
    <x v="0"/>
    <n v="0"/>
    <x v="0"/>
    <x v="371"/>
    <s v="Cust 2252"/>
    <n v="19.440000000000001"/>
    <d v="2023-03-30T00:00:00"/>
    <d v="2023-04-04T00:00:00"/>
    <s v="Ryan"/>
    <n v="5"/>
  </r>
  <r>
    <d v="2023-02-01T00:00:00"/>
    <x v="0"/>
    <x v="0"/>
    <x v="0"/>
    <x v="3"/>
    <x v="1"/>
    <n v="7"/>
    <n v="241.76"/>
    <s v="Store D"/>
    <x v="0"/>
    <n v="0"/>
    <x v="3"/>
    <n v="1692.32"/>
    <n v="1015.3919999999998"/>
    <n v="628.79800000000012"/>
    <n v="0.37155975229271065"/>
    <n v="1692.32"/>
    <s v="Online"/>
    <s v="SAVE10"/>
    <x v="0"/>
    <n v="0"/>
    <x v="0"/>
    <x v="372"/>
    <s v="Cust 1031"/>
    <n v="48.13"/>
    <d v="2023-02-01T00:00:00"/>
    <d v="2023-02-09T00:00:00"/>
    <s v="Cameron"/>
    <n v="8"/>
  </r>
  <r>
    <d v="2025-04-18T00:00:00"/>
    <x v="7"/>
    <x v="2"/>
    <x v="28"/>
    <x v="2"/>
    <x v="0"/>
    <n v="20"/>
    <n v="170.49"/>
    <s v="Store A"/>
    <x v="0"/>
    <n v="0"/>
    <x v="4"/>
    <n v="3409.8"/>
    <n v="2045.8799999999999"/>
    <n v="1344.1800000000003"/>
    <n v="0.39421080415273629"/>
    <n v="3409.8"/>
    <s v="Online"/>
    <s v="FREESHIP"/>
    <x v="0"/>
    <n v="0"/>
    <x v="0"/>
    <x v="373"/>
    <s v="Cust 6086"/>
    <n v="19.739999999999998"/>
    <d v="2025-04-18T00:00:00"/>
    <d v="2025-04-27T00:00:00"/>
    <s v="Ryan"/>
    <n v="9"/>
  </r>
  <r>
    <d v="2025-03-29T00:00:00"/>
    <x v="6"/>
    <x v="2"/>
    <x v="8"/>
    <x v="3"/>
    <x v="4"/>
    <n v="11"/>
    <n v="149.66999999999999"/>
    <s v="Store C"/>
    <x v="1"/>
    <n v="0.1"/>
    <x v="0"/>
    <n v="1481.7329999999999"/>
    <n v="987.82199999999989"/>
    <n v="459.78100000000006"/>
    <n v="0.3102994939034226"/>
    <n v="1481.7329999999999"/>
    <s v="Credit Card"/>
    <m/>
    <x v="1"/>
    <n v="0"/>
    <x v="0"/>
    <x v="374"/>
    <s v="Cust 1672"/>
    <n v="34.130000000000003"/>
    <d v="2025-03-29T00:00:00"/>
    <d v="2025-04-02T00:00:00"/>
    <s v="Cameron"/>
    <n v="4"/>
  </r>
  <r>
    <d v="2024-04-25T00:00:00"/>
    <x v="7"/>
    <x v="1"/>
    <x v="9"/>
    <x v="0"/>
    <x v="5"/>
    <n v="1"/>
    <n v="173.56"/>
    <s v="Store D"/>
    <x v="1"/>
    <n v="0.1"/>
    <x v="0"/>
    <n v="156.20400000000001"/>
    <n v="104.136"/>
    <n v="12.968000000000011"/>
    <n v="8.3019640982305257E-2"/>
    <n v="156.20400000000001"/>
    <s v="Debit Card"/>
    <s v="FREESHIP"/>
    <x v="0"/>
    <n v="0"/>
    <x v="0"/>
    <x v="375"/>
    <s v="Cust 9313"/>
    <n v="39.1"/>
    <d v="2024-04-25T00:00:00"/>
    <d v="2024-04-28T00:00:00"/>
    <s v="Eric"/>
    <n v="3"/>
  </r>
  <r>
    <d v="2024-09-22T00:00:00"/>
    <x v="11"/>
    <x v="1"/>
    <x v="26"/>
    <x v="1"/>
    <x v="4"/>
    <n v="7"/>
    <n v="349.55"/>
    <s v="Store A"/>
    <x v="1"/>
    <n v="0.05"/>
    <x v="3"/>
    <n v="2324.5074999999997"/>
    <n v="1468.11"/>
    <n v="832.69749999999976"/>
    <n v="0.35822534450846033"/>
    <n v="2324.5075000000002"/>
    <s v="Credit Card"/>
    <s v="FREESHIP"/>
    <x v="0"/>
    <n v="0"/>
    <x v="0"/>
    <x v="376"/>
    <s v="Cust 4405"/>
    <n v="23.7"/>
    <d v="2024-09-22T00:00:00"/>
    <d v="2024-09-27T00:00:00"/>
    <s v="Sophie"/>
    <n v="5"/>
  </r>
  <r>
    <d v="2023-08-05T00:00:00"/>
    <x v="10"/>
    <x v="0"/>
    <x v="18"/>
    <x v="3"/>
    <x v="5"/>
    <n v="9"/>
    <n v="245.14"/>
    <s v="Store B"/>
    <x v="0"/>
    <n v="0"/>
    <x v="1"/>
    <n v="2206.2599999999998"/>
    <n v="1323.7559999999999"/>
    <n v="837.90399999999988"/>
    <n v="0.3797847941765703"/>
    <n v="2206.2600000000002"/>
    <s v="Online"/>
    <s v="SAVE10"/>
    <x v="0"/>
    <n v="1"/>
    <x v="1"/>
    <x v="377"/>
    <s v="Cust 6453"/>
    <n v="44.6"/>
    <d v="2023-08-05T00:00:00"/>
    <d v="2023-08-14T00:00:00"/>
    <s v="Cameron"/>
    <n v="9"/>
  </r>
  <r>
    <d v="2024-06-07T00:00:00"/>
    <x v="3"/>
    <x v="1"/>
    <x v="23"/>
    <x v="1"/>
    <x v="2"/>
    <n v="1"/>
    <n v="423.08"/>
    <s v="Store B"/>
    <x v="0"/>
    <n v="0.05"/>
    <x v="5"/>
    <n v="401.92599999999999"/>
    <n v="253.84799999999998"/>
    <n v="116.328"/>
    <n v="0.28942641182705275"/>
    <n v="401.92599999999999"/>
    <s v="Gift Card"/>
    <s v="WINTER15"/>
    <x v="0"/>
    <n v="0"/>
    <x v="0"/>
    <x v="378"/>
    <s v="Cust 4772"/>
    <n v="31.75"/>
    <d v="2024-06-07T00:00:00"/>
    <d v="2024-06-11T00:00:00"/>
    <s v="Sophie"/>
    <n v="4"/>
  </r>
  <r>
    <d v="2025-05-24T00:00:00"/>
    <x v="2"/>
    <x v="2"/>
    <x v="13"/>
    <x v="0"/>
    <x v="1"/>
    <n v="19"/>
    <n v="337.82"/>
    <s v="Store B"/>
    <x v="0"/>
    <n v="0.15"/>
    <x v="1"/>
    <n v="5455.7929999999997"/>
    <n v="3851.1479999999997"/>
    <n v="1558.905"/>
    <n v="0.28573389789531972"/>
    <n v="5455.7929999999997"/>
    <s v="Online"/>
    <s v="FREESHIP"/>
    <x v="0"/>
    <n v="0"/>
    <x v="0"/>
    <x v="379"/>
    <s v="Cust 1762"/>
    <n v="45.74"/>
    <d v="2025-05-24T00:00:00"/>
    <d v="2025-05-30T00:00:00"/>
    <s v="Eric"/>
    <n v="6"/>
  </r>
  <r>
    <d v="2024-07-18T00:00:00"/>
    <x v="8"/>
    <x v="1"/>
    <x v="10"/>
    <x v="1"/>
    <x v="3"/>
    <n v="10"/>
    <n v="252.63"/>
    <s v="Store B"/>
    <x v="1"/>
    <n v="0.15"/>
    <x v="0"/>
    <n v="2147.355"/>
    <n v="1515.78"/>
    <n v="622.65500000000009"/>
    <n v="0.28996369952802403"/>
    <n v="2147.355"/>
    <s v="Cash"/>
    <s v="FREESHIP"/>
    <x v="0"/>
    <n v="0"/>
    <x v="0"/>
    <x v="380"/>
    <s v="Cust 1865"/>
    <n v="8.92"/>
    <d v="2024-07-18T00:00:00"/>
    <d v="2024-07-25T00:00:00"/>
    <s v="Sophie"/>
    <n v="7"/>
  </r>
  <r>
    <d v="2024-07-14T00:00:00"/>
    <x v="8"/>
    <x v="1"/>
    <x v="10"/>
    <x v="4"/>
    <x v="5"/>
    <n v="3"/>
    <n v="87.02"/>
    <s v="Store B"/>
    <x v="0"/>
    <n v="0.1"/>
    <x v="2"/>
    <n v="234.95400000000001"/>
    <n v="156.636"/>
    <n v="67.188000000000017"/>
    <n v="0.28596235858934094"/>
    <n v="234.95400000000001"/>
    <s v="Cash"/>
    <s v="WINTER15"/>
    <x v="0"/>
    <n v="0"/>
    <x v="0"/>
    <x v="381"/>
    <s v="Cust 9552"/>
    <n v="11.13"/>
    <d v="2024-07-14T00:00:00"/>
    <d v="2024-07-16T00:00:00"/>
    <s v="Wendy"/>
    <n v="2"/>
  </r>
  <r>
    <d v="2023-04-14T00:00:00"/>
    <x v="7"/>
    <x v="0"/>
    <x v="21"/>
    <x v="3"/>
    <x v="5"/>
    <n v="11"/>
    <n v="6.72"/>
    <s v="Store D"/>
    <x v="0"/>
    <n v="0.05"/>
    <x v="5"/>
    <n v="70.224000000000004"/>
    <n v="44.352000000000004"/>
    <n v="-8.3980000000000032"/>
    <n v="-0.11958874458874463"/>
    <n v="70.224000000000004"/>
    <s v="Cash"/>
    <s v="SAVE10"/>
    <x v="0"/>
    <n v="0"/>
    <x v="0"/>
    <x v="382"/>
    <s v="Cust 4273"/>
    <n v="34.270000000000003"/>
    <d v="2023-04-14T00:00:00"/>
    <d v="2023-04-19T00:00:00"/>
    <s v="Cameron"/>
    <n v="5"/>
  </r>
  <r>
    <d v="2023-06-01T00:00:00"/>
    <x v="3"/>
    <x v="0"/>
    <x v="4"/>
    <x v="1"/>
    <x v="6"/>
    <n v="2"/>
    <n v="279.38"/>
    <s v="Store D"/>
    <x v="1"/>
    <n v="0.1"/>
    <x v="3"/>
    <n v="502.88400000000001"/>
    <n v="335.25599999999997"/>
    <n v="144.67800000000005"/>
    <n v="0.28769656620612316"/>
    <n v="502.88400000000001"/>
    <s v="Online"/>
    <s v="FREESHIP"/>
    <x v="0"/>
    <n v="0"/>
    <x v="0"/>
    <x v="383"/>
    <s v="Cust 8712"/>
    <n v="22.95"/>
    <d v="2023-06-01T00:00:00"/>
    <d v="2023-06-06T00:00:00"/>
    <s v="Sophie"/>
    <n v="5"/>
  </r>
  <r>
    <d v="2025-04-17T00:00:00"/>
    <x v="7"/>
    <x v="2"/>
    <x v="28"/>
    <x v="3"/>
    <x v="1"/>
    <n v="9"/>
    <n v="207.8"/>
    <s v="Store D"/>
    <x v="1"/>
    <n v="0.1"/>
    <x v="1"/>
    <n v="1683.18"/>
    <n v="1122.1200000000001"/>
    <n v="544.06999999999994"/>
    <n v="0.32323934457396114"/>
    <n v="1683.18"/>
    <s v="Online"/>
    <s v="WINTER15"/>
    <x v="0"/>
    <n v="0"/>
    <x v="0"/>
    <x v="384"/>
    <s v="Cust 9048"/>
    <n v="16.989999999999998"/>
    <d v="2025-04-17T00:00:00"/>
    <d v="2025-04-20T00:00:00"/>
    <s v="Cameron"/>
    <n v="3"/>
  </r>
  <r>
    <d v="2025-03-31T00:00:00"/>
    <x v="6"/>
    <x v="2"/>
    <x v="8"/>
    <x v="0"/>
    <x v="6"/>
    <n v="15"/>
    <n v="511.88"/>
    <s v="Store C"/>
    <x v="0"/>
    <n v="0.05"/>
    <x v="5"/>
    <n v="7294.2899999999991"/>
    <n v="4606.92"/>
    <n v="2677.1499999999992"/>
    <n v="0.36701995670586163"/>
    <n v="7294.2899999999991"/>
    <s v="Cash"/>
    <s v="SAVE10"/>
    <x v="0"/>
    <n v="0"/>
    <x v="0"/>
    <x v="385"/>
    <s v="Cust 7714"/>
    <n v="10.220000000000001"/>
    <d v="2025-03-31T00:00:00"/>
    <d v="2025-04-09T00:00:00"/>
    <s v="Eric"/>
    <n v="9"/>
  </r>
  <r>
    <d v="2024-07-15T00:00:00"/>
    <x v="8"/>
    <x v="1"/>
    <x v="10"/>
    <x v="0"/>
    <x v="6"/>
    <n v="10"/>
    <n v="325.97000000000003"/>
    <s v="Store D"/>
    <x v="1"/>
    <n v="0"/>
    <x v="5"/>
    <n v="3259.7000000000003"/>
    <n v="1955.8200000000002"/>
    <n v="1253.93"/>
    <n v="0.38467650397275821"/>
    <n v="3259.7"/>
    <s v="Cash"/>
    <s v="FREESHIP"/>
    <x v="0"/>
    <n v="1"/>
    <x v="1"/>
    <x v="386"/>
    <s v="Cust 4770"/>
    <n v="49.95"/>
    <d v="2024-07-15T00:00:00"/>
    <d v="2024-07-22T00:00:00"/>
    <s v="Eric"/>
    <n v="7"/>
  </r>
  <r>
    <d v="2024-08-30T00:00:00"/>
    <x v="10"/>
    <x v="1"/>
    <x v="29"/>
    <x v="1"/>
    <x v="0"/>
    <n v="17"/>
    <n v="469.32"/>
    <s v="Store B"/>
    <x v="1"/>
    <n v="0"/>
    <x v="3"/>
    <n v="7978.44"/>
    <n v="4787.0639999999994"/>
    <n v="3185.5160000000001"/>
    <n v="0.39926552057795761"/>
    <n v="7978.44"/>
    <s v="Gift Card"/>
    <s v="WINTER15"/>
    <x v="0"/>
    <n v="1"/>
    <x v="1"/>
    <x v="387"/>
    <s v="Cust 2007"/>
    <n v="5.86"/>
    <d v="2024-08-30T00:00:00"/>
    <d v="2024-09-01T00:00:00"/>
    <s v="Sophie"/>
    <n v="2"/>
  </r>
  <r>
    <d v="2025-01-07T00:00:00"/>
    <x v="4"/>
    <x v="2"/>
    <x v="12"/>
    <x v="3"/>
    <x v="1"/>
    <n v="13"/>
    <n v="186.69"/>
    <s v="Store D"/>
    <x v="0"/>
    <n v="0"/>
    <x v="5"/>
    <n v="2426.9699999999998"/>
    <n v="1456.182"/>
    <n v="950.86799999999982"/>
    <n v="0.39179223476186353"/>
    <n v="2426.9699999999998"/>
    <s v="Cash"/>
    <s v="FREESHIP"/>
    <x v="0"/>
    <n v="0"/>
    <x v="0"/>
    <x v="388"/>
    <s v="Cust 8909"/>
    <n v="19.920000000000002"/>
    <d v="2025-01-07T00:00:00"/>
    <d v="2025-01-10T00:00:00"/>
    <s v="Cameron"/>
    <n v="3"/>
  </r>
  <r>
    <d v="2025-02-05T00:00:00"/>
    <x v="0"/>
    <x v="2"/>
    <x v="3"/>
    <x v="1"/>
    <x v="1"/>
    <n v="16"/>
    <n v="34.659999999999997"/>
    <s v="Store C"/>
    <x v="1"/>
    <n v="0.05"/>
    <x v="1"/>
    <n v="526.83199999999988"/>
    <n v="332.73599999999993"/>
    <n v="144.19599999999994"/>
    <n v="0.27370395116469759"/>
    <n v="526.83199999999988"/>
    <s v="Debit Card"/>
    <m/>
    <x v="1"/>
    <n v="0"/>
    <x v="0"/>
    <x v="389"/>
    <s v="Cust 4196"/>
    <n v="49.9"/>
    <d v="2025-02-05T00:00:00"/>
    <d v="2025-02-11T00:00:00"/>
    <s v="Sophie"/>
    <n v="6"/>
  </r>
  <r>
    <d v="2024-04-01T00:00:00"/>
    <x v="7"/>
    <x v="1"/>
    <x v="9"/>
    <x v="2"/>
    <x v="6"/>
    <n v="18"/>
    <n v="155.04"/>
    <s v="Store B"/>
    <x v="0"/>
    <n v="0.15"/>
    <x v="2"/>
    <n v="2372.1119999999996"/>
    <n v="1674.4319999999998"/>
    <n v="657.68999999999983"/>
    <n v="0.27725925251421513"/>
    <n v="2372.1120000000001"/>
    <s v="Cash"/>
    <s v="WINTER15"/>
    <x v="0"/>
    <n v="0"/>
    <x v="0"/>
    <x v="390"/>
    <s v="Cust 4189"/>
    <n v="39.99"/>
    <d v="2024-04-01T00:00:00"/>
    <d v="2024-04-04T00:00:00"/>
    <s v="Ryan"/>
    <n v="3"/>
  </r>
  <r>
    <d v="2025-03-01T00:00:00"/>
    <x v="6"/>
    <x v="2"/>
    <x v="8"/>
    <x v="4"/>
    <x v="4"/>
    <n v="4"/>
    <n v="69.599999999999994"/>
    <s v="Store D"/>
    <x v="0"/>
    <n v="0.05"/>
    <x v="0"/>
    <n v="264.47999999999996"/>
    <n v="167.04"/>
    <n v="79.759999999999962"/>
    <n v="0.30157289776164542"/>
    <n v="264.48"/>
    <s v="Gift Card"/>
    <s v="SAVE10"/>
    <x v="0"/>
    <n v="0"/>
    <x v="0"/>
    <x v="391"/>
    <s v="Cust 7226"/>
    <n v="17.68"/>
    <d v="2025-03-01T00:00:00"/>
    <d v="2025-03-09T00:00:00"/>
    <s v="Wendy"/>
    <n v="8"/>
  </r>
  <r>
    <d v="2023-07-03T00:00:00"/>
    <x v="8"/>
    <x v="0"/>
    <x v="11"/>
    <x v="3"/>
    <x v="4"/>
    <n v="13"/>
    <n v="55.09"/>
    <s v="Store A"/>
    <x v="0"/>
    <n v="0.15"/>
    <x v="4"/>
    <n v="608.74450000000002"/>
    <n v="429.702"/>
    <n v="131.26250000000002"/>
    <n v="0.21562823154870395"/>
    <n v="608.74450000000002"/>
    <s v="Cash"/>
    <s v="FREESHIP"/>
    <x v="0"/>
    <n v="1"/>
    <x v="1"/>
    <x v="392"/>
    <s v="Cust 5015"/>
    <n v="47.78"/>
    <d v="2023-07-03T00:00:00"/>
    <d v="2023-07-06T00:00:00"/>
    <s v="Cameron"/>
    <n v="3"/>
  </r>
  <r>
    <d v="2023-04-25T00:00:00"/>
    <x v="7"/>
    <x v="0"/>
    <x v="21"/>
    <x v="3"/>
    <x v="0"/>
    <n v="13"/>
    <n v="206.11"/>
    <s v="Store B"/>
    <x v="1"/>
    <n v="0.15"/>
    <x v="5"/>
    <n v="2277.5155"/>
    <n v="1607.6579999999999"/>
    <n v="647.26750000000004"/>
    <n v="0.28419894398084228"/>
    <n v="2277.5155"/>
    <s v="Gift Card"/>
    <s v="SAVE10"/>
    <x v="0"/>
    <n v="1"/>
    <x v="1"/>
    <x v="393"/>
    <s v="Cust 9904"/>
    <n v="22.59"/>
    <d v="2023-04-25T00:00:00"/>
    <d v="2023-05-01T00:00:00"/>
    <s v="Cameron"/>
    <n v="6"/>
  </r>
  <r>
    <d v="2025-04-09T00:00:00"/>
    <x v="7"/>
    <x v="2"/>
    <x v="28"/>
    <x v="4"/>
    <x v="5"/>
    <n v="14"/>
    <n v="484.38"/>
    <s v="Store D"/>
    <x v="1"/>
    <n v="0.05"/>
    <x v="2"/>
    <n v="6442.253999999999"/>
    <n v="4068.7919999999999"/>
    <n v="2344.2219999999993"/>
    <n v="0.36388226853520517"/>
    <n v="6442.253999999999"/>
    <s v="Debit Card"/>
    <s v="SAVE10"/>
    <x v="0"/>
    <n v="0"/>
    <x v="0"/>
    <x v="394"/>
    <s v="Cust 7687"/>
    <n v="29.24"/>
    <d v="2025-04-09T00:00:00"/>
    <d v="2025-04-19T00:00:00"/>
    <s v="Wendy"/>
    <n v="10"/>
  </r>
  <r>
    <d v="2023-11-05T00:00:00"/>
    <x v="9"/>
    <x v="0"/>
    <x v="15"/>
    <x v="2"/>
    <x v="4"/>
    <n v="6"/>
    <n v="449.57"/>
    <s v="Store D"/>
    <x v="0"/>
    <n v="0"/>
    <x v="2"/>
    <n v="2697.42"/>
    <n v="1618.4519999999998"/>
    <n v="1055.8780000000004"/>
    <n v="0.39143996856255248"/>
    <n v="2697.42"/>
    <s v="Gift Card"/>
    <s v="WINTER15"/>
    <x v="0"/>
    <n v="0"/>
    <x v="0"/>
    <x v="395"/>
    <s v="Cust 6511"/>
    <n v="23.09"/>
    <d v="2023-11-05T00:00:00"/>
    <d v="2023-11-12T00:00:00"/>
    <s v="Ryan"/>
    <n v="7"/>
  </r>
  <r>
    <d v="2023-01-13T00:00:00"/>
    <x v="4"/>
    <x v="0"/>
    <x v="6"/>
    <x v="0"/>
    <x v="0"/>
    <n v="9"/>
    <n v="223.01"/>
    <s v="Store C"/>
    <x v="1"/>
    <n v="0"/>
    <x v="4"/>
    <n v="2007.09"/>
    <n v="1204.2539999999999"/>
    <n v="790.93600000000004"/>
    <n v="0.39407101824033802"/>
    <n v="2007.09"/>
    <s v="Cash"/>
    <m/>
    <x v="1"/>
    <n v="1"/>
    <x v="1"/>
    <x v="396"/>
    <s v="Cust 2412"/>
    <n v="11.9"/>
    <d v="2023-01-13T00:00:00"/>
    <d v="2023-01-19T00:00:00"/>
    <s v="Eric"/>
    <n v="6"/>
  </r>
  <r>
    <d v="2025-02-06T00:00:00"/>
    <x v="0"/>
    <x v="2"/>
    <x v="3"/>
    <x v="4"/>
    <x v="3"/>
    <n v="14"/>
    <n v="291.91000000000003"/>
    <s v="Store A"/>
    <x v="1"/>
    <n v="0.15"/>
    <x v="2"/>
    <n v="3473.7290000000003"/>
    <n v="2452.0440000000003"/>
    <n v="994.17499999999995"/>
    <n v="0.28619820371710053"/>
    <n v="3473.7289999999998"/>
    <s v="Credit Card"/>
    <m/>
    <x v="1"/>
    <n v="0"/>
    <x v="0"/>
    <x v="397"/>
    <s v="Cust 1664"/>
    <n v="27.51"/>
    <d v="2025-02-06T00:00:00"/>
    <d v="2025-02-10T00:00:00"/>
    <s v="Wendy"/>
    <n v="4"/>
  </r>
  <r>
    <d v="2023-05-20T00:00:00"/>
    <x v="2"/>
    <x v="0"/>
    <x v="2"/>
    <x v="1"/>
    <x v="4"/>
    <n v="13"/>
    <n v="90.86"/>
    <s v="Store A"/>
    <x v="0"/>
    <n v="0"/>
    <x v="3"/>
    <n v="1181.18"/>
    <n v="708.70799999999997"/>
    <n v="455.73200000000008"/>
    <n v="0.38582773159044348"/>
    <n v="1181.18"/>
    <s v="Gift Card"/>
    <s v="SAVE10"/>
    <x v="0"/>
    <n v="0"/>
    <x v="0"/>
    <x v="398"/>
    <s v="Cust 6033"/>
    <n v="16.739999999999998"/>
    <d v="2023-05-20T00:00:00"/>
    <d v="2023-05-25T00:00:00"/>
    <s v="Sophie"/>
    <n v="5"/>
  </r>
  <r>
    <d v="2025-06-18T00:00:00"/>
    <x v="3"/>
    <x v="2"/>
    <x v="16"/>
    <x v="0"/>
    <x v="2"/>
    <n v="4"/>
    <n v="109.05"/>
    <s v="Store D"/>
    <x v="0"/>
    <n v="0"/>
    <x v="4"/>
    <n v="436.2"/>
    <n v="261.71999999999997"/>
    <n v="153.46"/>
    <n v="0.35181109582760206"/>
    <n v="436.2"/>
    <s v="Gift Card"/>
    <s v="WINTER15"/>
    <x v="0"/>
    <n v="0"/>
    <x v="0"/>
    <x v="399"/>
    <s v="Cust 4019"/>
    <n v="21.02"/>
    <d v="2025-06-18T00:00:00"/>
    <d v="2025-06-24T00:00:00"/>
    <s v="Eric"/>
    <n v="6"/>
  </r>
  <r>
    <d v="2023-02-23T00:00:00"/>
    <x v="0"/>
    <x v="0"/>
    <x v="0"/>
    <x v="4"/>
    <x v="5"/>
    <n v="12"/>
    <n v="245.6"/>
    <s v="Store D"/>
    <x v="1"/>
    <n v="0"/>
    <x v="5"/>
    <n v="2947.2"/>
    <n v="1768.3199999999997"/>
    <n v="1134.96"/>
    <n v="0.38509771986970687"/>
    <n v="2947.2"/>
    <s v="Cash"/>
    <s v="FREESHIP"/>
    <x v="0"/>
    <n v="1"/>
    <x v="1"/>
    <x v="400"/>
    <s v="Cust 4515"/>
    <n v="43.92"/>
    <d v="2023-02-23T00:00:00"/>
    <d v="2023-02-27T00:00:00"/>
    <s v="Wendy"/>
    <n v="4"/>
  </r>
  <r>
    <d v="2024-11-09T00:00:00"/>
    <x v="9"/>
    <x v="1"/>
    <x v="20"/>
    <x v="0"/>
    <x v="6"/>
    <n v="15"/>
    <n v="380.03"/>
    <s v="Store A"/>
    <x v="1"/>
    <n v="0"/>
    <x v="5"/>
    <n v="5700.45"/>
    <n v="3420.2699999999995"/>
    <n v="2254.4600000000005"/>
    <n v="0.39548807550281129"/>
    <n v="5700.45"/>
    <s v="Online"/>
    <m/>
    <x v="1"/>
    <n v="0"/>
    <x v="0"/>
    <x v="401"/>
    <s v="Cust 7532"/>
    <n v="25.72"/>
    <d v="2024-11-09T00:00:00"/>
    <d v="2024-11-12T00:00:00"/>
    <s v="Eric"/>
    <n v="3"/>
  </r>
  <r>
    <d v="2024-07-25T00:00:00"/>
    <x v="8"/>
    <x v="1"/>
    <x v="10"/>
    <x v="1"/>
    <x v="5"/>
    <n v="3"/>
    <n v="417.58"/>
    <s v="Store D"/>
    <x v="1"/>
    <n v="0.05"/>
    <x v="2"/>
    <n v="1190.1030000000001"/>
    <n v="751.64399999999989"/>
    <n v="395.03900000000016"/>
    <n v="0.33193681555293963"/>
    <n v="1190.1030000000001"/>
    <s v="Gift Card"/>
    <s v="SAVE10"/>
    <x v="0"/>
    <n v="0"/>
    <x v="0"/>
    <x v="402"/>
    <s v="Cust 8756"/>
    <n v="43.42"/>
    <d v="2024-07-25T00:00:00"/>
    <d v="2024-07-31T00:00:00"/>
    <s v="Sophie"/>
    <n v="6"/>
  </r>
  <r>
    <d v="2023-08-19T00:00:00"/>
    <x v="10"/>
    <x v="0"/>
    <x v="18"/>
    <x v="4"/>
    <x v="0"/>
    <n v="15"/>
    <n v="432.17"/>
    <s v="Store D"/>
    <x v="0"/>
    <n v="0.15"/>
    <x v="2"/>
    <n v="5510.1674999999996"/>
    <n v="3889.53"/>
    <n v="1575.7574999999993"/>
    <n v="0.28597270409656317"/>
    <n v="5510.1674999999996"/>
    <s v="Debit Card"/>
    <s v="WINTER15"/>
    <x v="0"/>
    <n v="0"/>
    <x v="0"/>
    <x v="403"/>
    <s v="Cust 7620"/>
    <n v="44.88"/>
    <d v="2023-08-19T00:00:00"/>
    <d v="2023-08-23T00:00:00"/>
    <s v="Wendy"/>
    <n v="4"/>
  </r>
  <r>
    <d v="2023-11-13T00:00:00"/>
    <x v="9"/>
    <x v="0"/>
    <x v="15"/>
    <x v="1"/>
    <x v="4"/>
    <n v="13"/>
    <n v="531.77"/>
    <s v="Store C"/>
    <x v="1"/>
    <n v="0.1"/>
    <x v="5"/>
    <n v="6221.7090000000007"/>
    <n v="4147.8059999999996"/>
    <n v="2035.9930000000011"/>
    <n v="0.3272401521832668"/>
    <n v="6221.7090000000007"/>
    <s v="Online"/>
    <s v="SAVE10"/>
    <x v="0"/>
    <n v="0"/>
    <x v="0"/>
    <x v="404"/>
    <s v="Cust 7368"/>
    <n v="37.909999999999997"/>
    <d v="2023-11-13T00:00:00"/>
    <d v="2023-11-15T00:00:00"/>
    <s v="Sophie"/>
    <n v="2"/>
  </r>
  <r>
    <d v="2024-09-10T00:00:00"/>
    <x v="11"/>
    <x v="1"/>
    <x v="26"/>
    <x v="4"/>
    <x v="5"/>
    <n v="13"/>
    <n v="442.99"/>
    <s v="Store A"/>
    <x v="0"/>
    <n v="0.05"/>
    <x v="1"/>
    <n v="5470.9264999999996"/>
    <n v="3455.3219999999997"/>
    <n v="1978.4845"/>
    <n v="0.36163609582398887"/>
    <n v="5470.9264999999996"/>
    <s v="Gift Card"/>
    <s v="SAVE10"/>
    <x v="0"/>
    <n v="0"/>
    <x v="0"/>
    <x v="405"/>
    <s v="Cust 1319"/>
    <n v="37.119999999999997"/>
    <d v="2024-09-10T00:00:00"/>
    <d v="2024-09-18T00:00:00"/>
    <s v="Wendy"/>
    <n v="8"/>
  </r>
  <r>
    <d v="2024-08-30T00:00:00"/>
    <x v="10"/>
    <x v="1"/>
    <x v="29"/>
    <x v="3"/>
    <x v="3"/>
    <n v="13"/>
    <n v="567.5"/>
    <s v="Store A"/>
    <x v="1"/>
    <n v="0"/>
    <x v="0"/>
    <n v="7377.5"/>
    <n v="4426.5"/>
    <n v="2922.59"/>
    <n v="0.3961491019993223"/>
    <n v="7377.5"/>
    <s v="Credit Card"/>
    <m/>
    <x v="1"/>
    <n v="0"/>
    <x v="0"/>
    <x v="406"/>
    <s v="Cust 9597"/>
    <n v="28.41"/>
    <d v="2024-08-30T00:00:00"/>
    <d v="2024-09-02T00:00:00"/>
    <s v="Cameron"/>
    <n v="3"/>
  </r>
  <r>
    <d v="2024-11-10T00:00:00"/>
    <x v="9"/>
    <x v="1"/>
    <x v="20"/>
    <x v="0"/>
    <x v="5"/>
    <n v="15"/>
    <n v="469.52"/>
    <s v="Store C"/>
    <x v="0"/>
    <n v="0"/>
    <x v="1"/>
    <n v="7042.7999999999993"/>
    <n v="4225.68"/>
    <n v="2781.5199999999991"/>
    <n v="0.39494519225308106"/>
    <n v="7042.7999999999993"/>
    <s v="Credit Card"/>
    <s v="FREESHIP"/>
    <x v="0"/>
    <n v="0"/>
    <x v="0"/>
    <x v="407"/>
    <s v="Cust 7369"/>
    <n v="35.6"/>
    <d v="2024-11-10T00:00:00"/>
    <d v="2024-11-17T00:00:00"/>
    <s v="Eric"/>
    <n v="7"/>
  </r>
  <r>
    <d v="2023-04-13T00:00:00"/>
    <x v="7"/>
    <x v="0"/>
    <x v="21"/>
    <x v="0"/>
    <x v="6"/>
    <n v="1"/>
    <n v="396.09"/>
    <s v="Store D"/>
    <x v="0"/>
    <n v="0.15"/>
    <x v="2"/>
    <n v="336.67649999999998"/>
    <n v="237.65399999999997"/>
    <n v="59.642500000000005"/>
    <n v="0.17715076638850649"/>
    <n v="336.67649999999998"/>
    <s v="Credit Card"/>
    <s v="WINTER15"/>
    <x v="0"/>
    <n v="0"/>
    <x v="0"/>
    <x v="408"/>
    <s v="Cust 8592"/>
    <n v="39.380000000000003"/>
    <d v="2023-04-13T00:00:00"/>
    <d v="2023-04-19T00:00:00"/>
    <s v="Eric"/>
    <n v="6"/>
  </r>
  <r>
    <d v="2023-11-20T00:00:00"/>
    <x v="9"/>
    <x v="0"/>
    <x v="15"/>
    <x v="0"/>
    <x v="0"/>
    <n v="12"/>
    <n v="195.73"/>
    <s v="Store C"/>
    <x v="0"/>
    <n v="0.05"/>
    <x v="1"/>
    <n v="2231.3219999999997"/>
    <n v="1409.2559999999999"/>
    <n v="784.97599999999977"/>
    <n v="0.35179861983165134"/>
    <n v="2231.3220000000001"/>
    <s v="Cash"/>
    <s v="SAVE10"/>
    <x v="0"/>
    <n v="0"/>
    <x v="0"/>
    <x v="409"/>
    <s v="Cust 2337"/>
    <n v="37.090000000000003"/>
    <d v="2023-11-20T00:00:00"/>
    <d v="2023-11-27T00:00:00"/>
    <s v="Eric"/>
    <n v="7"/>
  </r>
  <r>
    <d v="2025-04-14T00:00:00"/>
    <x v="7"/>
    <x v="2"/>
    <x v="28"/>
    <x v="2"/>
    <x v="6"/>
    <n v="5"/>
    <n v="412.24"/>
    <s v="Store B"/>
    <x v="0"/>
    <n v="0.15"/>
    <x v="3"/>
    <n v="1752.0199999999998"/>
    <n v="1236.72"/>
    <n v="485.98999999999972"/>
    <n v="0.2773883859773289"/>
    <n v="1752.02"/>
    <s v="Cash"/>
    <s v="FREESHIP"/>
    <x v="0"/>
    <n v="0"/>
    <x v="0"/>
    <x v="410"/>
    <s v="Cust 9697"/>
    <n v="29.31"/>
    <d v="2025-04-14T00:00:00"/>
    <d v="2025-04-19T00:00:00"/>
    <s v="Ryan"/>
    <n v="5"/>
  </r>
  <r>
    <d v="2023-03-04T00:00:00"/>
    <x v="6"/>
    <x v="0"/>
    <x v="17"/>
    <x v="3"/>
    <x v="4"/>
    <n v="11"/>
    <n v="558.5"/>
    <s v="Store B"/>
    <x v="1"/>
    <n v="0.15"/>
    <x v="3"/>
    <n v="5221.9749999999995"/>
    <n v="3686.0999999999995"/>
    <n v="1487.7249999999999"/>
    <n v="0.28489699778340571"/>
    <n v="5221.9749999999995"/>
    <s v="Cash"/>
    <s v="WINTER15"/>
    <x v="0"/>
    <n v="0"/>
    <x v="0"/>
    <x v="411"/>
    <s v="Cust 5895"/>
    <n v="48.15"/>
    <d v="2023-03-04T00:00:00"/>
    <d v="2023-03-09T00:00:00"/>
    <s v="Cameron"/>
    <n v="5"/>
  </r>
  <r>
    <d v="2024-11-16T00:00:00"/>
    <x v="9"/>
    <x v="1"/>
    <x v="20"/>
    <x v="2"/>
    <x v="0"/>
    <n v="4"/>
    <n v="175.34"/>
    <s v="Store C"/>
    <x v="1"/>
    <n v="0.15"/>
    <x v="0"/>
    <n v="596.15599999999995"/>
    <n v="420.81599999999997"/>
    <n v="134.47999999999996"/>
    <n v="0.22557853984527534"/>
    <n v="596.15599999999995"/>
    <s v="Cash"/>
    <s v="FREESHIP"/>
    <x v="0"/>
    <n v="0"/>
    <x v="0"/>
    <x v="412"/>
    <s v="Cust 9097"/>
    <n v="40.86"/>
    <d v="2024-11-16T00:00:00"/>
    <d v="2024-11-19T00:00:00"/>
    <s v="Ryan"/>
    <n v="3"/>
  </r>
  <r>
    <d v="2024-05-25T00:00:00"/>
    <x v="2"/>
    <x v="1"/>
    <x v="14"/>
    <x v="1"/>
    <x v="0"/>
    <n v="19"/>
    <n v="478.73"/>
    <s v="Store A"/>
    <x v="1"/>
    <n v="0"/>
    <x v="2"/>
    <n v="9095.8700000000008"/>
    <n v="5457.5219999999999"/>
    <n v="3591.8880000000008"/>
    <n v="0.39489218733337222"/>
    <n v="9095.8700000000008"/>
    <s v="Debit Card"/>
    <s v="WINTER15"/>
    <x v="0"/>
    <n v="1"/>
    <x v="1"/>
    <x v="413"/>
    <s v="Cust 5938"/>
    <n v="46.46"/>
    <d v="2024-05-25T00:00:00"/>
    <d v="2024-06-02T00:00:00"/>
    <s v="Sophie"/>
    <n v="8"/>
  </r>
  <r>
    <d v="2023-04-12T00:00:00"/>
    <x v="7"/>
    <x v="0"/>
    <x v="21"/>
    <x v="0"/>
    <x v="2"/>
    <n v="5"/>
    <n v="365.38"/>
    <s v="Store D"/>
    <x v="0"/>
    <n v="0.15"/>
    <x v="1"/>
    <n v="1552.865"/>
    <n v="1096.1399999999999"/>
    <n v="451.06500000000011"/>
    <n v="0.29047277129692545"/>
    <n v="1552.865"/>
    <s v="Debit Card"/>
    <s v="SAVE10"/>
    <x v="0"/>
    <n v="1"/>
    <x v="1"/>
    <x v="414"/>
    <s v="Cust 6928"/>
    <n v="5.66"/>
    <d v="2023-04-12T00:00:00"/>
    <d v="2023-04-15T00:00:00"/>
    <s v="Eric"/>
    <n v="3"/>
  </r>
  <r>
    <d v="2023-03-07T00:00:00"/>
    <x v="6"/>
    <x v="0"/>
    <x v="17"/>
    <x v="1"/>
    <x v="2"/>
    <n v="10"/>
    <n v="397.33"/>
    <s v="Store B"/>
    <x v="1"/>
    <n v="0.15"/>
    <x v="1"/>
    <n v="3377.3049999999998"/>
    <n v="2383.9799999999996"/>
    <n v="983.12500000000023"/>
    <n v="0.2910974874937266"/>
    <n v="3377.3049999999998"/>
    <s v="Credit Card"/>
    <m/>
    <x v="1"/>
    <n v="0"/>
    <x v="0"/>
    <x v="415"/>
    <s v="Cust 6223"/>
    <n v="10.199999999999999"/>
    <d v="2023-03-07T00:00:00"/>
    <d v="2023-03-13T00:00:00"/>
    <s v="Sophie"/>
    <n v="6"/>
  </r>
  <r>
    <d v="2024-01-05T00:00:00"/>
    <x v="4"/>
    <x v="1"/>
    <x v="24"/>
    <x v="3"/>
    <x v="3"/>
    <n v="17"/>
    <n v="241.01"/>
    <s v="Store A"/>
    <x v="1"/>
    <n v="0.1"/>
    <x v="5"/>
    <n v="3687.453"/>
    <n v="2458.3019999999997"/>
    <n v="1204.4610000000002"/>
    <n v="0.32663765477146428"/>
    <n v="3687.453"/>
    <s v="Debit Card"/>
    <s v="WINTER15"/>
    <x v="0"/>
    <n v="0"/>
    <x v="0"/>
    <x v="416"/>
    <s v="Cust 7614"/>
    <n v="24.69"/>
    <d v="2024-01-05T00:00:00"/>
    <d v="2024-01-11T00:00:00"/>
    <s v="Cameron"/>
    <n v="6"/>
  </r>
  <r>
    <d v="2024-10-31T00:00:00"/>
    <x v="5"/>
    <x v="1"/>
    <x v="7"/>
    <x v="4"/>
    <x v="2"/>
    <n v="17"/>
    <n v="82.2"/>
    <s v="Store C"/>
    <x v="0"/>
    <n v="0"/>
    <x v="1"/>
    <n v="1397.4"/>
    <n v="838.44"/>
    <n v="526.46"/>
    <n v="0.37674252182624873"/>
    <n v="1397.4"/>
    <s v="Cash"/>
    <s v="WINTER15"/>
    <x v="0"/>
    <n v="0"/>
    <x v="0"/>
    <x v="417"/>
    <s v="Cust 3231"/>
    <n v="32.5"/>
    <d v="2024-10-31T00:00:00"/>
    <d v="2024-11-10T00:00:00"/>
    <s v="Wendy"/>
    <n v="10"/>
  </r>
  <r>
    <d v="2024-05-08T00:00:00"/>
    <x v="2"/>
    <x v="1"/>
    <x v="14"/>
    <x v="4"/>
    <x v="4"/>
    <n v="16"/>
    <n v="170.77"/>
    <s v="Store C"/>
    <x v="1"/>
    <n v="0.1"/>
    <x v="2"/>
    <n v="2459.0880000000002"/>
    <n v="1639.3920000000001"/>
    <n v="773.76600000000019"/>
    <n v="0.3146556772266792"/>
    <n v="2459.0880000000002"/>
    <s v="Online"/>
    <s v="SAVE10"/>
    <x v="0"/>
    <n v="1"/>
    <x v="1"/>
    <x v="418"/>
    <s v="Cust 9123"/>
    <n v="45.93"/>
    <d v="2024-05-08T00:00:00"/>
    <d v="2024-05-14T00:00:00"/>
    <s v="Wendy"/>
    <n v="6"/>
  </r>
  <r>
    <d v="2024-03-05T00:00:00"/>
    <x v="6"/>
    <x v="1"/>
    <x v="25"/>
    <x v="3"/>
    <x v="4"/>
    <n v="1"/>
    <n v="8.1999999999999993"/>
    <s v="Store C"/>
    <x v="0"/>
    <n v="0.15"/>
    <x v="2"/>
    <n v="6.9699999999999989"/>
    <n v="4.919999999999999"/>
    <n v="-28.3"/>
    <n v="-4.0602582496413211"/>
    <n v="6.9699999999999989"/>
    <s v="Debit Card"/>
    <m/>
    <x v="1"/>
    <n v="0"/>
    <x v="0"/>
    <x v="419"/>
    <s v="Cust 7054"/>
    <n v="30.35"/>
    <d v="2024-03-05T00:00:00"/>
    <d v="2024-03-15T00:00:00"/>
    <s v="Cameron"/>
    <n v="10"/>
  </r>
  <r>
    <d v="2023-07-18T00:00:00"/>
    <x v="8"/>
    <x v="0"/>
    <x v="11"/>
    <x v="2"/>
    <x v="0"/>
    <n v="12"/>
    <n v="425.78"/>
    <s v="Store A"/>
    <x v="1"/>
    <n v="0.1"/>
    <x v="5"/>
    <n v="4598.424"/>
    <n v="3065.6159999999995"/>
    <n v="1507.3280000000004"/>
    <n v="0.32779230449388758"/>
    <n v="4598.424"/>
    <s v="Online"/>
    <m/>
    <x v="1"/>
    <n v="1"/>
    <x v="1"/>
    <x v="420"/>
    <s v="Cust 4240"/>
    <n v="25.48"/>
    <d v="2023-07-18T00:00:00"/>
    <d v="2023-07-22T00:00:00"/>
    <s v="Ryan"/>
    <n v="4"/>
  </r>
  <r>
    <d v="2023-08-05T00:00:00"/>
    <x v="10"/>
    <x v="0"/>
    <x v="18"/>
    <x v="1"/>
    <x v="6"/>
    <n v="20"/>
    <n v="121.14"/>
    <s v="Store C"/>
    <x v="1"/>
    <n v="0.1"/>
    <x v="5"/>
    <n v="2180.5200000000004"/>
    <n v="1453.6799999999998"/>
    <n v="705.37000000000057"/>
    <n v="0.32348705813292261"/>
    <n v="2180.52"/>
    <s v="Credit Card"/>
    <s v="FREESHIP"/>
    <x v="0"/>
    <n v="0"/>
    <x v="0"/>
    <x v="421"/>
    <s v="Cust 1237"/>
    <n v="21.47"/>
    <d v="2023-08-05T00:00:00"/>
    <d v="2023-08-14T00:00:00"/>
    <s v="Sophie"/>
    <n v="9"/>
  </r>
  <r>
    <d v="2023-09-18T00:00:00"/>
    <x v="11"/>
    <x v="0"/>
    <x v="22"/>
    <x v="4"/>
    <x v="5"/>
    <n v="19"/>
    <n v="448.13"/>
    <s v="Store D"/>
    <x v="0"/>
    <n v="0"/>
    <x v="1"/>
    <n v="8514.4699999999993"/>
    <n v="5108.6819999999998"/>
    <n v="3377.4979999999996"/>
    <n v="0.3966774209081716"/>
    <n v="8514.4699999999993"/>
    <s v="Debit Card"/>
    <s v="FREESHIP"/>
    <x v="0"/>
    <n v="0"/>
    <x v="0"/>
    <x v="422"/>
    <s v="Cust 5513"/>
    <n v="28.29"/>
    <d v="2023-09-18T00:00:00"/>
    <d v="2023-09-20T00:00:00"/>
    <s v="Wendy"/>
    <n v="2"/>
  </r>
  <r>
    <d v="2023-03-27T00:00:00"/>
    <x v="6"/>
    <x v="0"/>
    <x v="17"/>
    <x v="1"/>
    <x v="0"/>
    <n v="8"/>
    <n v="7.81"/>
    <s v="Store D"/>
    <x v="0"/>
    <n v="0.1"/>
    <x v="2"/>
    <n v="56.231999999999999"/>
    <n v="37.488"/>
    <n v="-6.2860000000000014"/>
    <n v="-0.1117868829136435"/>
    <n v="56.231999999999999"/>
    <s v="Online"/>
    <s v="SAVE10"/>
    <x v="0"/>
    <n v="0"/>
    <x v="0"/>
    <x v="423"/>
    <s v="Cust 1835"/>
    <n v="25.03"/>
    <d v="2023-03-27T00:00:00"/>
    <d v="2023-03-29T00:00:00"/>
    <s v="Sophie"/>
    <n v="2"/>
  </r>
  <r>
    <d v="2023-03-08T00:00:00"/>
    <x v="6"/>
    <x v="0"/>
    <x v="17"/>
    <x v="0"/>
    <x v="3"/>
    <n v="19"/>
    <n v="191.44"/>
    <s v="Store C"/>
    <x v="0"/>
    <n v="0.15"/>
    <x v="3"/>
    <n v="3091.7559999999999"/>
    <n v="2182.4159999999997"/>
    <n v="873.80000000000018"/>
    <n v="0.28262256141817149"/>
    <n v="3091.7559999999999"/>
    <s v="Cash"/>
    <s v="WINTER15"/>
    <x v="0"/>
    <n v="1"/>
    <x v="1"/>
    <x v="424"/>
    <s v="Cust 8492"/>
    <n v="35.54"/>
    <d v="2023-03-08T00:00:00"/>
    <d v="2023-03-17T00:00:00"/>
    <s v="Eric"/>
    <n v="9"/>
  </r>
  <r>
    <d v="2024-05-02T00:00:00"/>
    <x v="2"/>
    <x v="1"/>
    <x v="14"/>
    <x v="4"/>
    <x v="2"/>
    <n v="5"/>
    <n v="245.2"/>
    <s v="Store B"/>
    <x v="1"/>
    <n v="0.15"/>
    <x v="0"/>
    <n v="1042.0999999999999"/>
    <n v="735.59999999999991"/>
    <n v="260.13"/>
    <n v="0.24962095768160447"/>
    <n v="1042.0999999999999"/>
    <s v="Online"/>
    <m/>
    <x v="1"/>
    <n v="0"/>
    <x v="0"/>
    <x v="425"/>
    <s v="Cust 2451"/>
    <n v="46.37"/>
    <d v="2024-05-02T00:00:00"/>
    <d v="2024-05-06T00:00:00"/>
    <s v="Wendy"/>
    <n v="4"/>
  </r>
  <r>
    <d v="2023-09-16T00:00:00"/>
    <x v="11"/>
    <x v="0"/>
    <x v="22"/>
    <x v="2"/>
    <x v="2"/>
    <n v="17"/>
    <n v="163.37"/>
    <s v="Store B"/>
    <x v="0"/>
    <n v="0.15"/>
    <x v="0"/>
    <n v="2360.6965"/>
    <n v="1666.374"/>
    <n v="688.96249999999998"/>
    <n v="0.29184713070909368"/>
    <n v="2360.6965"/>
    <s v="Gift Card"/>
    <s v="SAVE10"/>
    <x v="0"/>
    <n v="0"/>
    <x v="0"/>
    <x v="426"/>
    <s v="Cust 4509"/>
    <n v="5.36"/>
    <d v="2023-09-16T00:00:00"/>
    <d v="2023-09-26T00:00:00"/>
    <s v="Ryan"/>
    <n v="10"/>
  </r>
  <r>
    <d v="2023-06-13T00:00:00"/>
    <x v="3"/>
    <x v="0"/>
    <x v="4"/>
    <x v="1"/>
    <x v="5"/>
    <n v="14"/>
    <n v="583.96"/>
    <s v="Store C"/>
    <x v="1"/>
    <n v="0"/>
    <x v="4"/>
    <n v="8175.4400000000005"/>
    <n v="4905.2640000000001"/>
    <n v="3247.1460000000002"/>
    <n v="0.39718302623467361"/>
    <n v="8175.4400000000014"/>
    <s v="Debit Card"/>
    <s v="WINTER15"/>
    <x v="0"/>
    <n v="0"/>
    <x v="0"/>
    <x v="427"/>
    <s v="Cust 6643"/>
    <n v="23.03"/>
    <d v="2023-06-13T00:00:00"/>
    <d v="2023-06-22T00:00:00"/>
    <s v="Sophie"/>
    <n v="9"/>
  </r>
  <r>
    <d v="2023-11-05T00:00:00"/>
    <x v="9"/>
    <x v="0"/>
    <x v="15"/>
    <x v="2"/>
    <x v="2"/>
    <n v="16"/>
    <n v="181.08"/>
    <s v="Store C"/>
    <x v="1"/>
    <n v="0.1"/>
    <x v="3"/>
    <n v="2607.5520000000001"/>
    <n v="1738.3680000000002"/>
    <n v="829.34399999999994"/>
    <n v="0.31805463515205062"/>
    <n v="2607.5520000000001"/>
    <s v="Online"/>
    <s v="WINTER15"/>
    <x v="0"/>
    <n v="0"/>
    <x v="0"/>
    <x v="428"/>
    <s v="Cust 2559"/>
    <n v="39.840000000000003"/>
    <d v="2023-11-05T00:00:00"/>
    <d v="2023-11-08T00:00:00"/>
    <s v="Ryan"/>
    <n v="3"/>
  </r>
  <r>
    <d v="2024-11-23T00:00:00"/>
    <x v="9"/>
    <x v="1"/>
    <x v="20"/>
    <x v="1"/>
    <x v="5"/>
    <n v="8"/>
    <n v="414.94"/>
    <s v="Store A"/>
    <x v="0"/>
    <n v="0"/>
    <x v="1"/>
    <n v="3319.52"/>
    <n v="1991.712"/>
    <n v="1281.2280000000001"/>
    <n v="0.38596785077360585"/>
    <n v="3319.52"/>
    <s v="Debit Card"/>
    <s v="SAVE10"/>
    <x v="0"/>
    <n v="0"/>
    <x v="0"/>
    <x v="429"/>
    <s v="Cust 4423"/>
    <n v="46.58"/>
    <d v="2024-11-23T00:00:00"/>
    <d v="2024-11-26T00:00:00"/>
    <s v="Sophie"/>
    <n v="3"/>
  </r>
  <r>
    <d v="2024-02-09T00:00:00"/>
    <x v="0"/>
    <x v="1"/>
    <x v="5"/>
    <x v="3"/>
    <x v="1"/>
    <n v="16"/>
    <n v="442.22"/>
    <s v="Store B"/>
    <x v="1"/>
    <n v="0"/>
    <x v="1"/>
    <n v="7075.52"/>
    <n v="4245.3119999999999"/>
    <n v="2802.8480000000004"/>
    <n v="0.39613314639772063"/>
    <n v="7075.52"/>
    <s v="Cash"/>
    <s v="FREESHIP"/>
    <x v="0"/>
    <n v="0"/>
    <x v="0"/>
    <x v="430"/>
    <s v="Cust 9139"/>
    <n v="27.36"/>
    <d v="2024-02-09T00:00:00"/>
    <d v="2024-02-18T00:00:00"/>
    <s v="Cameron"/>
    <n v="9"/>
  </r>
  <r>
    <d v="2023-11-16T00:00:00"/>
    <x v="9"/>
    <x v="0"/>
    <x v="15"/>
    <x v="3"/>
    <x v="6"/>
    <n v="14"/>
    <n v="595.39"/>
    <s v="Store A"/>
    <x v="0"/>
    <n v="0.1"/>
    <x v="5"/>
    <n v="7501.9139999999998"/>
    <n v="5001.2759999999998"/>
    <n v="2491.1279999999997"/>
    <n v="0.33206565684437328"/>
    <n v="7501.9139999999998"/>
    <s v="Credit Card"/>
    <s v="SAVE10"/>
    <x v="0"/>
    <n v="0"/>
    <x v="0"/>
    <x v="431"/>
    <s v="Cust 6668"/>
    <n v="9.51"/>
    <d v="2023-11-16T00:00:00"/>
    <d v="2023-11-22T00:00:00"/>
    <s v="Cameron"/>
    <n v="6"/>
  </r>
  <r>
    <d v="2025-01-24T00:00:00"/>
    <x v="4"/>
    <x v="2"/>
    <x v="12"/>
    <x v="3"/>
    <x v="4"/>
    <n v="6"/>
    <n v="175.3"/>
    <s v="Store A"/>
    <x v="0"/>
    <n v="0.15"/>
    <x v="1"/>
    <n v="894.03000000000009"/>
    <n v="631.08000000000004"/>
    <n v="245.03000000000003"/>
    <n v="0.27407357694931939"/>
    <n v="894.03000000000009"/>
    <s v="Cash"/>
    <s v="SAVE10"/>
    <x v="0"/>
    <n v="1"/>
    <x v="1"/>
    <x v="432"/>
    <s v="Cust 4315"/>
    <n v="17.920000000000002"/>
    <d v="2025-01-24T00:00:00"/>
    <d v="2025-01-29T00:00:00"/>
    <s v="Cameron"/>
    <n v="5"/>
  </r>
  <r>
    <d v="2025-05-06T00:00:00"/>
    <x v="2"/>
    <x v="2"/>
    <x v="13"/>
    <x v="3"/>
    <x v="5"/>
    <n v="7"/>
    <n v="319.58999999999997"/>
    <s v="Store C"/>
    <x v="0"/>
    <n v="0.15"/>
    <x v="3"/>
    <n v="1901.5604999999996"/>
    <n v="1342.278"/>
    <n v="550.81249999999955"/>
    <n v="0.2896634106566684"/>
    <n v="1901.5605"/>
    <s v="Gift Card"/>
    <s v="WINTER15"/>
    <x v="0"/>
    <n v="1"/>
    <x v="1"/>
    <x v="433"/>
    <s v="Cust 8000"/>
    <n v="8.4700000000000006"/>
    <d v="2025-05-06T00:00:00"/>
    <d v="2025-05-09T00:00:00"/>
    <s v="Cameron"/>
    <n v="3"/>
  </r>
  <r>
    <d v="2025-05-17T00:00:00"/>
    <x v="2"/>
    <x v="2"/>
    <x v="13"/>
    <x v="0"/>
    <x v="6"/>
    <n v="15"/>
    <n v="506.81"/>
    <s v="Store A"/>
    <x v="1"/>
    <n v="0.15"/>
    <x v="5"/>
    <n v="6461.8274999999994"/>
    <n v="4561.29"/>
    <n v="1859.5074999999995"/>
    <n v="0.2877680501375191"/>
    <n v="6461.8274999999994"/>
    <s v="Cash"/>
    <s v="FREESHIP"/>
    <x v="0"/>
    <n v="1"/>
    <x v="1"/>
    <x v="434"/>
    <s v="Cust 7585"/>
    <n v="41.03"/>
    <d v="2025-05-17T00:00:00"/>
    <d v="2025-05-27T00:00:00"/>
    <s v="Eric"/>
    <n v="10"/>
  </r>
  <r>
    <d v="2023-11-29T00:00:00"/>
    <x v="9"/>
    <x v="0"/>
    <x v="15"/>
    <x v="3"/>
    <x v="0"/>
    <n v="17"/>
    <n v="538.08000000000004"/>
    <s v="Store A"/>
    <x v="1"/>
    <n v="0.05"/>
    <x v="0"/>
    <n v="8689.9920000000002"/>
    <n v="5488.4160000000002"/>
    <n v="3181.9659999999999"/>
    <n v="0.36616443375321861"/>
    <n v="8689.9920000000002"/>
    <s v="Debit Card"/>
    <s v="FREESHIP"/>
    <x v="0"/>
    <n v="0"/>
    <x v="0"/>
    <x v="435"/>
    <s v="Cust 3127"/>
    <n v="19.61"/>
    <d v="2023-11-29T00:00:00"/>
    <d v="2023-12-01T00:00:00"/>
    <s v="Cameron"/>
    <n v="2"/>
  </r>
  <r>
    <d v="2023-02-24T00:00:00"/>
    <x v="0"/>
    <x v="0"/>
    <x v="0"/>
    <x v="1"/>
    <x v="3"/>
    <n v="16"/>
    <n v="187.84"/>
    <s v="Store A"/>
    <x v="1"/>
    <n v="0"/>
    <x v="1"/>
    <n v="3005.44"/>
    <n v="1803.2639999999999"/>
    <n v="1183.5260000000001"/>
    <n v="0.3937945858177172"/>
    <n v="3005.44"/>
    <s v="Credit Card"/>
    <s v="SAVE10"/>
    <x v="0"/>
    <n v="0"/>
    <x v="0"/>
    <x v="436"/>
    <s v="Cust 4130"/>
    <n v="18.649999999999999"/>
    <d v="2023-02-24T00:00:00"/>
    <d v="2023-02-26T00:00:00"/>
    <s v="Sophie"/>
    <n v="2"/>
  </r>
  <r>
    <d v="2023-11-04T00:00:00"/>
    <x v="9"/>
    <x v="0"/>
    <x v="15"/>
    <x v="1"/>
    <x v="0"/>
    <n v="18"/>
    <n v="426.3"/>
    <s v="Store A"/>
    <x v="0"/>
    <n v="0.15"/>
    <x v="3"/>
    <n v="6522.39"/>
    <n v="4604.04"/>
    <n v="1888.5400000000004"/>
    <n v="0.28954723651912878"/>
    <n v="6522.39"/>
    <s v="Credit Card"/>
    <m/>
    <x v="1"/>
    <n v="1"/>
    <x v="1"/>
    <x v="437"/>
    <s v="Cust 6956"/>
    <n v="29.81"/>
    <d v="2023-11-04T00:00:00"/>
    <d v="2023-11-10T00:00:00"/>
    <s v="Sophie"/>
    <n v="6"/>
  </r>
  <r>
    <d v="2024-06-15T00:00:00"/>
    <x v="3"/>
    <x v="1"/>
    <x v="23"/>
    <x v="0"/>
    <x v="2"/>
    <n v="1"/>
    <n v="498.35"/>
    <s v="Store B"/>
    <x v="1"/>
    <n v="0.1"/>
    <x v="1"/>
    <n v="448.51500000000004"/>
    <n v="299.01"/>
    <n v="114.80500000000005"/>
    <n v="0.25596691303523861"/>
    <n v="448.51499999999999"/>
    <s v="Online"/>
    <s v="FREESHIP"/>
    <x v="0"/>
    <n v="0"/>
    <x v="0"/>
    <x v="438"/>
    <s v="Cust 8155"/>
    <n v="34.700000000000003"/>
    <d v="2024-06-15T00:00:00"/>
    <d v="2024-06-22T00:00:00"/>
    <s v="Eric"/>
    <n v="7"/>
  </r>
  <r>
    <d v="2024-10-02T00:00:00"/>
    <x v="5"/>
    <x v="1"/>
    <x v="7"/>
    <x v="2"/>
    <x v="5"/>
    <n v="19"/>
    <n v="385.72"/>
    <s v="Store A"/>
    <x v="1"/>
    <n v="0.05"/>
    <x v="3"/>
    <n v="6962.2460000000001"/>
    <n v="4397.2080000000005"/>
    <n v="2552.5779999999995"/>
    <n v="0.36663140026939572"/>
    <n v="6962.2460000000001"/>
    <s v="Cash"/>
    <s v="SAVE10"/>
    <x v="0"/>
    <n v="1"/>
    <x v="1"/>
    <x v="439"/>
    <s v="Cust 8852"/>
    <n v="12.46"/>
    <d v="2024-10-02T00:00:00"/>
    <d v="2024-10-06T00:00:00"/>
    <s v="Ryan"/>
    <n v="4"/>
  </r>
  <r>
    <d v="2023-06-03T00:00:00"/>
    <x v="3"/>
    <x v="0"/>
    <x v="4"/>
    <x v="4"/>
    <x v="5"/>
    <n v="3"/>
    <n v="54.37"/>
    <s v="Store B"/>
    <x v="0"/>
    <n v="0.1"/>
    <x v="2"/>
    <n v="146.79899999999998"/>
    <n v="97.866"/>
    <n v="0.22299999999997766"/>
    <n v="1.5190839174652258E-3"/>
    <n v="146.79900000000001"/>
    <s v="Credit Card"/>
    <s v="WINTER15"/>
    <x v="0"/>
    <n v="0"/>
    <x v="0"/>
    <x v="440"/>
    <s v="Cust 2850"/>
    <n v="48.71"/>
    <d v="2023-06-03T00:00:00"/>
    <d v="2023-06-13T00:00:00"/>
    <s v="Wendy"/>
    <n v="10"/>
  </r>
  <r>
    <d v="2023-09-10T00:00:00"/>
    <x v="11"/>
    <x v="0"/>
    <x v="22"/>
    <x v="0"/>
    <x v="1"/>
    <n v="6"/>
    <n v="471.74"/>
    <s v="Store C"/>
    <x v="1"/>
    <n v="0.15"/>
    <x v="3"/>
    <n v="2405.8739999999998"/>
    <n v="1698.2639999999999"/>
    <n v="670.81999999999994"/>
    <n v="0.27882590692613163"/>
    <n v="2405.8739999999998"/>
    <s v="Online"/>
    <m/>
    <x v="1"/>
    <n v="0"/>
    <x v="0"/>
    <x v="441"/>
    <s v="Cust 9572"/>
    <n v="36.79"/>
    <d v="2023-09-10T00:00:00"/>
    <d v="2023-09-18T00:00:00"/>
    <s v="Eric"/>
    <n v="8"/>
  </r>
  <r>
    <d v="2025-05-20T00:00:00"/>
    <x v="2"/>
    <x v="2"/>
    <x v="13"/>
    <x v="3"/>
    <x v="6"/>
    <n v="19"/>
    <n v="322.31"/>
    <s v="Store B"/>
    <x v="1"/>
    <n v="0.15"/>
    <x v="5"/>
    <n v="5205.3065000000006"/>
    <n v="3674.3339999999998"/>
    <n v="1497.0225000000007"/>
    <n v="0.2875954566748376"/>
    <n v="5205.3065000000006"/>
    <s v="Cash"/>
    <s v="FREESHIP"/>
    <x v="0"/>
    <n v="0"/>
    <x v="0"/>
    <x v="442"/>
    <s v="Cust 6253"/>
    <n v="33.950000000000003"/>
    <d v="2025-05-20T00:00:00"/>
    <d v="2025-05-22T00:00:00"/>
    <s v="Cameron"/>
    <n v="2"/>
  </r>
  <r>
    <d v="2023-09-24T00:00:00"/>
    <x v="11"/>
    <x v="0"/>
    <x v="22"/>
    <x v="2"/>
    <x v="5"/>
    <n v="13"/>
    <n v="115.86"/>
    <s v="Store A"/>
    <x v="0"/>
    <n v="0.1"/>
    <x v="4"/>
    <n v="1355.5620000000001"/>
    <n v="903.70799999999986"/>
    <n v="423.33400000000029"/>
    <n v="0.31229408909367501"/>
    <n v="1355.5619999999999"/>
    <s v="Cash"/>
    <m/>
    <x v="1"/>
    <n v="1"/>
    <x v="1"/>
    <x v="443"/>
    <s v="Cust 4154"/>
    <n v="28.52"/>
    <d v="2023-09-24T00:00:00"/>
    <d v="2023-10-03T00:00:00"/>
    <s v="Ryan"/>
    <n v="9"/>
  </r>
  <r>
    <d v="2025-03-29T00:00:00"/>
    <x v="6"/>
    <x v="2"/>
    <x v="8"/>
    <x v="0"/>
    <x v="5"/>
    <n v="18"/>
    <n v="398.26"/>
    <s v="Store B"/>
    <x v="1"/>
    <n v="0.1"/>
    <x v="5"/>
    <n v="6451.8120000000008"/>
    <n v="4301.2079999999996"/>
    <n v="2133.804000000001"/>
    <n v="0.33072941369029363"/>
    <n v="6451.8120000000008"/>
    <s v="Debit Card"/>
    <m/>
    <x v="1"/>
    <n v="0"/>
    <x v="0"/>
    <x v="444"/>
    <s v="Cust 2137"/>
    <n v="16.8"/>
    <d v="2025-03-29T00:00:00"/>
    <d v="2025-04-04T00:00:00"/>
    <s v="Eric"/>
    <n v="6"/>
  </r>
  <r>
    <d v="2023-06-17T00:00:00"/>
    <x v="3"/>
    <x v="0"/>
    <x v="4"/>
    <x v="0"/>
    <x v="3"/>
    <n v="4"/>
    <n v="584.79999999999995"/>
    <s v="Store B"/>
    <x v="1"/>
    <n v="0.1"/>
    <x v="0"/>
    <n v="2105.2799999999997"/>
    <n v="1403.5199999999998"/>
    <n v="685.31999999999994"/>
    <n v="0.32552439580483356"/>
    <n v="2105.2800000000002"/>
    <s v="Online"/>
    <s v="FREESHIP"/>
    <x v="0"/>
    <n v="0"/>
    <x v="0"/>
    <x v="445"/>
    <s v="Cust 8157"/>
    <n v="16.440000000000001"/>
    <d v="2023-06-17T00:00:00"/>
    <d v="2023-06-25T00:00:00"/>
    <s v="Eric"/>
    <n v="8"/>
  </r>
  <r>
    <d v="2024-01-28T00:00:00"/>
    <x v="4"/>
    <x v="1"/>
    <x v="24"/>
    <x v="4"/>
    <x v="6"/>
    <n v="20"/>
    <n v="424.7"/>
    <s v="Store B"/>
    <x v="0"/>
    <n v="0.15"/>
    <x v="5"/>
    <n v="7219.9"/>
    <n v="5096.3999999999996"/>
    <n v="2081.4699999999998"/>
    <n v="0.28829623678998323"/>
    <n v="7219.9"/>
    <s v="Online"/>
    <s v="FREESHIP"/>
    <x v="0"/>
    <n v="0"/>
    <x v="0"/>
    <x v="446"/>
    <s v="Cust 4861"/>
    <n v="42.03"/>
    <d v="2024-01-28T00:00:00"/>
    <d v="2024-02-05T00:00:00"/>
    <s v="Wendy"/>
    <n v="8"/>
  </r>
  <r>
    <d v="2023-03-14T00:00:00"/>
    <x v="6"/>
    <x v="0"/>
    <x v="17"/>
    <x v="3"/>
    <x v="3"/>
    <n v="16"/>
    <n v="179.22"/>
    <s v="Store D"/>
    <x v="1"/>
    <n v="0.1"/>
    <x v="1"/>
    <n v="2580.768"/>
    <n v="1720.5119999999999"/>
    <n v="814.26600000000008"/>
    <n v="0.31551305657850687"/>
    <n v="2580.768"/>
    <s v="Online"/>
    <s v="WINTER15"/>
    <x v="0"/>
    <n v="0"/>
    <x v="0"/>
    <x v="447"/>
    <s v="Cust 7493"/>
    <n v="45.99"/>
    <d v="2023-03-14T00:00:00"/>
    <d v="2023-03-17T00:00:00"/>
    <s v="Cameron"/>
    <n v="3"/>
  </r>
  <r>
    <d v="2025-01-09T00:00:00"/>
    <x v="4"/>
    <x v="2"/>
    <x v="12"/>
    <x v="0"/>
    <x v="0"/>
    <n v="12"/>
    <n v="148.66"/>
    <s v="Store A"/>
    <x v="0"/>
    <n v="0"/>
    <x v="4"/>
    <n v="1783.92"/>
    <n v="1070.3519999999999"/>
    <n v="686.40800000000024"/>
    <n v="0.38477510202251236"/>
    <n v="1783.92"/>
    <s v="Online"/>
    <m/>
    <x v="1"/>
    <n v="1"/>
    <x v="1"/>
    <x v="448"/>
    <s v="Cust 7073"/>
    <n v="27.16"/>
    <d v="2025-01-09T00:00:00"/>
    <d v="2025-01-17T00:00:00"/>
    <s v="Eric"/>
    <n v="8"/>
  </r>
  <r>
    <d v="2025-03-30T00:00:00"/>
    <x v="6"/>
    <x v="2"/>
    <x v="8"/>
    <x v="3"/>
    <x v="1"/>
    <n v="16"/>
    <n v="460.43"/>
    <s v="Store B"/>
    <x v="0"/>
    <n v="0.15"/>
    <x v="5"/>
    <n v="6261.848"/>
    <n v="4420.1279999999997"/>
    <n v="1821.3400000000001"/>
    <n v="0.2908630167963196"/>
    <n v="6261.848"/>
    <s v="Online"/>
    <s v="WINTER15"/>
    <x v="0"/>
    <n v="0"/>
    <x v="0"/>
    <x v="449"/>
    <s v="Cust 9085"/>
    <n v="20.38"/>
    <d v="2025-03-30T00:00:00"/>
    <d v="2025-04-06T00:00:00"/>
    <s v="Cameron"/>
    <n v="7"/>
  </r>
  <r>
    <d v="2023-10-23T00:00:00"/>
    <x v="5"/>
    <x v="0"/>
    <x v="19"/>
    <x v="0"/>
    <x v="5"/>
    <n v="5"/>
    <n v="334.37"/>
    <s v="Store B"/>
    <x v="1"/>
    <n v="0.05"/>
    <x v="3"/>
    <n v="1588.2574999999999"/>
    <n v="1003.1099999999999"/>
    <n v="553.01750000000004"/>
    <n v="0.3481913354729948"/>
    <n v="1588.2574999999999"/>
    <s v="Credit Card"/>
    <m/>
    <x v="1"/>
    <n v="0"/>
    <x v="0"/>
    <x v="450"/>
    <s v="Cust 3247"/>
    <n v="32.130000000000003"/>
    <d v="2023-10-23T00:00:00"/>
    <d v="2023-10-28T00:00:00"/>
    <s v="Eric"/>
    <n v="5"/>
  </r>
  <r>
    <d v="2025-06-08T00:00:00"/>
    <x v="3"/>
    <x v="2"/>
    <x v="16"/>
    <x v="4"/>
    <x v="4"/>
    <n v="3"/>
    <n v="599.72"/>
    <s v="Store D"/>
    <x v="1"/>
    <n v="0.15"/>
    <x v="1"/>
    <n v="1529.2860000000001"/>
    <n v="1079.4960000000001"/>
    <n v="434.85999999999996"/>
    <n v="0.28435492118544203"/>
    <n v="1529.2860000000001"/>
    <s v="Online"/>
    <s v="WINTER15"/>
    <x v="0"/>
    <n v="1"/>
    <x v="1"/>
    <x v="451"/>
    <s v="Cust 8504"/>
    <n v="14.93"/>
    <d v="2025-06-08T00:00:00"/>
    <d v="2025-06-14T00:00:00"/>
    <s v="Wendy"/>
    <n v="6"/>
  </r>
  <r>
    <d v="2024-02-26T00:00:00"/>
    <x v="0"/>
    <x v="1"/>
    <x v="5"/>
    <x v="4"/>
    <x v="4"/>
    <n v="11"/>
    <n v="389.84"/>
    <s v="Store D"/>
    <x v="0"/>
    <n v="0"/>
    <x v="1"/>
    <n v="4288.24"/>
    <n v="2572.9439999999995"/>
    <n v="1705.0560000000003"/>
    <n v="0.39761207395108489"/>
    <n v="4288.24"/>
    <s v="Gift Card"/>
    <s v="SAVE10"/>
    <x v="0"/>
    <n v="1"/>
    <x v="1"/>
    <x v="452"/>
    <s v="Cust 4164"/>
    <n v="10.24"/>
    <d v="2024-02-26T00:00:00"/>
    <d v="2024-02-29T00:00:00"/>
    <s v="Wendy"/>
    <n v="3"/>
  </r>
  <r>
    <d v="2024-10-30T00:00:00"/>
    <x v="5"/>
    <x v="1"/>
    <x v="7"/>
    <x v="0"/>
    <x v="3"/>
    <n v="11"/>
    <n v="445.75"/>
    <s v="Store A"/>
    <x v="0"/>
    <n v="0.1"/>
    <x v="2"/>
    <n v="4412.9250000000002"/>
    <n v="2941.95"/>
    <n v="1452.9050000000004"/>
    <n v="0.32923854359636756"/>
    <n v="4412.9250000000002"/>
    <s v="Online"/>
    <s v="SAVE10"/>
    <x v="0"/>
    <n v="0"/>
    <x v="0"/>
    <x v="453"/>
    <s v="Cust 9592"/>
    <n v="18.07"/>
    <d v="2024-10-30T00:00:00"/>
    <d v="2024-11-07T00:00:00"/>
    <s v="Eric"/>
    <n v="8"/>
  </r>
  <r>
    <d v="2024-08-19T00:00:00"/>
    <x v="10"/>
    <x v="1"/>
    <x v="29"/>
    <x v="1"/>
    <x v="0"/>
    <n v="18"/>
    <n v="96.84"/>
    <s v="Store A"/>
    <x v="0"/>
    <n v="0.15"/>
    <x v="2"/>
    <n v="1481.652"/>
    <n v="1045.8720000000001"/>
    <n v="427.67999999999995"/>
    <n v="0.28865077629564834"/>
    <n v="1481.652"/>
    <s v="Cash"/>
    <s v="SAVE10"/>
    <x v="0"/>
    <n v="1"/>
    <x v="1"/>
    <x v="454"/>
    <s v="Cust 7450"/>
    <n v="8.1"/>
    <d v="2024-08-19T00:00:00"/>
    <d v="2024-08-23T00:00:00"/>
    <s v="Sophie"/>
    <n v="4"/>
  </r>
  <r>
    <d v="2023-07-30T00:00:00"/>
    <x v="8"/>
    <x v="0"/>
    <x v="11"/>
    <x v="3"/>
    <x v="3"/>
    <n v="1"/>
    <n v="528.30999999999995"/>
    <s v="Store C"/>
    <x v="0"/>
    <n v="0.1"/>
    <x v="1"/>
    <n v="475.47899999999998"/>
    <n v="316.98599999999993"/>
    <n v="133.94300000000004"/>
    <n v="0.281701189747602"/>
    <n v="475.47899999999998"/>
    <s v="Online"/>
    <s v="FREESHIP"/>
    <x v="0"/>
    <n v="0"/>
    <x v="0"/>
    <x v="455"/>
    <s v="Cust 4186"/>
    <n v="24.55"/>
    <d v="2023-07-30T00:00:00"/>
    <d v="2023-08-09T00:00:00"/>
    <s v="Cameron"/>
    <n v="10"/>
  </r>
  <r>
    <d v="2024-08-13T00:00:00"/>
    <x v="10"/>
    <x v="1"/>
    <x v="29"/>
    <x v="2"/>
    <x v="4"/>
    <n v="16"/>
    <n v="64.03"/>
    <s v="Store A"/>
    <x v="0"/>
    <n v="0"/>
    <x v="3"/>
    <n v="1024.48"/>
    <n v="614.68799999999999"/>
    <n v="393.08200000000005"/>
    <n v="0.38368928627206"/>
    <n v="1024.48"/>
    <s v="Gift Card"/>
    <s v="WINTER15"/>
    <x v="0"/>
    <n v="1"/>
    <x v="1"/>
    <x v="456"/>
    <s v="Cust 3305"/>
    <n v="16.71"/>
    <d v="2024-08-13T00:00:00"/>
    <d v="2024-08-23T00:00:00"/>
    <s v="Ryan"/>
    <n v="10"/>
  </r>
  <r>
    <d v="2023-11-04T00:00:00"/>
    <x v="9"/>
    <x v="0"/>
    <x v="15"/>
    <x v="2"/>
    <x v="6"/>
    <n v="13"/>
    <n v="179.37"/>
    <s v="Store A"/>
    <x v="1"/>
    <n v="0.05"/>
    <x v="0"/>
    <n v="2215.2194999999997"/>
    <n v="1399.086"/>
    <n v="780.85349999999971"/>
    <n v="0.35249486563295412"/>
    <n v="2215.2195000000002"/>
    <s v="Online"/>
    <s v="FREESHIP"/>
    <x v="0"/>
    <n v="0"/>
    <x v="0"/>
    <x v="457"/>
    <s v="Cust 9768"/>
    <n v="35.28"/>
    <d v="2023-11-04T00:00:00"/>
    <d v="2023-11-12T00:00:00"/>
    <s v="Ryan"/>
    <n v="8"/>
  </r>
  <r>
    <d v="2025-06-05T00:00:00"/>
    <x v="3"/>
    <x v="2"/>
    <x v="16"/>
    <x v="0"/>
    <x v="6"/>
    <n v="19"/>
    <n v="491.15"/>
    <s v="Store C"/>
    <x v="1"/>
    <n v="0"/>
    <x v="2"/>
    <n v="9331.85"/>
    <n v="5599.11"/>
    <n v="3684.0600000000009"/>
    <n v="0.39478345665650444"/>
    <n v="9331.85"/>
    <s v="Online"/>
    <m/>
    <x v="1"/>
    <n v="0"/>
    <x v="0"/>
    <x v="458"/>
    <s v="Cust 1179"/>
    <n v="48.68"/>
    <d v="2025-06-05T00:00:00"/>
    <d v="2025-06-15T00:00:00"/>
    <s v="Eric"/>
    <n v="10"/>
  </r>
  <r>
    <d v="2023-06-23T00:00:00"/>
    <x v="3"/>
    <x v="0"/>
    <x v="4"/>
    <x v="2"/>
    <x v="6"/>
    <n v="5"/>
    <n v="360.34"/>
    <s v="Store C"/>
    <x v="0"/>
    <n v="0"/>
    <x v="3"/>
    <n v="1801.6999999999998"/>
    <n v="1081.02"/>
    <n v="686.91999999999985"/>
    <n v="0.38126214131098402"/>
    <n v="1801.7"/>
    <s v="Gift Card"/>
    <m/>
    <x v="1"/>
    <n v="0"/>
    <x v="0"/>
    <x v="459"/>
    <s v="Cust 2546"/>
    <n v="33.76"/>
    <d v="2023-06-23T00:00:00"/>
    <d v="2023-06-28T00:00:00"/>
    <s v="Ryan"/>
    <n v="5"/>
  </r>
  <r>
    <d v="2024-09-21T00:00:00"/>
    <x v="11"/>
    <x v="1"/>
    <x v="26"/>
    <x v="1"/>
    <x v="0"/>
    <n v="20"/>
    <n v="296.8"/>
    <s v="Store A"/>
    <x v="1"/>
    <n v="0.1"/>
    <x v="2"/>
    <n v="5342.4000000000005"/>
    <n v="3561.6000000000004"/>
    <n v="1761.2300000000002"/>
    <n v="0.32967018568433665"/>
    <n v="5342.4000000000005"/>
    <s v="Gift Card"/>
    <m/>
    <x v="1"/>
    <n v="0"/>
    <x v="0"/>
    <x v="460"/>
    <s v="Cust 2672"/>
    <n v="19.57"/>
    <d v="2024-09-21T00:00:00"/>
    <d v="2024-09-28T00:00:00"/>
    <s v="Sophie"/>
    <n v="7"/>
  </r>
  <r>
    <d v="2024-01-01T00:00:00"/>
    <x v="4"/>
    <x v="1"/>
    <x v="24"/>
    <x v="1"/>
    <x v="2"/>
    <n v="3"/>
    <n v="599.41999999999996"/>
    <s v="Store A"/>
    <x v="0"/>
    <n v="0.1"/>
    <x v="5"/>
    <n v="1618.4339999999997"/>
    <n v="1078.9559999999999"/>
    <n v="491.45799999999986"/>
    <n v="0.30366267638964578"/>
    <n v="1618.434"/>
    <s v="Online"/>
    <s v="SAVE10"/>
    <x v="0"/>
    <n v="0"/>
    <x v="0"/>
    <x v="461"/>
    <s v="Cust 3394"/>
    <n v="48.02"/>
    <d v="2024-01-01T00:00:00"/>
    <d v="2024-01-03T00:00:00"/>
    <s v="Sophie"/>
    <n v="2"/>
  </r>
  <r>
    <d v="2025-01-02T00:00:00"/>
    <x v="4"/>
    <x v="2"/>
    <x v="12"/>
    <x v="4"/>
    <x v="0"/>
    <n v="1"/>
    <n v="374.33"/>
    <s v="Store B"/>
    <x v="0"/>
    <n v="0"/>
    <x v="3"/>
    <n v="374.33"/>
    <n v="224.59799999999998"/>
    <n v="116.422"/>
    <n v="0.3110143456308605"/>
    <n v="374.33"/>
    <s v="Credit Card"/>
    <s v="FREESHIP"/>
    <x v="0"/>
    <n v="0"/>
    <x v="0"/>
    <x v="462"/>
    <s v="Cust 1649"/>
    <n v="33.31"/>
    <d v="2025-01-02T00:00:00"/>
    <d v="2025-01-12T00:00:00"/>
    <s v="Wendy"/>
    <n v="10"/>
  </r>
  <r>
    <d v="2024-03-14T00:00:00"/>
    <x v="6"/>
    <x v="1"/>
    <x v="25"/>
    <x v="2"/>
    <x v="2"/>
    <n v="13"/>
    <n v="588.79999999999995"/>
    <s v="Store D"/>
    <x v="0"/>
    <n v="0.15"/>
    <x v="2"/>
    <n v="6506.24"/>
    <n v="4592.6399999999994"/>
    <n v="1868.5700000000004"/>
    <n v="0.28719659895730876"/>
    <n v="6506.24"/>
    <s v="Cash"/>
    <s v="SAVE10"/>
    <x v="0"/>
    <n v="0"/>
    <x v="0"/>
    <x v="463"/>
    <s v="Cust 6994"/>
    <n v="45.03"/>
    <d v="2024-03-14T00:00:00"/>
    <d v="2024-03-21T00:00:00"/>
    <s v="Ryan"/>
    <n v="7"/>
  </r>
  <r>
    <d v="2024-05-04T00:00:00"/>
    <x v="2"/>
    <x v="1"/>
    <x v="14"/>
    <x v="4"/>
    <x v="4"/>
    <n v="13"/>
    <n v="198.44"/>
    <s v="Store D"/>
    <x v="0"/>
    <n v="0"/>
    <x v="3"/>
    <n v="2579.7199999999998"/>
    <n v="1547.8319999999999"/>
    <n v="1000.3779999999999"/>
    <n v="0.38778549610035196"/>
    <n v="2579.7199999999998"/>
    <s v="Cash"/>
    <s v="SAVE10"/>
    <x v="0"/>
    <n v="1"/>
    <x v="1"/>
    <x v="464"/>
    <s v="Cust 9879"/>
    <n v="31.51"/>
    <d v="2024-05-04T00:00:00"/>
    <d v="2024-05-09T00:00:00"/>
    <s v="Wendy"/>
    <n v="5"/>
  </r>
  <r>
    <d v="2025-02-27T00:00:00"/>
    <x v="0"/>
    <x v="2"/>
    <x v="3"/>
    <x v="1"/>
    <x v="6"/>
    <n v="12"/>
    <n v="384.2"/>
    <s v="Store A"/>
    <x v="1"/>
    <n v="0"/>
    <x v="0"/>
    <n v="4610.3999999999996"/>
    <n v="2766.24"/>
    <n v="1805.1699999999998"/>
    <n v="0.39154303314246053"/>
    <n v="4610.3999999999996"/>
    <s v="Cash"/>
    <s v="FREESHIP"/>
    <x v="0"/>
    <n v="0"/>
    <x v="0"/>
    <x v="465"/>
    <s v="Cust 9069"/>
    <n v="38.99"/>
    <d v="2025-02-27T00:00:00"/>
    <d v="2025-03-02T00:00:00"/>
    <s v="Sophie"/>
    <n v="3"/>
  </r>
  <r>
    <d v="2024-11-13T00:00:00"/>
    <x v="9"/>
    <x v="1"/>
    <x v="20"/>
    <x v="3"/>
    <x v="1"/>
    <n v="4"/>
    <n v="475.49"/>
    <s v="Store B"/>
    <x v="0"/>
    <n v="0.15"/>
    <x v="2"/>
    <n v="1616.6659999999999"/>
    <n v="1141.1759999999999"/>
    <n v="463.89"/>
    <n v="0.28694238636799441"/>
    <n v="1616.6659999999999"/>
    <s v="Cash"/>
    <s v="WINTER15"/>
    <x v="0"/>
    <n v="0"/>
    <x v="0"/>
    <x v="466"/>
    <s v="Cust 3712"/>
    <n v="11.6"/>
    <d v="2024-11-13T00:00:00"/>
    <d v="2024-11-17T00:00:00"/>
    <s v="Cameron"/>
    <n v="4"/>
  </r>
  <r>
    <d v="2023-10-31T00:00:00"/>
    <x v="5"/>
    <x v="0"/>
    <x v="19"/>
    <x v="4"/>
    <x v="6"/>
    <n v="6"/>
    <n v="202.97"/>
    <s v="Store C"/>
    <x v="1"/>
    <n v="0.1"/>
    <x v="0"/>
    <n v="1096.038"/>
    <n v="730.69200000000001"/>
    <n v="321.79599999999999"/>
    <n v="0.29359930951299135"/>
    <n v="1096.038"/>
    <s v="Gift Card"/>
    <s v="WINTER15"/>
    <x v="0"/>
    <n v="0"/>
    <x v="0"/>
    <x v="467"/>
    <s v="Cust 3829"/>
    <n v="43.55"/>
    <d v="2023-10-31T00:00:00"/>
    <d v="2023-11-10T00:00:00"/>
    <s v="Wendy"/>
    <n v="10"/>
  </r>
  <r>
    <d v="2023-12-19T00:00:00"/>
    <x v="1"/>
    <x v="0"/>
    <x v="27"/>
    <x v="3"/>
    <x v="5"/>
    <n v="18"/>
    <n v="135.22999999999999"/>
    <s v="Store C"/>
    <x v="0"/>
    <n v="0"/>
    <x v="4"/>
    <n v="2434.14"/>
    <n v="1460.4839999999999"/>
    <n v="927.55599999999993"/>
    <n v="0.38106107290459873"/>
    <n v="2434.14"/>
    <s v="Online"/>
    <s v="WINTER15"/>
    <x v="0"/>
    <n v="1"/>
    <x v="1"/>
    <x v="468"/>
    <s v="Cust 1623"/>
    <n v="46.1"/>
    <d v="2023-12-19T00:00:00"/>
    <d v="2023-12-24T00:00:00"/>
    <s v="Cameron"/>
    <n v="5"/>
  </r>
  <r>
    <d v="2023-11-27T00:00:00"/>
    <x v="9"/>
    <x v="0"/>
    <x v="15"/>
    <x v="1"/>
    <x v="5"/>
    <n v="20"/>
    <n v="356.4"/>
    <s v="Store C"/>
    <x v="0"/>
    <n v="0.05"/>
    <x v="4"/>
    <n v="6771.5999999999995"/>
    <n v="4276.7999999999993"/>
    <n v="2468.1000000000004"/>
    <n v="0.36447811447811457"/>
    <n v="6771.5999999999995"/>
    <s v="Cash"/>
    <s v="FREESHIP"/>
    <x v="0"/>
    <n v="1"/>
    <x v="1"/>
    <x v="469"/>
    <s v="Cust 3532"/>
    <n v="26.7"/>
    <d v="2023-11-27T00:00:00"/>
    <d v="2023-12-03T00:00:00"/>
    <s v="Sophie"/>
    <n v="6"/>
  </r>
  <r>
    <d v="2023-08-15T00:00:00"/>
    <x v="10"/>
    <x v="0"/>
    <x v="18"/>
    <x v="0"/>
    <x v="0"/>
    <n v="3"/>
    <n v="294.72000000000003"/>
    <s v="Store C"/>
    <x v="0"/>
    <n v="0.05"/>
    <x v="1"/>
    <n v="839.952"/>
    <n v="530.49600000000009"/>
    <n v="264.12599999999992"/>
    <n v="0.3144536830676038"/>
    <n v="839.952"/>
    <s v="Cash"/>
    <s v="SAVE10"/>
    <x v="0"/>
    <n v="0"/>
    <x v="0"/>
    <x v="470"/>
    <s v="Cust 4712"/>
    <n v="45.33"/>
    <d v="2023-08-15T00:00:00"/>
    <d v="2023-08-18T00:00:00"/>
    <s v="Eric"/>
    <n v="3"/>
  </r>
  <r>
    <d v="2023-01-16T00:00:00"/>
    <x v="4"/>
    <x v="0"/>
    <x v="6"/>
    <x v="4"/>
    <x v="1"/>
    <n v="20"/>
    <n v="553.85"/>
    <s v="Store A"/>
    <x v="1"/>
    <n v="0"/>
    <x v="2"/>
    <n v="11077"/>
    <n v="6646.2"/>
    <n v="4397.59"/>
    <n v="0.39700189582016793"/>
    <n v="11077"/>
    <s v="Cash"/>
    <s v="WINTER15"/>
    <x v="0"/>
    <n v="0"/>
    <x v="0"/>
    <x v="471"/>
    <s v="Cust 6211"/>
    <n v="33.21"/>
    <d v="2023-01-16T00:00:00"/>
    <d v="2023-01-24T00:00:00"/>
    <s v="Wendy"/>
    <n v="8"/>
  </r>
  <r>
    <d v="2025-02-28T00:00:00"/>
    <x v="0"/>
    <x v="2"/>
    <x v="3"/>
    <x v="3"/>
    <x v="5"/>
    <n v="13"/>
    <n v="81.17"/>
    <s v="Store D"/>
    <x v="1"/>
    <n v="0.1"/>
    <x v="2"/>
    <n v="949.68900000000008"/>
    <n v="633.12599999999998"/>
    <n v="268.35300000000012"/>
    <n v="0.28256934638602754"/>
    <n v="949.68900000000008"/>
    <s v="Cash"/>
    <s v="SAVE10"/>
    <x v="0"/>
    <n v="1"/>
    <x v="1"/>
    <x v="472"/>
    <s v="Cust 1222"/>
    <n v="48.21"/>
    <d v="2025-02-28T00:00:00"/>
    <d v="2025-03-08T00:00:00"/>
    <s v="Cameron"/>
    <n v="8"/>
  </r>
  <r>
    <d v="2023-11-28T00:00:00"/>
    <x v="9"/>
    <x v="0"/>
    <x v="15"/>
    <x v="4"/>
    <x v="1"/>
    <n v="2"/>
    <n v="532.51"/>
    <s v="Store B"/>
    <x v="0"/>
    <n v="0"/>
    <x v="3"/>
    <n v="1065.02"/>
    <n v="639.01199999999994"/>
    <n v="376.33800000000002"/>
    <n v="0.35336237817130195"/>
    <n v="1065.02"/>
    <s v="Credit Card"/>
    <s v="WINTER15"/>
    <x v="0"/>
    <n v="1"/>
    <x v="1"/>
    <x v="473"/>
    <s v="Cust 6208"/>
    <n v="49.67"/>
    <d v="2023-11-28T00:00:00"/>
    <d v="2023-12-01T00:00:00"/>
    <s v="Wendy"/>
    <n v="3"/>
  </r>
  <r>
    <d v="2023-12-04T00:00:00"/>
    <x v="1"/>
    <x v="0"/>
    <x v="27"/>
    <x v="4"/>
    <x v="6"/>
    <n v="1"/>
    <n v="268.19"/>
    <s v="Store B"/>
    <x v="0"/>
    <n v="0.1"/>
    <x v="3"/>
    <n v="241.37100000000001"/>
    <n v="160.91399999999999"/>
    <n v="70.977000000000018"/>
    <n v="0.2940576954149422"/>
    <n v="241.37100000000001"/>
    <s v="Gift Card"/>
    <s v="WINTER15"/>
    <x v="0"/>
    <n v="0"/>
    <x v="0"/>
    <x v="474"/>
    <s v="Cust 5942"/>
    <n v="9.48"/>
    <d v="2023-12-04T00:00:00"/>
    <d v="2023-12-13T00:00:00"/>
    <s v="Wendy"/>
    <n v="9"/>
  </r>
  <r>
    <d v="2024-06-21T00:00:00"/>
    <x v="3"/>
    <x v="1"/>
    <x v="23"/>
    <x v="1"/>
    <x v="6"/>
    <n v="17"/>
    <n v="432.65"/>
    <s v="Store A"/>
    <x v="1"/>
    <n v="0.15"/>
    <x v="2"/>
    <n v="6251.7924999999996"/>
    <n v="4413.03"/>
    <n v="1819.9124999999999"/>
    <n v="0.29110251179961588"/>
    <n v="6251.7924999999996"/>
    <s v="Cash"/>
    <s v="FREESHIP"/>
    <x v="0"/>
    <n v="0"/>
    <x v="0"/>
    <x v="475"/>
    <s v="Cust 1745"/>
    <n v="18.850000000000001"/>
    <d v="2024-06-21T00:00:00"/>
    <d v="2024-06-29T00:00:00"/>
    <s v="Sophie"/>
    <n v="8"/>
  </r>
  <r>
    <d v="2025-03-17T00:00:00"/>
    <x v="6"/>
    <x v="2"/>
    <x v="8"/>
    <x v="0"/>
    <x v="2"/>
    <n v="14"/>
    <n v="123.04"/>
    <s v="Store A"/>
    <x v="0"/>
    <n v="0.1"/>
    <x v="4"/>
    <n v="1550.3040000000001"/>
    <n v="1033.5360000000001"/>
    <n v="473.48800000000006"/>
    <n v="0.3054162280430161"/>
    <n v="1550.3040000000001"/>
    <s v="Cash"/>
    <s v="WINTER15"/>
    <x v="0"/>
    <n v="1"/>
    <x v="1"/>
    <x v="476"/>
    <s v="Cust 2679"/>
    <n v="43.28"/>
    <d v="2025-03-17T00:00:00"/>
    <d v="2025-03-26T00:00:00"/>
    <s v="Eric"/>
    <n v="9"/>
  </r>
  <r>
    <d v="2023-08-17T00:00:00"/>
    <x v="10"/>
    <x v="0"/>
    <x v="18"/>
    <x v="3"/>
    <x v="2"/>
    <n v="16"/>
    <n v="454.54"/>
    <s v="Store B"/>
    <x v="1"/>
    <n v="0.1"/>
    <x v="5"/>
    <n v="6545.3760000000002"/>
    <n v="4363.5839999999998"/>
    <n v="2161.2420000000002"/>
    <n v="0.33019371232454792"/>
    <n v="6545.3760000000002"/>
    <s v="Online"/>
    <s v="FREESHIP"/>
    <x v="0"/>
    <n v="0"/>
    <x v="0"/>
    <x v="477"/>
    <s v="Cust 9907"/>
    <n v="20.55"/>
    <d v="2023-08-17T00:00:00"/>
    <d v="2023-08-19T00:00:00"/>
    <s v="Cameron"/>
    <n v="2"/>
  </r>
  <r>
    <d v="2023-08-30T00:00:00"/>
    <x v="10"/>
    <x v="0"/>
    <x v="18"/>
    <x v="3"/>
    <x v="4"/>
    <n v="11"/>
    <n v="414.58"/>
    <s v="Store D"/>
    <x v="0"/>
    <n v="0.05"/>
    <x v="4"/>
    <n v="4332.3609999999999"/>
    <n v="2736.2280000000001"/>
    <n v="1570.8029999999999"/>
    <n v="0.36257435610744349"/>
    <n v="4332.3609999999999"/>
    <s v="Cash"/>
    <s v="WINTER15"/>
    <x v="0"/>
    <n v="0"/>
    <x v="0"/>
    <x v="478"/>
    <s v="Cust 5750"/>
    <n v="25.33"/>
    <d v="2023-08-30T00:00:00"/>
    <d v="2023-09-05T00:00:00"/>
    <s v="Cameron"/>
    <n v="6"/>
  </r>
  <r>
    <d v="2025-06-16T00:00:00"/>
    <x v="3"/>
    <x v="2"/>
    <x v="16"/>
    <x v="0"/>
    <x v="1"/>
    <n v="9"/>
    <n v="352.91"/>
    <s v="Store B"/>
    <x v="0"/>
    <n v="0.1"/>
    <x v="5"/>
    <n v="2858.5709999999999"/>
    <n v="1905.7140000000002"/>
    <n v="922.28699999999969"/>
    <n v="0.32263917880647347"/>
    <n v="2858.5709999999999"/>
    <s v="Cash"/>
    <s v="FREESHIP"/>
    <x v="0"/>
    <n v="0"/>
    <x v="0"/>
    <x v="479"/>
    <s v="Cust 5717"/>
    <n v="30.57"/>
    <d v="2025-06-16T00:00:00"/>
    <d v="2025-06-18T00:00:00"/>
    <s v="Eric"/>
    <n v="2"/>
  </r>
  <r>
    <d v="2023-06-29T00:00:00"/>
    <x v="3"/>
    <x v="0"/>
    <x v="4"/>
    <x v="2"/>
    <x v="3"/>
    <n v="10"/>
    <n v="126.46"/>
    <s v="Store A"/>
    <x v="1"/>
    <n v="0.1"/>
    <x v="0"/>
    <n v="1138.1399999999999"/>
    <n v="758.75999999999988"/>
    <n v="352.42"/>
    <n v="0.30964556205739191"/>
    <n v="1138.1400000000001"/>
    <s v="Online"/>
    <s v="WINTER15"/>
    <x v="0"/>
    <n v="0"/>
    <x v="0"/>
    <x v="480"/>
    <s v="Cust 7995"/>
    <n v="26.96"/>
    <d v="2023-06-29T00:00:00"/>
    <d v="2023-07-09T00:00:00"/>
    <s v="Ryan"/>
    <n v="10"/>
  </r>
  <r>
    <d v="2023-08-13T00:00:00"/>
    <x v="10"/>
    <x v="0"/>
    <x v="18"/>
    <x v="2"/>
    <x v="4"/>
    <n v="7"/>
    <n v="125.02"/>
    <s v="Store D"/>
    <x v="0"/>
    <n v="0"/>
    <x v="3"/>
    <n v="875.14"/>
    <n v="525.08400000000006"/>
    <n v="337.60599999999994"/>
    <n v="0.38577370477866391"/>
    <n v="875.14"/>
    <s v="Credit Card"/>
    <s v="FREESHIP"/>
    <x v="0"/>
    <n v="0"/>
    <x v="0"/>
    <x v="481"/>
    <s v="Cust 5572"/>
    <n v="12.45"/>
    <d v="2023-08-13T00:00:00"/>
    <d v="2023-08-20T00:00:00"/>
    <s v="Ryan"/>
    <n v="7"/>
  </r>
  <r>
    <d v="2024-04-29T00:00:00"/>
    <x v="7"/>
    <x v="1"/>
    <x v="9"/>
    <x v="4"/>
    <x v="5"/>
    <n v="20"/>
    <n v="367.24"/>
    <s v="Store A"/>
    <x v="0"/>
    <n v="0.05"/>
    <x v="3"/>
    <n v="6977.5599999999995"/>
    <n v="4406.88"/>
    <n v="2525.0099999999993"/>
    <n v="0.36187578465824721"/>
    <n v="6977.5599999999986"/>
    <s v="Gift Card"/>
    <s v="FREESHIP"/>
    <x v="0"/>
    <n v="0"/>
    <x v="0"/>
    <x v="482"/>
    <s v="Cust 1721"/>
    <n v="45.67"/>
    <d v="2024-04-29T00:00:00"/>
    <d v="2024-05-07T00:00:00"/>
    <s v="Wendy"/>
    <n v="8"/>
  </r>
  <r>
    <d v="2023-07-15T00:00:00"/>
    <x v="8"/>
    <x v="0"/>
    <x v="11"/>
    <x v="4"/>
    <x v="4"/>
    <n v="8"/>
    <n v="432.12"/>
    <s v="Store B"/>
    <x v="1"/>
    <n v="0"/>
    <x v="4"/>
    <n v="3456.96"/>
    <n v="2074.1759999999999"/>
    <n v="1340.6840000000002"/>
    <n v="0.38782166990650752"/>
    <n v="3456.96"/>
    <s v="Credit Card"/>
    <s v="WINTER15"/>
    <x v="0"/>
    <n v="0"/>
    <x v="0"/>
    <x v="483"/>
    <s v="Cust 2641"/>
    <n v="42.1"/>
    <d v="2023-07-15T00:00:00"/>
    <d v="2023-07-25T00:00:00"/>
    <s v="Wendy"/>
    <n v="10"/>
  </r>
  <r>
    <d v="2025-01-17T00:00:00"/>
    <x v="4"/>
    <x v="2"/>
    <x v="12"/>
    <x v="2"/>
    <x v="5"/>
    <n v="3"/>
    <n v="13.33"/>
    <s v="Store D"/>
    <x v="1"/>
    <n v="0.1"/>
    <x v="0"/>
    <n v="35.991"/>
    <n v="23.994"/>
    <n v="-5.6230000000000011"/>
    <n v="-0.15623350282014953"/>
    <n v="35.991"/>
    <s v="Cash"/>
    <s v="SAVE10"/>
    <x v="0"/>
    <n v="0"/>
    <x v="0"/>
    <x v="484"/>
    <s v="Cust 9769"/>
    <n v="17.62"/>
    <d v="2025-01-17T00:00:00"/>
    <d v="2025-01-23T00:00:00"/>
    <s v="Ryan"/>
    <n v="6"/>
  </r>
  <r>
    <d v="2025-02-21T00:00:00"/>
    <x v="0"/>
    <x v="2"/>
    <x v="3"/>
    <x v="0"/>
    <x v="6"/>
    <n v="13"/>
    <n v="105.93"/>
    <s v="Store C"/>
    <x v="1"/>
    <n v="0"/>
    <x v="5"/>
    <n v="1377.0900000000001"/>
    <n v="826.25400000000002"/>
    <n v="511.87600000000015"/>
    <n v="0.37170845768976618"/>
    <n v="1377.09"/>
    <s v="Debit Card"/>
    <s v="FREESHIP"/>
    <x v="0"/>
    <n v="0"/>
    <x v="0"/>
    <x v="485"/>
    <s v="Cust 1718"/>
    <n v="38.96"/>
    <d v="2025-02-21T00:00:00"/>
    <d v="2025-03-03T00:00:00"/>
    <s v="Eric"/>
    <n v="10"/>
  </r>
  <r>
    <d v="2023-07-19T00:00:00"/>
    <x v="8"/>
    <x v="0"/>
    <x v="11"/>
    <x v="4"/>
    <x v="4"/>
    <n v="20"/>
    <n v="526.54999999999995"/>
    <s v="Store A"/>
    <x v="0"/>
    <n v="0"/>
    <x v="1"/>
    <n v="10531"/>
    <n v="6318.5999999999985"/>
    <n v="4186.7600000000011"/>
    <n v="0.39756528344886538"/>
    <n v="10531"/>
    <s v="Debit Card"/>
    <s v="FREESHIP"/>
    <x v="0"/>
    <n v="1"/>
    <x v="1"/>
    <x v="486"/>
    <s v="Cust 1210"/>
    <n v="25.64"/>
    <d v="2023-07-19T00:00:00"/>
    <d v="2023-07-26T00:00:00"/>
    <s v="Wendy"/>
    <n v="7"/>
  </r>
  <r>
    <d v="2024-09-29T00:00:00"/>
    <x v="11"/>
    <x v="1"/>
    <x v="26"/>
    <x v="4"/>
    <x v="1"/>
    <n v="11"/>
    <n v="339.78"/>
    <s v="Store A"/>
    <x v="1"/>
    <n v="0.05"/>
    <x v="4"/>
    <n v="3550.7009999999996"/>
    <n v="2242.5479999999998"/>
    <n v="1296.5929999999998"/>
    <n v="0.36516535748856355"/>
    <n v="3550.701"/>
    <s v="Debit Card"/>
    <s v="WINTER15"/>
    <x v="0"/>
    <n v="1"/>
    <x v="1"/>
    <x v="487"/>
    <s v="Cust 7710"/>
    <n v="11.56"/>
    <d v="2024-09-29T00:00:00"/>
    <d v="2024-10-06T00:00:00"/>
    <s v="Wendy"/>
    <n v="7"/>
  </r>
  <r>
    <d v="2024-10-17T00:00:00"/>
    <x v="5"/>
    <x v="1"/>
    <x v="7"/>
    <x v="0"/>
    <x v="0"/>
    <n v="10"/>
    <n v="91.75"/>
    <s v="Store D"/>
    <x v="0"/>
    <n v="0.15"/>
    <x v="2"/>
    <n v="779.875"/>
    <n v="550.5"/>
    <n v="192.10499999999999"/>
    <n v="0.24632793716941817"/>
    <n v="779.875"/>
    <s v="Cash"/>
    <s v="WINTER15"/>
    <x v="0"/>
    <n v="0"/>
    <x v="0"/>
    <x v="488"/>
    <s v="Cust 1428"/>
    <n v="37.270000000000003"/>
    <d v="2024-10-17T00:00:00"/>
    <d v="2024-10-21T00:00:00"/>
    <s v="Eric"/>
    <n v="4"/>
  </r>
  <r>
    <d v="2025-06-11T00:00:00"/>
    <x v="3"/>
    <x v="2"/>
    <x v="16"/>
    <x v="0"/>
    <x v="1"/>
    <n v="15"/>
    <n v="13.66"/>
    <s v="Store B"/>
    <x v="1"/>
    <n v="0.1"/>
    <x v="1"/>
    <n v="184.41"/>
    <n v="122.94"/>
    <n v="23.43"/>
    <n v="0.12705384740523834"/>
    <n v="184.41"/>
    <s v="Debit Card"/>
    <s v="FREESHIP"/>
    <x v="0"/>
    <n v="0"/>
    <x v="0"/>
    <x v="489"/>
    <s v="Cust 2810"/>
    <n v="38.04"/>
    <d v="2025-06-11T00:00:00"/>
    <d v="2025-06-17T00:00:00"/>
    <s v="Eric"/>
    <n v="6"/>
  </r>
  <r>
    <d v="2024-01-19T00:00:00"/>
    <x v="4"/>
    <x v="1"/>
    <x v="24"/>
    <x v="4"/>
    <x v="2"/>
    <n v="6"/>
    <n v="148.22999999999999"/>
    <s v="Store B"/>
    <x v="1"/>
    <n v="0.1"/>
    <x v="0"/>
    <n v="800.44199999999989"/>
    <n v="533.62799999999993"/>
    <n v="247.23399999999998"/>
    <n v="0.30887184830381215"/>
    <n v="800.44199999999989"/>
    <s v="Credit Card"/>
    <s v="FREESHIP"/>
    <x v="0"/>
    <n v="0"/>
    <x v="0"/>
    <x v="490"/>
    <s v="Cust 2234"/>
    <n v="19.579999999999998"/>
    <d v="2024-01-19T00:00:00"/>
    <d v="2024-01-29T00:00:00"/>
    <s v="Wendy"/>
    <n v="10"/>
  </r>
  <r>
    <d v="2023-12-03T00:00:00"/>
    <x v="1"/>
    <x v="0"/>
    <x v="27"/>
    <x v="0"/>
    <x v="3"/>
    <n v="11"/>
    <n v="495.03"/>
    <s v="Store D"/>
    <x v="0"/>
    <n v="0.15"/>
    <x v="2"/>
    <n v="4628.5304999999998"/>
    <n v="3267.1979999999999"/>
    <n v="1333.9625000000001"/>
    <n v="0.28820432316477124"/>
    <n v="4628.5304999999998"/>
    <s v="Cash"/>
    <s v="WINTER15"/>
    <x v="0"/>
    <n v="0"/>
    <x v="0"/>
    <x v="491"/>
    <s v="Cust 9602"/>
    <n v="27.37"/>
    <d v="2023-12-03T00:00:00"/>
    <d v="2023-12-05T00:00:00"/>
    <s v="Eric"/>
    <n v="2"/>
  </r>
  <r>
    <d v="2024-06-19T00:00:00"/>
    <x v="3"/>
    <x v="1"/>
    <x v="23"/>
    <x v="3"/>
    <x v="3"/>
    <n v="6"/>
    <n v="247.2"/>
    <s v="Store A"/>
    <x v="0"/>
    <n v="0.05"/>
    <x v="4"/>
    <n v="1409.0399999999997"/>
    <n v="889.92"/>
    <n v="500.36999999999978"/>
    <n v="0.35511412025208644"/>
    <n v="1409.04"/>
    <s v="Credit Card"/>
    <s v="FREESHIP"/>
    <x v="0"/>
    <n v="0"/>
    <x v="0"/>
    <x v="492"/>
    <s v="Cust 2546"/>
    <n v="18.75"/>
    <d v="2024-06-19T00:00:00"/>
    <d v="2024-06-27T00:00:00"/>
    <s v="Cameron"/>
    <n v="8"/>
  </r>
  <r>
    <d v="2024-10-16T00:00:00"/>
    <x v="5"/>
    <x v="1"/>
    <x v="7"/>
    <x v="4"/>
    <x v="5"/>
    <n v="19"/>
    <n v="207.45"/>
    <s v="Store C"/>
    <x v="1"/>
    <n v="0.05"/>
    <x v="5"/>
    <n v="3744.4724999999994"/>
    <n v="2364.9299999999998"/>
    <n v="1368.0424999999996"/>
    <n v="0.3653498590255369"/>
    <n v="3744.4724999999989"/>
    <s v="Debit Card"/>
    <s v="SAVE10"/>
    <x v="0"/>
    <n v="0"/>
    <x v="0"/>
    <x v="493"/>
    <s v="Cust 5032"/>
    <n v="11.5"/>
    <d v="2024-10-16T00:00:00"/>
    <d v="2024-10-21T00:00:00"/>
    <s v="Wendy"/>
    <n v="5"/>
  </r>
  <r>
    <d v="2025-01-23T00:00:00"/>
    <x v="4"/>
    <x v="2"/>
    <x v="12"/>
    <x v="0"/>
    <x v="0"/>
    <n v="2"/>
    <n v="370.78"/>
    <s v="Store D"/>
    <x v="0"/>
    <n v="0.15"/>
    <x v="4"/>
    <n v="630.32599999999991"/>
    <n v="444.93599999999998"/>
    <n v="164.93999999999994"/>
    <n v="0.26167411783743644"/>
    <n v="630.32599999999991"/>
    <s v="Online"/>
    <s v="FREESHIP"/>
    <x v="0"/>
    <n v="0"/>
    <x v="0"/>
    <x v="494"/>
    <s v="Cust 4297"/>
    <n v="20.45"/>
    <d v="2025-01-23T00:00:00"/>
    <d v="2025-01-27T00:00:00"/>
    <s v="Eric"/>
    <n v="4"/>
  </r>
  <r>
    <d v="2023-10-02T00:00:00"/>
    <x v="5"/>
    <x v="0"/>
    <x v="19"/>
    <x v="3"/>
    <x v="0"/>
    <n v="9"/>
    <n v="146.72"/>
    <s v="Store A"/>
    <x v="0"/>
    <n v="0.1"/>
    <x v="4"/>
    <n v="1188.432"/>
    <n v="792.28800000000001"/>
    <n v="385.69400000000002"/>
    <n v="0.32454023452751191"/>
    <n v="1188.432"/>
    <s v="Credit Card"/>
    <m/>
    <x v="1"/>
    <n v="0"/>
    <x v="0"/>
    <x v="495"/>
    <s v="Cust 6944"/>
    <n v="10.45"/>
    <d v="2023-10-02T00:00:00"/>
    <d v="2023-10-10T00:00:00"/>
    <s v="Cameron"/>
    <n v="8"/>
  </r>
  <r>
    <d v="2023-11-05T00:00:00"/>
    <x v="9"/>
    <x v="0"/>
    <x v="15"/>
    <x v="0"/>
    <x v="2"/>
    <n v="12"/>
    <n v="159.85"/>
    <s v="Store D"/>
    <x v="1"/>
    <n v="0.1"/>
    <x v="1"/>
    <n v="1726.3799999999999"/>
    <n v="1150.92"/>
    <n v="542.8499999999998"/>
    <n v="0.31444409689639585"/>
    <n v="1726.38"/>
    <s v="Cash"/>
    <s v="WINTER15"/>
    <x v="0"/>
    <n v="0"/>
    <x v="0"/>
    <x v="496"/>
    <s v="Cust 4136"/>
    <n v="32.61"/>
    <d v="2023-11-05T00:00:00"/>
    <d v="2023-11-07T00:00:00"/>
    <s v="Eric"/>
    <n v="2"/>
  </r>
  <r>
    <d v="2023-06-18T00:00:00"/>
    <x v="3"/>
    <x v="0"/>
    <x v="4"/>
    <x v="1"/>
    <x v="6"/>
    <n v="13"/>
    <n v="181.68"/>
    <s v="Store C"/>
    <x v="0"/>
    <n v="0.05"/>
    <x v="4"/>
    <n v="2243.748"/>
    <n v="1417.104"/>
    <n v="811.95399999999995"/>
    <n v="0.36187397158682699"/>
    <n v="2243.748"/>
    <s v="Gift Card"/>
    <s v="SAVE10"/>
    <x v="0"/>
    <n v="0"/>
    <x v="0"/>
    <x v="497"/>
    <s v="Cust 7460"/>
    <n v="14.69"/>
    <d v="2023-06-18T00:00:00"/>
    <d v="2023-06-23T00:00:00"/>
    <s v="Sophie"/>
    <n v="5"/>
  </r>
  <r>
    <d v="2024-07-15T00:00:00"/>
    <x v="8"/>
    <x v="1"/>
    <x v="10"/>
    <x v="3"/>
    <x v="1"/>
    <n v="16"/>
    <n v="34.159999999999997"/>
    <s v="Store A"/>
    <x v="1"/>
    <n v="0.15"/>
    <x v="5"/>
    <n v="464.57599999999996"/>
    <n v="327.93599999999998"/>
    <n v="100.30999999999999"/>
    <n v="0.21591730954676952"/>
    <n v="464.57600000000002"/>
    <s v="Cash"/>
    <s v="SAVE10"/>
    <x v="0"/>
    <n v="0"/>
    <x v="0"/>
    <x v="498"/>
    <s v="Cust 3960"/>
    <n v="36.33"/>
    <d v="2024-07-15T00:00:00"/>
    <d v="2024-07-21T00:00:00"/>
    <s v="Cameron"/>
    <n v="6"/>
  </r>
  <r>
    <d v="2024-06-14T00:00:00"/>
    <x v="3"/>
    <x v="1"/>
    <x v="23"/>
    <x v="3"/>
    <x v="0"/>
    <n v="2"/>
    <n v="287.43"/>
    <s v="Store C"/>
    <x v="0"/>
    <n v="0.1"/>
    <x v="4"/>
    <n v="517.37400000000002"/>
    <n v="344.916"/>
    <n v="147.11800000000002"/>
    <n v="0.28435522465373214"/>
    <n v="517.37400000000002"/>
    <s v="Cash"/>
    <s v="WINTER15"/>
    <x v="0"/>
    <n v="0"/>
    <x v="0"/>
    <x v="499"/>
    <s v="Cust 5530"/>
    <n v="25.34"/>
    <d v="2024-06-14T00:00:00"/>
    <d v="2024-06-23T00:00:00"/>
    <s v="Cameron"/>
    <n v="9"/>
  </r>
  <r>
    <d v="2024-04-05T00:00:00"/>
    <x v="7"/>
    <x v="1"/>
    <x v="9"/>
    <x v="0"/>
    <x v="4"/>
    <n v="15"/>
    <n v="405.95"/>
    <s v="Store D"/>
    <x v="0"/>
    <n v="0.15"/>
    <x v="0"/>
    <n v="5175.8625000000002"/>
    <n v="3653.5499999999997"/>
    <n v="1490.2725000000005"/>
    <n v="0.28792737442310345"/>
    <n v="5175.8625000000002"/>
    <s v="Gift Card"/>
    <m/>
    <x v="1"/>
    <n v="0"/>
    <x v="0"/>
    <x v="500"/>
    <s v="Cust 3160"/>
    <n v="32.04"/>
    <d v="2024-04-05T00:00:00"/>
    <d v="2024-04-10T00:00:00"/>
    <s v="Eric"/>
    <n v="5"/>
  </r>
  <r>
    <d v="2023-02-27T00:00:00"/>
    <x v="0"/>
    <x v="0"/>
    <x v="0"/>
    <x v="2"/>
    <x v="0"/>
    <n v="1"/>
    <n v="430.61"/>
    <s v="Store B"/>
    <x v="1"/>
    <n v="0"/>
    <x v="1"/>
    <n v="430.61"/>
    <n v="258.36599999999999"/>
    <n v="157.71400000000003"/>
    <n v="0.36625717006107622"/>
    <n v="430.61"/>
    <s v="Gift Card"/>
    <s v="WINTER15"/>
    <x v="0"/>
    <n v="0"/>
    <x v="0"/>
    <x v="501"/>
    <s v="Cust 9641"/>
    <n v="14.53"/>
    <d v="2023-02-27T00:00:00"/>
    <d v="2023-03-07T00:00:00"/>
    <s v="Ryan"/>
    <n v="8"/>
  </r>
  <r>
    <d v="2023-07-31T00:00:00"/>
    <x v="8"/>
    <x v="0"/>
    <x v="11"/>
    <x v="4"/>
    <x v="0"/>
    <n v="5"/>
    <n v="508.05"/>
    <s v="Store D"/>
    <x v="1"/>
    <n v="0"/>
    <x v="2"/>
    <n v="2540.25"/>
    <n v="1524.1499999999999"/>
    <n v="980.47000000000014"/>
    <n v="0.3859738214742644"/>
    <n v="2540.25"/>
    <s v="Credit Card"/>
    <s v="WINTER15"/>
    <x v="0"/>
    <n v="1"/>
    <x v="1"/>
    <x v="502"/>
    <s v="Cust 9742"/>
    <n v="35.630000000000003"/>
    <d v="2023-07-31T00:00:00"/>
    <d v="2023-08-09T00:00:00"/>
    <s v="Wendy"/>
    <n v="9"/>
  </r>
  <r>
    <d v="2023-03-03T00:00:00"/>
    <x v="6"/>
    <x v="0"/>
    <x v="17"/>
    <x v="4"/>
    <x v="0"/>
    <n v="13"/>
    <n v="522.97"/>
    <s v="Store C"/>
    <x v="1"/>
    <n v="0.15"/>
    <x v="3"/>
    <n v="5778.8185000000003"/>
    <n v="4079.1659999999997"/>
    <n v="1665.7525000000005"/>
    <n v="0.2882513960249834"/>
    <n v="5778.8185000000003"/>
    <s v="Debit Card"/>
    <s v="FREESHIP"/>
    <x v="0"/>
    <n v="0"/>
    <x v="0"/>
    <x v="503"/>
    <s v="Cust 1144"/>
    <n v="33.9"/>
    <d v="2023-03-03T00:00:00"/>
    <d v="2023-03-10T00:00:00"/>
    <s v="Wendy"/>
    <n v="7"/>
  </r>
  <r>
    <d v="2023-04-26T00:00:00"/>
    <x v="7"/>
    <x v="0"/>
    <x v="21"/>
    <x v="1"/>
    <x v="0"/>
    <n v="17"/>
    <n v="260.25"/>
    <s v="Store D"/>
    <x v="0"/>
    <n v="0.1"/>
    <x v="2"/>
    <n v="3981.8250000000003"/>
    <n v="2654.55"/>
    <n v="1304.0150000000001"/>
    <n v="0.32749179082455909"/>
    <n v="3981.8249999999998"/>
    <s v="Credit Card"/>
    <s v="SAVE10"/>
    <x v="0"/>
    <n v="0"/>
    <x v="0"/>
    <x v="504"/>
    <s v="Cust 2936"/>
    <n v="23.26"/>
    <d v="2023-04-26T00:00:00"/>
    <d v="2023-04-28T00:00:00"/>
    <s v="Sophie"/>
    <n v="2"/>
  </r>
  <r>
    <d v="2024-10-19T00:00:00"/>
    <x v="5"/>
    <x v="1"/>
    <x v="7"/>
    <x v="0"/>
    <x v="1"/>
    <n v="6"/>
    <n v="549.21"/>
    <s v="Store B"/>
    <x v="1"/>
    <n v="0.1"/>
    <x v="0"/>
    <n v="2965.7340000000004"/>
    <n v="1977.1559999999999"/>
    <n v="976.28800000000047"/>
    <n v="0.32918933390519861"/>
    <n v="2965.7339999999999"/>
    <s v="Credit Card"/>
    <s v="WINTER15"/>
    <x v="0"/>
    <n v="1"/>
    <x v="1"/>
    <x v="505"/>
    <s v="Cust 3035"/>
    <n v="12.29"/>
    <d v="2024-10-19T00:00:00"/>
    <d v="2024-10-27T00:00:00"/>
    <s v="Eric"/>
    <n v="8"/>
  </r>
  <r>
    <d v="2024-06-30T00:00:00"/>
    <x v="3"/>
    <x v="1"/>
    <x v="23"/>
    <x v="3"/>
    <x v="6"/>
    <n v="17"/>
    <n v="472.33"/>
    <s v="Store C"/>
    <x v="1"/>
    <n v="0.15"/>
    <x v="3"/>
    <n v="6825.1684999999998"/>
    <n v="4817.7659999999996"/>
    <n v="1984.7725"/>
    <n v="0.29080197800244789"/>
    <n v="6825.1684999999998"/>
    <s v="Debit Card"/>
    <s v="WINTER15"/>
    <x v="0"/>
    <n v="0"/>
    <x v="0"/>
    <x v="506"/>
    <s v="Cust 1717"/>
    <n v="22.63"/>
    <d v="2024-06-30T00:00:00"/>
    <d v="2024-07-04T00:00:00"/>
    <s v="Cameron"/>
    <n v="4"/>
  </r>
  <r>
    <d v="2024-10-11T00:00:00"/>
    <x v="5"/>
    <x v="1"/>
    <x v="7"/>
    <x v="4"/>
    <x v="0"/>
    <n v="9"/>
    <n v="596.83000000000004"/>
    <s v="Store A"/>
    <x v="1"/>
    <n v="0"/>
    <x v="0"/>
    <n v="5371.47"/>
    <n v="3222.8820000000001"/>
    <n v="2142.1580000000004"/>
    <n v="0.39880293476459894"/>
    <n v="5371.47"/>
    <s v="Cash"/>
    <s v="WINTER15"/>
    <x v="0"/>
    <n v="0"/>
    <x v="0"/>
    <x v="507"/>
    <s v="Cust 4456"/>
    <n v="6.43"/>
    <d v="2024-10-11T00:00:00"/>
    <d v="2024-10-19T00:00:00"/>
    <s v="Wendy"/>
    <n v="8"/>
  </r>
  <r>
    <d v="2025-06-14T00:00:00"/>
    <x v="3"/>
    <x v="2"/>
    <x v="16"/>
    <x v="3"/>
    <x v="4"/>
    <n v="15"/>
    <n v="154.04"/>
    <s v="Store D"/>
    <x v="1"/>
    <n v="0.1"/>
    <x v="1"/>
    <n v="2079.54"/>
    <n v="1386.36"/>
    <n v="668.65000000000009"/>
    <n v="0.32153745539879014"/>
    <n v="2079.54"/>
    <s v="Cash"/>
    <s v="FREESHIP"/>
    <x v="0"/>
    <n v="1"/>
    <x v="1"/>
    <x v="508"/>
    <s v="Cust 6435"/>
    <n v="24.53"/>
    <d v="2025-06-14T00:00:00"/>
    <d v="2025-06-23T00:00:00"/>
    <s v="Cameron"/>
    <n v="9"/>
  </r>
  <r>
    <d v="2024-12-22T00:00:00"/>
    <x v="1"/>
    <x v="1"/>
    <x v="1"/>
    <x v="0"/>
    <x v="0"/>
    <n v="18"/>
    <n v="500.44"/>
    <s v="Store D"/>
    <x v="0"/>
    <n v="0.1"/>
    <x v="5"/>
    <n v="8107.1280000000006"/>
    <n v="5404.7520000000004"/>
    <n v="2693.5060000000003"/>
    <n v="0.33223923441198905"/>
    <n v="8107.1280000000006"/>
    <s v="Credit Card"/>
    <m/>
    <x v="1"/>
    <n v="0"/>
    <x v="0"/>
    <x v="509"/>
    <s v="Cust 9352"/>
    <n v="8.8699999999999992"/>
    <d v="2024-12-22T00:00:00"/>
    <d v="2024-12-30T00:00:00"/>
    <s v="Eric"/>
    <n v="8"/>
  </r>
  <r>
    <d v="2024-04-22T00:00:00"/>
    <x v="7"/>
    <x v="1"/>
    <x v="9"/>
    <x v="4"/>
    <x v="5"/>
    <n v="5"/>
    <n v="382.17"/>
    <s v="Store C"/>
    <x v="0"/>
    <n v="0"/>
    <x v="4"/>
    <n v="1910.8500000000001"/>
    <n v="1146.51"/>
    <n v="746.62000000000012"/>
    <n v="0.39072663997697366"/>
    <n v="1910.85"/>
    <s v="Credit Card"/>
    <s v="FREESHIP"/>
    <x v="0"/>
    <n v="0"/>
    <x v="0"/>
    <x v="510"/>
    <s v="Cust 6746"/>
    <n v="17.72"/>
    <d v="2024-04-22T00:00:00"/>
    <d v="2024-04-25T00:00:00"/>
    <s v="Wendy"/>
    <n v="3"/>
  </r>
  <r>
    <d v="2025-01-25T00:00:00"/>
    <x v="4"/>
    <x v="2"/>
    <x v="12"/>
    <x v="2"/>
    <x v="3"/>
    <n v="3"/>
    <n v="365.54"/>
    <s v="Store B"/>
    <x v="1"/>
    <n v="0.15"/>
    <x v="2"/>
    <n v="932.12700000000007"/>
    <n v="657.97199999999998"/>
    <n v="228.2650000000001"/>
    <n v="0.24488615821663795"/>
    <n v="932.12700000000007"/>
    <s v="Online"/>
    <m/>
    <x v="1"/>
    <n v="0"/>
    <x v="0"/>
    <x v="511"/>
    <s v="Cust 8189"/>
    <n v="45.89"/>
    <d v="2025-01-25T00:00:00"/>
    <d v="2025-01-29T00:00:00"/>
    <s v="Ryan"/>
    <n v="4"/>
  </r>
  <r>
    <d v="2024-11-13T00:00:00"/>
    <x v="9"/>
    <x v="1"/>
    <x v="20"/>
    <x v="2"/>
    <x v="0"/>
    <n v="5"/>
    <n v="270.13"/>
    <s v="Store C"/>
    <x v="1"/>
    <n v="0.15"/>
    <x v="0"/>
    <n v="1148.0525"/>
    <n v="810.39"/>
    <n v="321.92250000000001"/>
    <n v="0.28040747265477844"/>
    <n v="1148.0525"/>
    <s v="Credit Card"/>
    <m/>
    <x v="1"/>
    <n v="0"/>
    <x v="0"/>
    <x v="512"/>
    <s v="Cust 8470"/>
    <n v="15.74"/>
    <d v="2024-11-13T00:00:00"/>
    <d v="2024-11-19T00:00:00"/>
    <s v="Ryan"/>
    <n v="6"/>
  </r>
  <r>
    <d v="2023-03-16T00:00:00"/>
    <x v="6"/>
    <x v="0"/>
    <x v="17"/>
    <x v="0"/>
    <x v="5"/>
    <n v="2"/>
    <n v="480.15"/>
    <s v="Store D"/>
    <x v="1"/>
    <n v="0.15"/>
    <x v="4"/>
    <n v="816.255"/>
    <n v="576.17999999999995"/>
    <n v="198.00500000000005"/>
    <n v="0.24257738084299643"/>
    <n v="816.255"/>
    <s v="Online"/>
    <m/>
    <x v="1"/>
    <n v="0"/>
    <x v="0"/>
    <x v="513"/>
    <s v="Cust 1044"/>
    <n v="42.07"/>
    <d v="2023-03-16T00:00:00"/>
    <d v="2023-03-21T00:00:00"/>
    <s v="Eric"/>
    <n v="5"/>
  </r>
  <r>
    <d v="2023-05-06T00:00:00"/>
    <x v="2"/>
    <x v="0"/>
    <x v="2"/>
    <x v="2"/>
    <x v="0"/>
    <n v="18"/>
    <n v="414.77"/>
    <s v="Store C"/>
    <x v="0"/>
    <n v="0.1"/>
    <x v="0"/>
    <n v="6719.2739999999994"/>
    <n v="4479.5159999999996"/>
    <n v="2211.2079999999996"/>
    <n v="0.32908436238796035"/>
    <n v="6719.2739999999994"/>
    <s v="Credit Card"/>
    <m/>
    <x v="1"/>
    <n v="1"/>
    <x v="1"/>
    <x v="514"/>
    <s v="Cust 4010"/>
    <n v="28.55"/>
    <d v="2023-05-06T00:00:00"/>
    <d v="2023-05-15T00:00:00"/>
    <s v="Ryan"/>
    <n v="9"/>
  </r>
  <r>
    <d v="2024-11-15T00:00:00"/>
    <x v="9"/>
    <x v="1"/>
    <x v="20"/>
    <x v="0"/>
    <x v="4"/>
    <n v="10"/>
    <n v="98.24"/>
    <s v="Store C"/>
    <x v="0"/>
    <n v="0"/>
    <x v="2"/>
    <n v="982.4"/>
    <n v="589.43999999999994"/>
    <n v="371.95000000000005"/>
    <n v="0.37861359934853428"/>
    <n v="982.4"/>
    <s v="Credit Card"/>
    <s v="FREESHIP"/>
    <x v="0"/>
    <n v="1"/>
    <x v="1"/>
    <x v="515"/>
    <s v="Cust 1385"/>
    <n v="21.01"/>
    <d v="2024-11-15T00:00:00"/>
    <d v="2024-11-17T00:00:00"/>
    <s v="Eric"/>
    <n v="2"/>
  </r>
  <r>
    <d v="2024-06-28T00:00:00"/>
    <x v="3"/>
    <x v="1"/>
    <x v="23"/>
    <x v="3"/>
    <x v="0"/>
    <n v="6"/>
    <n v="227.6"/>
    <s v="Store D"/>
    <x v="1"/>
    <n v="0.05"/>
    <x v="3"/>
    <n v="1297.32"/>
    <n v="819.36"/>
    <n v="439.7399999999999"/>
    <n v="0.33896031819443151"/>
    <n v="1297.32"/>
    <s v="Debit Card"/>
    <s v="FREESHIP"/>
    <x v="0"/>
    <n v="0"/>
    <x v="0"/>
    <x v="516"/>
    <s v="Cust 1904"/>
    <n v="38.22"/>
    <d v="2024-06-28T00:00:00"/>
    <d v="2024-07-05T00:00:00"/>
    <s v="Cameron"/>
    <n v="7"/>
  </r>
  <r>
    <d v="2025-05-11T00:00:00"/>
    <x v="2"/>
    <x v="2"/>
    <x v="13"/>
    <x v="3"/>
    <x v="4"/>
    <n v="5"/>
    <n v="136.13"/>
    <s v="Store C"/>
    <x v="1"/>
    <n v="0.15"/>
    <x v="3"/>
    <n v="578.55250000000001"/>
    <n v="408.39"/>
    <n v="160.14250000000001"/>
    <n v="0.27679856192826063"/>
    <n v="578.55250000000001"/>
    <s v="Online"/>
    <m/>
    <x v="1"/>
    <n v="0"/>
    <x v="0"/>
    <x v="517"/>
    <s v="Cust 6034"/>
    <n v="10.02"/>
    <d v="2025-05-11T00:00:00"/>
    <d v="2025-05-20T00:00:00"/>
    <s v="Cameron"/>
    <n v="9"/>
  </r>
  <r>
    <d v="2023-02-26T00:00:00"/>
    <x v="0"/>
    <x v="0"/>
    <x v="0"/>
    <x v="3"/>
    <x v="5"/>
    <n v="5"/>
    <n v="489.13"/>
    <s v="Store C"/>
    <x v="1"/>
    <n v="0.1"/>
    <x v="4"/>
    <n v="2201.085"/>
    <n v="1467.39"/>
    <n v="688.96499999999992"/>
    <n v="0.31301153749173699"/>
    <n v="2201.085"/>
    <s v="Gift Card"/>
    <s v="FREESHIP"/>
    <x v="0"/>
    <n v="0"/>
    <x v="0"/>
    <x v="518"/>
    <s v="Cust 9239"/>
    <n v="44.73"/>
    <d v="2023-02-26T00:00:00"/>
    <d v="2023-03-04T00:00:00"/>
    <s v="Cameron"/>
    <n v="6"/>
  </r>
  <r>
    <d v="2024-04-30T00:00:00"/>
    <x v="7"/>
    <x v="1"/>
    <x v="9"/>
    <x v="1"/>
    <x v="0"/>
    <n v="4"/>
    <n v="414.36"/>
    <s v="Store A"/>
    <x v="1"/>
    <n v="0"/>
    <x v="5"/>
    <n v="1657.44"/>
    <n v="994.46399999999994"/>
    <n v="654.95600000000013"/>
    <n v="0.39516121247224645"/>
    <n v="1657.44"/>
    <s v="Debit Card"/>
    <s v="FREESHIP"/>
    <x v="0"/>
    <n v="0"/>
    <x v="0"/>
    <x v="519"/>
    <s v="Cust 5678"/>
    <n v="8.02"/>
    <d v="2024-04-30T00:00:00"/>
    <d v="2024-05-07T00:00:00"/>
    <s v="Sophie"/>
    <n v="7"/>
  </r>
  <r>
    <d v="2025-03-11T00:00:00"/>
    <x v="6"/>
    <x v="2"/>
    <x v="8"/>
    <x v="0"/>
    <x v="0"/>
    <n v="6"/>
    <n v="138.26"/>
    <s v="Store B"/>
    <x v="1"/>
    <n v="0.15"/>
    <x v="0"/>
    <n v="705.12599999999998"/>
    <n v="497.73599999999993"/>
    <n v="175.99000000000004"/>
    <n v="0.24958659870718147"/>
    <n v="705.12599999999998"/>
    <s v="Online"/>
    <m/>
    <x v="1"/>
    <n v="1"/>
    <x v="1"/>
    <x v="520"/>
    <s v="Cust 3696"/>
    <n v="31.4"/>
    <d v="2025-03-11T00:00:00"/>
    <d v="2025-03-13T00:00:00"/>
    <s v="Eric"/>
    <n v="2"/>
  </r>
  <r>
    <d v="2025-06-30T00:00:00"/>
    <x v="3"/>
    <x v="2"/>
    <x v="16"/>
    <x v="0"/>
    <x v="1"/>
    <n v="12"/>
    <n v="487.57"/>
    <s v="Store A"/>
    <x v="0"/>
    <n v="0.05"/>
    <x v="0"/>
    <n v="5558.2979999999998"/>
    <n v="3510.5039999999999"/>
    <n v="2010.4639999999999"/>
    <n v="0.36170496795961643"/>
    <n v="5558.2979999999998"/>
    <s v="Cash"/>
    <m/>
    <x v="1"/>
    <n v="0"/>
    <x v="0"/>
    <x v="521"/>
    <s v="Cust 9025"/>
    <n v="37.33"/>
    <d v="2025-06-30T00:00:00"/>
    <d v="2025-07-10T00:00:00"/>
    <s v="Eric"/>
    <n v="10"/>
  </r>
  <r>
    <d v="2024-06-02T00:00:00"/>
    <x v="3"/>
    <x v="1"/>
    <x v="23"/>
    <x v="2"/>
    <x v="3"/>
    <n v="20"/>
    <n v="427.3"/>
    <s v="Store C"/>
    <x v="0"/>
    <n v="0.05"/>
    <x v="2"/>
    <n v="8118.7"/>
    <n v="5127.6000000000004"/>
    <n v="2965.9099999999994"/>
    <n v="0.36531833914296619"/>
    <n v="8118.7"/>
    <s v="Gift Card"/>
    <s v="FREESHIP"/>
    <x v="0"/>
    <n v="1"/>
    <x v="1"/>
    <x v="522"/>
    <s v="Cust 9924"/>
    <n v="25.19"/>
    <d v="2024-06-02T00:00:00"/>
    <d v="2024-06-08T00:00:00"/>
    <s v="Ryan"/>
    <n v="6"/>
  </r>
  <r>
    <d v="2024-09-01T00:00:00"/>
    <x v="11"/>
    <x v="1"/>
    <x v="26"/>
    <x v="1"/>
    <x v="0"/>
    <n v="16"/>
    <n v="588.91999999999996"/>
    <s v="Store D"/>
    <x v="0"/>
    <n v="0.15"/>
    <x v="1"/>
    <n v="8009.311999999999"/>
    <n v="5653.6319999999996"/>
    <n v="2347.7899999999995"/>
    <n v="0.29313254371911091"/>
    <n v="8009.311999999999"/>
    <s v="Cash"/>
    <s v="FREESHIP"/>
    <x v="0"/>
    <n v="0"/>
    <x v="0"/>
    <x v="523"/>
    <s v="Cust 3887"/>
    <n v="7.89"/>
    <d v="2024-09-01T00:00:00"/>
    <d v="2024-09-05T00:00:00"/>
    <s v="Sophie"/>
    <n v="4"/>
  </r>
  <r>
    <d v="2025-01-11T00:00:00"/>
    <x v="4"/>
    <x v="2"/>
    <x v="12"/>
    <x v="1"/>
    <x v="0"/>
    <n v="6"/>
    <n v="429.45"/>
    <s v="Store B"/>
    <x v="1"/>
    <n v="0.1"/>
    <x v="1"/>
    <n v="2319.0299999999997"/>
    <n v="1546.0199999999998"/>
    <n v="725.83"/>
    <n v="0.31298862024208401"/>
    <n v="2319.0300000000002"/>
    <s v="Cash"/>
    <m/>
    <x v="1"/>
    <n v="0"/>
    <x v="0"/>
    <x v="524"/>
    <s v="Cust 5302"/>
    <n v="47.18"/>
    <d v="2025-01-11T00:00:00"/>
    <d v="2025-01-18T00:00:00"/>
    <s v="Sophie"/>
    <n v="7"/>
  </r>
  <r>
    <d v="2025-03-31T00:00:00"/>
    <x v="6"/>
    <x v="2"/>
    <x v="8"/>
    <x v="1"/>
    <x v="1"/>
    <n v="1"/>
    <n v="476"/>
    <s v="Store A"/>
    <x v="0"/>
    <n v="0.15"/>
    <x v="3"/>
    <n v="404.59999999999997"/>
    <n v="285.59999999999997"/>
    <n v="100.05"/>
    <n v="0.24728126544735543"/>
    <n v="404.6"/>
    <s v="Cash"/>
    <s v="FREESHIP"/>
    <x v="0"/>
    <n v="0"/>
    <x v="0"/>
    <x v="525"/>
    <s v="Cust 2290"/>
    <n v="18.95"/>
    <d v="2025-03-31T00:00:00"/>
    <d v="2025-04-03T00:00:00"/>
    <s v="Sophie"/>
    <n v="3"/>
  </r>
  <r>
    <d v="2024-11-28T00:00:00"/>
    <x v="9"/>
    <x v="1"/>
    <x v="20"/>
    <x v="1"/>
    <x v="1"/>
    <n v="13"/>
    <n v="141.26"/>
    <s v="Store B"/>
    <x v="1"/>
    <n v="0"/>
    <x v="2"/>
    <n v="1836.3799999999999"/>
    <n v="1101.8279999999997"/>
    <n v="710.87200000000018"/>
    <n v="0.38710506540040746"/>
    <n v="1836.38"/>
    <s v="Online"/>
    <m/>
    <x v="1"/>
    <n v="0"/>
    <x v="0"/>
    <x v="526"/>
    <s v="Cust 2227"/>
    <n v="23.68"/>
    <d v="2024-11-28T00:00:00"/>
    <d v="2024-12-05T00:00:00"/>
    <s v="Sophie"/>
    <n v="7"/>
  </r>
  <r>
    <d v="2023-07-05T00:00:00"/>
    <x v="8"/>
    <x v="0"/>
    <x v="11"/>
    <x v="2"/>
    <x v="3"/>
    <n v="3"/>
    <n v="250.65"/>
    <s v="Store D"/>
    <x v="1"/>
    <n v="0.15"/>
    <x v="0"/>
    <n v="639.15750000000003"/>
    <n v="451.16999999999996"/>
    <n v="143.52750000000006"/>
    <n v="0.22455732741929815"/>
    <n v="639.15750000000003"/>
    <s v="Credit Card"/>
    <s v="SAVE10"/>
    <x v="0"/>
    <n v="0"/>
    <x v="0"/>
    <x v="527"/>
    <s v="Cust 1726"/>
    <n v="44.46"/>
    <d v="2023-07-05T00:00:00"/>
    <d v="2023-07-07T00:00:00"/>
    <s v="Ryan"/>
    <n v="2"/>
  </r>
  <r>
    <d v="2024-10-24T00:00:00"/>
    <x v="5"/>
    <x v="1"/>
    <x v="7"/>
    <x v="4"/>
    <x v="4"/>
    <n v="19"/>
    <n v="301.17"/>
    <s v="Store D"/>
    <x v="1"/>
    <n v="0.05"/>
    <x v="1"/>
    <n v="5436.1185000000005"/>
    <n v="3433.3379999999997"/>
    <n v="1997.0705000000007"/>
    <n v="0.36737067081962993"/>
    <n v="5436.1184999999996"/>
    <s v="Debit Card"/>
    <s v="WINTER15"/>
    <x v="0"/>
    <n v="0"/>
    <x v="0"/>
    <x v="528"/>
    <s v="Cust 9874"/>
    <n v="5.71"/>
    <d v="2024-10-24T00:00:00"/>
    <d v="2024-11-03T00:00:00"/>
    <s v="Wendy"/>
    <n v="10"/>
  </r>
  <r>
    <d v="2025-04-08T00:00:00"/>
    <x v="7"/>
    <x v="2"/>
    <x v="28"/>
    <x v="2"/>
    <x v="3"/>
    <n v="7"/>
    <n v="30.79"/>
    <s v="Store C"/>
    <x v="1"/>
    <n v="0.1"/>
    <x v="5"/>
    <n v="193.977"/>
    <n v="129.31800000000001"/>
    <n v="53.268999999999991"/>
    <n v="0.27461503167901347"/>
    <n v="193.977"/>
    <s v="Cash"/>
    <s v="WINTER15"/>
    <x v="0"/>
    <n v="1"/>
    <x v="1"/>
    <x v="529"/>
    <s v="Cust 1774"/>
    <n v="11.39"/>
    <d v="2025-04-08T00:00:00"/>
    <d v="2025-04-16T00:00:00"/>
    <s v="Ryan"/>
    <n v="8"/>
  </r>
  <r>
    <d v="2024-06-05T00:00:00"/>
    <x v="3"/>
    <x v="1"/>
    <x v="23"/>
    <x v="0"/>
    <x v="0"/>
    <n v="1"/>
    <n v="561.6"/>
    <s v="Store A"/>
    <x v="0"/>
    <n v="0.15"/>
    <x v="1"/>
    <n v="477.36"/>
    <n v="336.96"/>
    <n v="102.38000000000002"/>
    <n v="0.2144712585889057"/>
    <n v="477.36"/>
    <s v="Debit Card"/>
    <s v="SAVE10"/>
    <x v="0"/>
    <n v="0"/>
    <x v="0"/>
    <x v="530"/>
    <s v="Cust 2414"/>
    <n v="38.020000000000003"/>
    <d v="2024-06-05T00:00:00"/>
    <d v="2024-06-10T00:00:00"/>
    <s v="Eric"/>
    <n v="5"/>
  </r>
  <r>
    <d v="2025-01-23T00:00:00"/>
    <x v="4"/>
    <x v="2"/>
    <x v="12"/>
    <x v="4"/>
    <x v="1"/>
    <n v="16"/>
    <n v="193.7"/>
    <s v="Store A"/>
    <x v="1"/>
    <n v="0.15"/>
    <x v="5"/>
    <n v="2634.3199999999997"/>
    <n v="1859.5199999999998"/>
    <n v="767.96999999999991"/>
    <n v="0.29152494761456466"/>
    <n v="2634.32"/>
    <s v="Credit Card"/>
    <s v="SAVE10"/>
    <x v="0"/>
    <n v="0"/>
    <x v="0"/>
    <x v="531"/>
    <s v="Cust 6534"/>
    <n v="6.83"/>
    <d v="2025-01-23T00:00:00"/>
    <d v="2025-01-29T00:00:00"/>
    <s v="Wendy"/>
    <n v="6"/>
  </r>
  <r>
    <d v="2024-11-04T00:00:00"/>
    <x v="9"/>
    <x v="1"/>
    <x v="20"/>
    <x v="3"/>
    <x v="5"/>
    <n v="17"/>
    <n v="310.02999999999997"/>
    <s v="Store D"/>
    <x v="1"/>
    <n v="0.05"/>
    <x v="3"/>
    <n v="5006.9844999999987"/>
    <n v="3162.3059999999996"/>
    <n v="1836.6184999999991"/>
    <n v="0.36681130129322342"/>
    <n v="5006.9844999999987"/>
    <s v="Online"/>
    <s v="FREESHIP"/>
    <x v="0"/>
    <n v="0"/>
    <x v="0"/>
    <x v="532"/>
    <s v="Cust 3170"/>
    <n v="8.06"/>
    <d v="2024-11-04T00:00:00"/>
    <d v="2024-11-12T00:00:00"/>
    <s v="Cameron"/>
    <n v="8"/>
  </r>
  <r>
    <d v="2024-01-01T00:00:00"/>
    <x v="4"/>
    <x v="1"/>
    <x v="24"/>
    <x v="4"/>
    <x v="6"/>
    <n v="13"/>
    <n v="204.67"/>
    <s v="Store A"/>
    <x v="1"/>
    <n v="0.15"/>
    <x v="1"/>
    <n v="2261.6035000000002"/>
    <n v="1596.4259999999999"/>
    <n v="658.41750000000025"/>
    <n v="0.2911286173725855"/>
    <n v="2261.6035000000002"/>
    <s v="Online"/>
    <m/>
    <x v="1"/>
    <n v="0"/>
    <x v="0"/>
    <x v="533"/>
    <s v="Cust 5438"/>
    <n v="6.76"/>
    <d v="2024-01-01T00:00:00"/>
    <d v="2024-01-05T00:00:00"/>
    <s v="Wendy"/>
    <n v="4"/>
  </r>
  <r>
    <d v="2024-04-09T00:00:00"/>
    <x v="7"/>
    <x v="1"/>
    <x v="9"/>
    <x v="3"/>
    <x v="6"/>
    <n v="3"/>
    <n v="250.11"/>
    <s v="Store D"/>
    <x v="0"/>
    <n v="0"/>
    <x v="1"/>
    <n v="750.33"/>
    <n v="450.19799999999998"/>
    <n v="263.78200000000004"/>
    <n v="0.35155464928764679"/>
    <n v="750.33"/>
    <s v="Gift Card"/>
    <s v="FREESHIP"/>
    <x v="0"/>
    <n v="0"/>
    <x v="0"/>
    <x v="534"/>
    <s v="Cust 2670"/>
    <n v="36.35"/>
    <d v="2024-04-09T00:00:00"/>
    <d v="2024-04-17T00:00:00"/>
    <s v="Cameron"/>
    <n v="8"/>
  </r>
  <r>
    <d v="2025-01-17T00:00:00"/>
    <x v="4"/>
    <x v="2"/>
    <x v="12"/>
    <x v="2"/>
    <x v="2"/>
    <n v="12"/>
    <n v="526.82000000000005"/>
    <s v="Store A"/>
    <x v="1"/>
    <n v="0"/>
    <x v="2"/>
    <n v="6321.84"/>
    <n v="3793.1040000000003"/>
    <n v="2498.9859999999999"/>
    <n v="0.39529409159358664"/>
    <n v="6321.84"/>
    <s v="Credit Card"/>
    <s v="WINTER15"/>
    <x v="0"/>
    <n v="0"/>
    <x v="0"/>
    <x v="535"/>
    <s v="Cust 8949"/>
    <n v="29.75"/>
    <d v="2025-01-17T00:00:00"/>
    <d v="2025-01-25T00:00:00"/>
    <s v="Ryan"/>
    <n v="8"/>
  </r>
  <r>
    <d v="2024-09-22T00:00:00"/>
    <x v="11"/>
    <x v="1"/>
    <x v="26"/>
    <x v="0"/>
    <x v="3"/>
    <n v="18"/>
    <n v="575.1"/>
    <s v="Store D"/>
    <x v="0"/>
    <n v="0"/>
    <x v="5"/>
    <n v="10351.800000000001"/>
    <n v="6211.08"/>
    <n v="4105.4000000000015"/>
    <n v="0.39658803299909207"/>
    <n v="10351.799999999999"/>
    <s v="Online"/>
    <s v="FREESHIP"/>
    <x v="0"/>
    <n v="0"/>
    <x v="0"/>
    <x v="536"/>
    <s v="Cust 9748"/>
    <n v="35.32"/>
    <d v="2024-09-22T00:00:00"/>
    <d v="2024-09-29T00:00:00"/>
    <s v="Eric"/>
    <n v="7"/>
  </r>
  <r>
    <d v="2023-01-20T00:00:00"/>
    <x v="4"/>
    <x v="0"/>
    <x v="6"/>
    <x v="0"/>
    <x v="4"/>
    <n v="8"/>
    <n v="325.52"/>
    <s v="Store C"/>
    <x v="1"/>
    <n v="0.1"/>
    <x v="2"/>
    <n v="2343.7440000000001"/>
    <n v="1562.4959999999999"/>
    <n v="735.65800000000024"/>
    <n v="0.31388155020343528"/>
    <n v="2343.7440000000001"/>
    <s v="Debit Card"/>
    <s v="WINTER15"/>
    <x v="0"/>
    <n v="0"/>
    <x v="0"/>
    <x v="537"/>
    <s v="Cust 1220"/>
    <n v="45.59"/>
    <d v="2023-01-20T00:00:00"/>
    <d v="2023-01-25T00:00:00"/>
    <s v="Eric"/>
    <n v="5"/>
  </r>
  <r>
    <d v="2024-01-12T00:00:00"/>
    <x v="4"/>
    <x v="1"/>
    <x v="24"/>
    <x v="2"/>
    <x v="4"/>
    <n v="14"/>
    <n v="157.13999999999999"/>
    <s v="Store A"/>
    <x v="0"/>
    <n v="0.15"/>
    <x v="4"/>
    <n v="1869.9659999999999"/>
    <n v="1319.9759999999999"/>
    <n v="513.95000000000005"/>
    <n v="0.27484456936650187"/>
    <n v="1869.9659999999999"/>
    <s v="Gift Card"/>
    <s v="SAVE10"/>
    <x v="0"/>
    <n v="0"/>
    <x v="0"/>
    <x v="538"/>
    <s v="Cust 5645"/>
    <n v="36.04"/>
    <d v="2024-01-12T00:00:00"/>
    <d v="2024-01-22T00:00:00"/>
    <s v="Ryan"/>
    <n v="10"/>
  </r>
  <r>
    <d v="2024-04-08T00:00:00"/>
    <x v="7"/>
    <x v="1"/>
    <x v="9"/>
    <x v="3"/>
    <x v="0"/>
    <n v="10"/>
    <n v="100.26"/>
    <s v="Store D"/>
    <x v="0"/>
    <n v="0.05"/>
    <x v="3"/>
    <n v="952.47"/>
    <n v="601.55999999999995"/>
    <n v="314.2000000000001"/>
    <n v="0.32987915629888614"/>
    <n v="952.47"/>
    <s v="Gift Card"/>
    <s v="SAVE10"/>
    <x v="0"/>
    <n v="0"/>
    <x v="0"/>
    <x v="539"/>
    <s v="Cust 6577"/>
    <n v="36.71"/>
    <d v="2024-04-08T00:00:00"/>
    <d v="2024-04-15T00:00:00"/>
    <s v="Cameron"/>
    <n v="7"/>
  </r>
  <r>
    <d v="2023-04-27T00:00:00"/>
    <x v="7"/>
    <x v="0"/>
    <x v="21"/>
    <x v="3"/>
    <x v="0"/>
    <n v="9"/>
    <n v="554.48"/>
    <s v="Store C"/>
    <x v="0"/>
    <n v="0"/>
    <x v="3"/>
    <n v="4990.32"/>
    <n v="2994.192"/>
    <n v="1947.8679999999997"/>
    <n v="0.39032927748120355"/>
    <n v="4990.32"/>
    <s v="Online"/>
    <m/>
    <x v="1"/>
    <n v="0"/>
    <x v="0"/>
    <x v="540"/>
    <s v="Cust 9506"/>
    <n v="48.26"/>
    <d v="2023-04-27T00:00:00"/>
    <d v="2023-05-01T00:00:00"/>
    <s v="Cameron"/>
    <n v="4"/>
  </r>
  <r>
    <d v="2024-07-17T00:00:00"/>
    <x v="8"/>
    <x v="1"/>
    <x v="10"/>
    <x v="2"/>
    <x v="1"/>
    <n v="4"/>
    <n v="375.96"/>
    <s v="Store C"/>
    <x v="1"/>
    <n v="0.15"/>
    <x v="3"/>
    <n v="1278.2639999999999"/>
    <n v="902.30399999999997"/>
    <n v="330.96999999999991"/>
    <n v="0.25892147475012983"/>
    <n v="1278.2639999999999"/>
    <s v="Debit Card"/>
    <m/>
    <x v="1"/>
    <n v="0"/>
    <x v="0"/>
    <x v="541"/>
    <s v="Cust 9302"/>
    <n v="44.99"/>
    <d v="2024-07-17T00:00:00"/>
    <d v="2024-07-25T00:00:00"/>
    <s v="Ryan"/>
    <n v="8"/>
  </r>
  <r>
    <d v="2024-02-17T00:00:00"/>
    <x v="0"/>
    <x v="1"/>
    <x v="5"/>
    <x v="3"/>
    <x v="4"/>
    <n v="14"/>
    <n v="485.21"/>
    <s v="Store A"/>
    <x v="1"/>
    <n v="0"/>
    <x v="2"/>
    <n v="6792.94"/>
    <n v="4075.7639999999997"/>
    <n v="2675.4560000000001"/>
    <n v="0.39385832938315374"/>
    <n v="6792.94"/>
    <s v="Online"/>
    <s v="FREESHIP"/>
    <x v="0"/>
    <n v="0"/>
    <x v="0"/>
    <x v="542"/>
    <s v="Cust 3030"/>
    <n v="41.72"/>
    <d v="2024-02-17T00:00:00"/>
    <d v="2024-02-23T00:00:00"/>
    <s v="Cameron"/>
    <n v="6"/>
  </r>
  <r>
    <d v="2024-01-25T00:00:00"/>
    <x v="4"/>
    <x v="1"/>
    <x v="24"/>
    <x v="1"/>
    <x v="4"/>
    <n v="9"/>
    <n v="372.44"/>
    <s v="Store A"/>
    <x v="0"/>
    <n v="0.05"/>
    <x v="4"/>
    <n v="3184.3620000000001"/>
    <n v="2011.1759999999999"/>
    <n v="1131.3160000000003"/>
    <n v="0.35527242191685499"/>
    <n v="3184.3620000000001"/>
    <s v="Gift Card"/>
    <s v="FREESHIP"/>
    <x v="0"/>
    <n v="0"/>
    <x v="0"/>
    <x v="543"/>
    <s v="Cust 5896"/>
    <n v="41.87"/>
    <d v="2024-01-25T00:00:00"/>
    <d v="2024-02-02T00:00:00"/>
    <s v="Sophie"/>
    <n v="8"/>
  </r>
  <r>
    <d v="2024-03-24T00:00:00"/>
    <x v="6"/>
    <x v="1"/>
    <x v="25"/>
    <x v="3"/>
    <x v="0"/>
    <n v="7"/>
    <n v="140.53"/>
    <s v="Store D"/>
    <x v="1"/>
    <n v="0"/>
    <x v="2"/>
    <n v="983.71"/>
    <n v="590.226"/>
    <n v="368.95400000000006"/>
    <n v="0.37506378912484378"/>
    <n v="983.71"/>
    <s v="Debit Card"/>
    <m/>
    <x v="1"/>
    <n v="1"/>
    <x v="1"/>
    <x v="544"/>
    <s v="Cust 3763"/>
    <n v="24.53"/>
    <d v="2024-03-24T00:00:00"/>
    <d v="2024-04-02T00:00:00"/>
    <s v="Cameron"/>
    <n v="9"/>
  </r>
  <r>
    <d v="2023-06-25T00:00:00"/>
    <x v="3"/>
    <x v="0"/>
    <x v="4"/>
    <x v="2"/>
    <x v="2"/>
    <n v="15"/>
    <n v="365.61"/>
    <s v="Store D"/>
    <x v="1"/>
    <n v="0.15"/>
    <x v="5"/>
    <n v="4661.5275000000001"/>
    <n v="3290.4900000000002"/>
    <n v="1335.1975"/>
    <n v="0.28642918013462326"/>
    <n v="4661.5275000000001"/>
    <s v="Cash"/>
    <s v="FREESHIP"/>
    <x v="0"/>
    <n v="0"/>
    <x v="0"/>
    <x v="545"/>
    <s v="Cust 9510"/>
    <n v="35.840000000000003"/>
    <d v="2023-06-25T00:00:00"/>
    <d v="2023-06-27T00:00:00"/>
    <s v="Ryan"/>
    <n v="2"/>
  </r>
  <r>
    <d v="2023-04-17T00:00:00"/>
    <x v="7"/>
    <x v="0"/>
    <x v="21"/>
    <x v="1"/>
    <x v="0"/>
    <n v="20"/>
    <n v="353.97"/>
    <s v="Store B"/>
    <x v="0"/>
    <n v="0.15"/>
    <x v="2"/>
    <n v="6017.4900000000007"/>
    <n v="4247.6400000000003"/>
    <n v="1747.8000000000004"/>
    <n v="0.29045332854728467"/>
    <n v="6017.4900000000007"/>
    <s v="Cash"/>
    <s v="WINTER15"/>
    <x v="0"/>
    <n v="1"/>
    <x v="1"/>
    <x v="546"/>
    <s v="Cust 7637"/>
    <n v="22.05"/>
    <d v="2023-04-17T00:00:00"/>
    <d v="2023-04-20T00:00:00"/>
    <s v="Sophie"/>
    <n v="3"/>
  </r>
  <r>
    <d v="2023-06-28T00:00:00"/>
    <x v="3"/>
    <x v="0"/>
    <x v="4"/>
    <x v="0"/>
    <x v="3"/>
    <n v="14"/>
    <n v="293.31"/>
    <s v="Store D"/>
    <x v="0"/>
    <n v="0"/>
    <x v="1"/>
    <n v="4106.34"/>
    <n v="2463.8040000000001"/>
    <n v="1620.9260000000002"/>
    <n v="0.39473740605989766"/>
    <n v="4106.34"/>
    <s v="Gift Card"/>
    <m/>
    <x v="1"/>
    <n v="0"/>
    <x v="0"/>
    <x v="547"/>
    <s v="Cust 8382"/>
    <n v="21.61"/>
    <d v="2023-06-28T00:00:00"/>
    <d v="2023-06-30T00:00:00"/>
    <s v="Eric"/>
    <n v="2"/>
  </r>
  <r>
    <d v="2024-04-06T00:00:00"/>
    <x v="7"/>
    <x v="1"/>
    <x v="9"/>
    <x v="3"/>
    <x v="3"/>
    <n v="10"/>
    <n v="397.39"/>
    <s v="Store D"/>
    <x v="1"/>
    <n v="0.15"/>
    <x v="1"/>
    <n v="3377.8149999999996"/>
    <n v="2384.3399999999997"/>
    <n v="968.20499999999993"/>
    <n v="0.28663647949932131"/>
    <n v="3377.8150000000001"/>
    <s v="Gift Card"/>
    <m/>
    <x v="1"/>
    <n v="0"/>
    <x v="0"/>
    <x v="548"/>
    <s v="Cust 4015"/>
    <n v="25.27"/>
    <d v="2024-04-06T00:00:00"/>
    <d v="2024-04-16T00:00:00"/>
    <s v="Cameron"/>
    <n v="10"/>
  </r>
  <r>
    <d v="2025-02-17T00:00:00"/>
    <x v="0"/>
    <x v="2"/>
    <x v="3"/>
    <x v="1"/>
    <x v="3"/>
    <n v="2"/>
    <n v="98.35"/>
    <s v="Store C"/>
    <x v="1"/>
    <n v="0"/>
    <x v="0"/>
    <n v="196.7"/>
    <n v="118.01999999999998"/>
    <n v="50.030000000000008"/>
    <n v="0.25434672089476368"/>
    <n v="196.7"/>
    <s v="Debit Card"/>
    <s v="FREESHIP"/>
    <x v="0"/>
    <n v="0"/>
    <x v="0"/>
    <x v="549"/>
    <s v="Cust 5172"/>
    <n v="28.65"/>
    <d v="2025-02-17T00:00:00"/>
    <d v="2025-02-19T00:00:00"/>
    <s v="Sophie"/>
    <n v="2"/>
  </r>
  <r>
    <d v="2023-01-08T00:00:00"/>
    <x v="4"/>
    <x v="0"/>
    <x v="6"/>
    <x v="1"/>
    <x v="2"/>
    <n v="6"/>
    <n v="581.66999999999996"/>
    <s v="Store A"/>
    <x v="0"/>
    <n v="0"/>
    <x v="2"/>
    <n v="3490.0199999999995"/>
    <n v="2094.0119999999997"/>
    <n v="1356.6079999999997"/>
    <n v="0.38871066641451907"/>
    <n v="3490.02"/>
    <s v="Debit Card"/>
    <m/>
    <x v="1"/>
    <n v="0"/>
    <x v="0"/>
    <x v="550"/>
    <s v="Cust 7584"/>
    <n v="39.4"/>
    <d v="2023-01-08T00:00:00"/>
    <d v="2023-01-11T00:00:00"/>
    <s v="Sophie"/>
    <n v="3"/>
  </r>
  <r>
    <d v="2023-12-21T00:00:00"/>
    <x v="1"/>
    <x v="0"/>
    <x v="27"/>
    <x v="1"/>
    <x v="1"/>
    <n v="19"/>
    <n v="30.41"/>
    <s v="Store D"/>
    <x v="1"/>
    <n v="0.05"/>
    <x v="2"/>
    <n v="548.90049999999997"/>
    <n v="346.67399999999998"/>
    <n v="153.8965"/>
    <n v="0.28037230791372936"/>
    <n v="548.90049999999997"/>
    <s v="Debit Card"/>
    <s v="FREESHIP"/>
    <x v="0"/>
    <n v="0"/>
    <x v="0"/>
    <x v="551"/>
    <s v="Cust 6809"/>
    <n v="48.33"/>
    <d v="2023-12-21T00:00:00"/>
    <d v="2023-12-31T00:00:00"/>
    <s v="Sophie"/>
    <n v="10"/>
  </r>
  <r>
    <d v="2024-07-13T00:00:00"/>
    <x v="8"/>
    <x v="1"/>
    <x v="10"/>
    <x v="2"/>
    <x v="4"/>
    <n v="15"/>
    <n v="368.79"/>
    <s v="Store C"/>
    <x v="0"/>
    <n v="0.1"/>
    <x v="5"/>
    <n v="4978.6650000000009"/>
    <n v="3319.11"/>
    <n v="1642.6550000000007"/>
    <n v="0.32993884906897741"/>
    <n v="4978.6650000000009"/>
    <s v="Gift Card"/>
    <s v="WINTER15"/>
    <x v="0"/>
    <n v="0"/>
    <x v="0"/>
    <x v="552"/>
    <s v="Cust 7540"/>
    <n v="16.899999999999999"/>
    <d v="2024-07-13T00:00:00"/>
    <d v="2024-07-15T00:00:00"/>
    <s v="Ryan"/>
    <n v="2"/>
  </r>
  <r>
    <d v="2024-03-23T00:00:00"/>
    <x v="6"/>
    <x v="1"/>
    <x v="25"/>
    <x v="4"/>
    <x v="4"/>
    <n v="4"/>
    <n v="56.06"/>
    <s v="Store D"/>
    <x v="1"/>
    <n v="0.15"/>
    <x v="3"/>
    <n v="190.60400000000001"/>
    <n v="134.54400000000001"/>
    <n v="45.290000000000006"/>
    <n v="0.2376130616356425"/>
    <n v="190.60400000000001"/>
    <s v="Cash"/>
    <s v="SAVE10"/>
    <x v="0"/>
    <n v="0"/>
    <x v="0"/>
    <x v="553"/>
    <s v="Cust 6888"/>
    <n v="10.77"/>
    <d v="2024-03-23T00:00:00"/>
    <d v="2024-04-01T00:00:00"/>
    <s v="Wendy"/>
    <n v="9"/>
  </r>
  <r>
    <d v="2024-03-19T00:00:00"/>
    <x v="6"/>
    <x v="1"/>
    <x v="25"/>
    <x v="4"/>
    <x v="3"/>
    <n v="7"/>
    <n v="15.65"/>
    <s v="Store D"/>
    <x v="0"/>
    <n v="0"/>
    <x v="3"/>
    <n v="109.55"/>
    <n v="65.73"/>
    <n v="30.539999999999992"/>
    <n v="0.27877681424007295"/>
    <n v="109.55"/>
    <s v="Debit Card"/>
    <m/>
    <x v="1"/>
    <n v="0"/>
    <x v="0"/>
    <x v="554"/>
    <s v="Cust 3304"/>
    <n v="13.28"/>
    <d v="2024-03-19T00:00:00"/>
    <d v="2024-03-25T00:00:00"/>
    <s v="Wendy"/>
    <n v="6"/>
  </r>
  <r>
    <d v="2025-05-20T00:00:00"/>
    <x v="2"/>
    <x v="2"/>
    <x v="13"/>
    <x v="3"/>
    <x v="5"/>
    <n v="9"/>
    <n v="380.85"/>
    <s v="Store B"/>
    <x v="0"/>
    <n v="0"/>
    <x v="3"/>
    <n v="3427.65"/>
    <n v="2056.59"/>
    <n v="1337.6599999999999"/>
    <n v="0.39025571455662039"/>
    <n v="3427.65"/>
    <s v="Cash"/>
    <s v="FREESHIP"/>
    <x v="0"/>
    <n v="0"/>
    <x v="0"/>
    <x v="555"/>
    <s v="Cust 4196"/>
    <n v="33.4"/>
    <d v="2025-05-20T00:00:00"/>
    <d v="2025-05-29T00:00:00"/>
    <s v="Cameron"/>
    <n v="9"/>
  </r>
  <r>
    <d v="2025-01-19T00:00:00"/>
    <x v="4"/>
    <x v="2"/>
    <x v="12"/>
    <x v="1"/>
    <x v="3"/>
    <n v="11"/>
    <n v="587.21"/>
    <s v="Store C"/>
    <x v="0"/>
    <n v="0"/>
    <x v="3"/>
    <n v="6459.31"/>
    <n v="3875.5860000000002"/>
    <n v="2549.404"/>
    <n v="0.39468673898605267"/>
    <n v="6459.31"/>
    <s v="Debit Card"/>
    <s v="WINTER15"/>
    <x v="0"/>
    <n v="0"/>
    <x v="0"/>
    <x v="556"/>
    <s v="Cust 6596"/>
    <n v="34.32"/>
    <d v="2025-01-19T00:00:00"/>
    <d v="2025-01-26T00:00:00"/>
    <s v="Sophie"/>
    <n v="7"/>
  </r>
  <r>
    <d v="2023-05-28T00:00:00"/>
    <x v="2"/>
    <x v="0"/>
    <x v="2"/>
    <x v="1"/>
    <x v="6"/>
    <n v="17"/>
    <n v="554.25"/>
    <s v="Store A"/>
    <x v="0"/>
    <n v="0.1"/>
    <x v="4"/>
    <n v="8480.0249999999996"/>
    <n v="5653.35"/>
    <n v="2818.0149999999994"/>
    <n v="0.33231210992892113"/>
    <n v="8480.0249999999996"/>
    <s v="Debit Card"/>
    <m/>
    <x v="1"/>
    <n v="0"/>
    <x v="0"/>
    <x v="557"/>
    <s v="Cust 5588"/>
    <n v="8.66"/>
    <d v="2023-05-28T00:00:00"/>
    <d v="2023-06-01T00:00:00"/>
    <s v="Sophie"/>
    <n v="4"/>
  </r>
  <r>
    <d v="2023-10-28T00:00:00"/>
    <x v="5"/>
    <x v="0"/>
    <x v="19"/>
    <x v="0"/>
    <x v="6"/>
    <n v="3"/>
    <n v="410.23"/>
    <s v="Store A"/>
    <x v="0"/>
    <n v="0.15"/>
    <x v="4"/>
    <n v="1046.0865000000001"/>
    <n v="738.41399999999999"/>
    <n v="301.63250000000011"/>
    <n v="0.28834374595217516"/>
    <n v="1046.0864999999999"/>
    <s v="Credit Card"/>
    <s v="FREESHIP"/>
    <x v="0"/>
    <n v="0"/>
    <x v="0"/>
    <x v="558"/>
    <s v="Cust 1518"/>
    <n v="6.04"/>
    <d v="2023-10-28T00:00:00"/>
    <d v="2023-11-03T00:00:00"/>
    <s v="Eric"/>
    <n v="6"/>
  </r>
  <r>
    <d v="2023-11-25T00:00:00"/>
    <x v="9"/>
    <x v="0"/>
    <x v="15"/>
    <x v="4"/>
    <x v="4"/>
    <n v="5"/>
    <n v="99.23"/>
    <s v="Store B"/>
    <x v="1"/>
    <n v="0"/>
    <x v="0"/>
    <n v="496.15000000000003"/>
    <n v="297.69"/>
    <n v="160.80000000000004"/>
    <n v="0.32409553562430721"/>
    <n v="496.15"/>
    <s v="Debit Card"/>
    <m/>
    <x v="1"/>
    <n v="0"/>
    <x v="0"/>
    <x v="559"/>
    <s v="Cust 2819"/>
    <n v="37.659999999999997"/>
    <d v="2023-11-25T00:00:00"/>
    <d v="2023-12-02T00:00:00"/>
    <s v="Wendy"/>
    <n v="7"/>
  </r>
  <r>
    <d v="2024-11-17T00:00:00"/>
    <x v="9"/>
    <x v="1"/>
    <x v="20"/>
    <x v="1"/>
    <x v="4"/>
    <n v="9"/>
    <n v="503.18"/>
    <s v="Store B"/>
    <x v="0"/>
    <n v="0"/>
    <x v="4"/>
    <n v="4528.62"/>
    <n v="2717.172"/>
    <n v="1765.4279999999999"/>
    <n v="0.38983796388303721"/>
    <n v="4528.62"/>
    <s v="Gift Card"/>
    <s v="SAVE10"/>
    <x v="0"/>
    <n v="1"/>
    <x v="1"/>
    <x v="560"/>
    <s v="Cust 1947"/>
    <n v="46.02"/>
    <d v="2024-11-17T00:00:00"/>
    <d v="2024-11-24T00:00:00"/>
    <s v="Sophie"/>
    <n v="7"/>
  </r>
  <r>
    <d v="2024-01-24T00:00:00"/>
    <x v="4"/>
    <x v="1"/>
    <x v="24"/>
    <x v="3"/>
    <x v="4"/>
    <n v="17"/>
    <n v="155.31"/>
    <s v="Store C"/>
    <x v="1"/>
    <n v="0.15"/>
    <x v="5"/>
    <n v="2244.2294999999999"/>
    <n v="1584.1619999999998"/>
    <n v="632.96750000000009"/>
    <n v="0.28204223320297683"/>
    <n v="2244.2294999999999"/>
    <s v="Credit Card"/>
    <s v="WINTER15"/>
    <x v="0"/>
    <n v="0"/>
    <x v="0"/>
    <x v="561"/>
    <s v="Cust 7332"/>
    <n v="27.1"/>
    <d v="2024-01-24T00:00:00"/>
    <d v="2024-01-29T00:00:00"/>
    <s v="Cameron"/>
    <n v="5"/>
  </r>
  <r>
    <d v="2023-06-19T00:00:00"/>
    <x v="3"/>
    <x v="0"/>
    <x v="4"/>
    <x v="2"/>
    <x v="3"/>
    <n v="7"/>
    <n v="303.79000000000002"/>
    <s v="Store D"/>
    <x v="0"/>
    <n v="0.15"/>
    <x v="2"/>
    <n v="1807.5505000000001"/>
    <n v="1275.9180000000001"/>
    <n v="492.78249999999991"/>
    <n v="0.27262447162610387"/>
    <n v="1807.5505000000001"/>
    <s v="Credit Card"/>
    <s v="SAVE10"/>
    <x v="0"/>
    <n v="0"/>
    <x v="0"/>
    <x v="562"/>
    <s v="Cust 7314"/>
    <n v="38.85"/>
    <d v="2023-06-19T00:00:00"/>
    <d v="2023-06-29T00:00:00"/>
    <s v="Ryan"/>
    <n v="10"/>
  </r>
  <r>
    <d v="2025-01-13T00:00:00"/>
    <x v="4"/>
    <x v="2"/>
    <x v="12"/>
    <x v="0"/>
    <x v="1"/>
    <n v="17"/>
    <n v="263.75"/>
    <s v="Store B"/>
    <x v="1"/>
    <n v="0"/>
    <x v="1"/>
    <n v="4483.75"/>
    <n v="2690.25"/>
    <n v="1780.53"/>
    <n v="0.397107332032339"/>
    <n v="4483.75"/>
    <s v="Online"/>
    <m/>
    <x v="1"/>
    <n v="1"/>
    <x v="1"/>
    <x v="563"/>
    <s v="Cust 5296"/>
    <n v="12.97"/>
    <d v="2025-01-13T00:00:00"/>
    <d v="2025-01-18T00:00:00"/>
    <s v="Eric"/>
    <n v="5"/>
  </r>
  <r>
    <d v="2024-01-24T00:00:00"/>
    <x v="4"/>
    <x v="1"/>
    <x v="24"/>
    <x v="0"/>
    <x v="1"/>
    <n v="4"/>
    <n v="179.92"/>
    <s v="Store D"/>
    <x v="1"/>
    <n v="0.1"/>
    <x v="4"/>
    <n v="647.71199999999999"/>
    <n v="431.80799999999994"/>
    <n v="180.64400000000006"/>
    <n v="0.27889555851983605"/>
    <n v="647.71199999999999"/>
    <s v="Online"/>
    <s v="WINTER15"/>
    <x v="0"/>
    <n v="0"/>
    <x v="0"/>
    <x v="564"/>
    <s v="Cust 2964"/>
    <n v="35.26"/>
    <d v="2024-01-24T00:00:00"/>
    <d v="2024-02-01T00:00:00"/>
    <s v="Eric"/>
    <n v="8"/>
  </r>
  <r>
    <d v="2025-01-06T00:00:00"/>
    <x v="4"/>
    <x v="2"/>
    <x v="12"/>
    <x v="1"/>
    <x v="6"/>
    <n v="2"/>
    <n v="264"/>
    <s v="Store D"/>
    <x v="1"/>
    <n v="0"/>
    <x v="5"/>
    <n v="528"/>
    <n v="316.8"/>
    <n v="184.47"/>
    <n v="0.34937499999999999"/>
    <n v="528"/>
    <s v="Gift Card"/>
    <s v="SAVE10"/>
    <x v="0"/>
    <n v="0"/>
    <x v="0"/>
    <x v="565"/>
    <s v="Cust 5381"/>
    <n v="26.73"/>
    <d v="2025-01-06T00:00:00"/>
    <d v="2025-01-14T00:00:00"/>
    <s v="Sophie"/>
    <n v="8"/>
  </r>
  <r>
    <d v="2025-01-02T00:00:00"/>
    <x v="4"/>
    <x v="2"/>
    <x v="12"/>
    <x v="3"/>
    <x v="0"/>
    <n v="4"/>
    <n v="403.97"/>
    <s v="Store A"/>
    <x v="0"/>
    <n v="0.05"/>
    <x v="1"/>
    <n v="1535.086"/>
    <n v="969.52800000000002"/>
    <n v="525.63800000000003"/>
    <n v="0.34241599493448577"/>
    <n v="1535.086"/>
    <s v="Cash"/>
    <s v="WINTER15"/>
    <x v="0"/>
    <n v="0"/>
    <x v="0"/>
    <x v="566"/>
    <s v="Cust 5436"/>
    <n v="39.92"/>
    <d v="2025-01-02T00:00:00"/>
    <d v="2025-01-09T00:00:00"/>
    <s v="Cameron"/>
    <n v="7"/>
  </r>
  <r>
    <d v="2023-02-22T00:00:00"/>
    <x v="0"/>
    <x v="0"/>
    <x v="0"/>
    <x v="2"/>
    <x v="2"/>
    <n v="4"/>
    <n v="85.96"/>
    <s v="Store A"/>
    <x v="1"/>
    <n v="0.1"/>
    <x v="2"/>
    <n v="309.45599999999996"/>
    <n v="206.30399999999997"/>
    <n v="71.031999999999982"/>
    <n v="0.22953828654154385"/>
    <n v="309.45600000000002"/>
    <s v="Credit Card"/>
    <m/>
    <x v="1"/>
    <n v="0"/>
    <x v="0"/>
    <x v="567"/>
    <s v="Cust 1494"/>
    <n v="32.119999999999997"/>
    <d v="2023-02-22T00:00:00"/>
    <d v="2023-03-03T00:00:00"/>
    <s v="Ryan"/>
    <n v="9"/>
  </r>
  <r>
    <d v="2025-02-06T00:00:00"/>
    <x v="0"/>
    <x v="2"/>
    <x v="3"/>
    <x v="0"/>
    <x v="2"/>
    <n v="2"/>
    <n v="93.49"/>
    <s v="Store A"/>
    <x v="0"/>
    <n v="0.1"/>
    <x v="1"/>
    <n v="168.28199999999998"/>
    <n v="112.18799999999999"/>
    <n v="29.783999999999995"/>
    <n v="0.17698862623453487"/>
    <n v="168.28200000000001"/>
    <s v="Debit Card"/>
    <s v="WINTER15"/>
    <x v="0"/>
    <n v="0"/>
    <x v="0"/>
    <x v="568"/>
    <s v="Cust 4380"/>
    <n v="26.31"/>
    <d v="2025-02-06T00:00:00"/>
    <d v="2025-02-16T00:00:00"/>
    <s v="Eric"/>
    <n v="10"/>
  </r>
  <r>
    <d v="2024-09-26T00:00:00"/>
    <x v="11"/>
    <x v="1"/>
    <x v="26"/>
    <x v="0"/>
    <x v="2"/>
    <n v="11"/>
    <n v="144.29"/>
    <s v="Store B"/>
    <x v="1"/>
    <n v="0.05"/>
    <x v="5"/>
    <n v="1507.8304999999998"/>
    <n v="952.31399999999996"/>
    <n v="543.60649999999987"/>
    <n v="0.36052228682202669"/>
    <n v="1507.8305"/>
    <s v="Credit Card"/>
    <s v="WINTER15"/>
    <x v="0"/>
    <n v="0"/>
    <x v="0"/>
    <x v="569"/>
    <s v="Cust 7054"/>
    <n v="11.91"/>
    <d v="2024-09-26T00:00:00"/>
    <d v="2024-09-30T00:00:00"/>
    <s v="Eric"/>
    <n v="4"/>
  </r>
  <r>
    <d v="2025-03-28T00:00:00"/>
    <x v="6"/>
    <x v="2"/>
    <x v="8"/>
    <x v="2"/>
    <x v="3"/>
    <n v="18"/>
    <n v="553.23"/>
    <s v="Store D"/>
    <x v="0"/>
    <n v="0"/>
    <x v="2"/>
    <n v="9958.14"/>
    <n v="5974.884"/>
    <n v="3951.4959999999992"/>
    <n v="0.39681064937829752"/>
    <n v="9958.14"/>
    <s v="Cash"/>
    <s v="FREESHIP"/>
    <x v="0"/>
    <n v="0"/>
    <x v="0"/>
    <x v="570"/>
    <s v="Cust 1375"/>
    <n v="31.76"/>
    <d v="2025-03-28T00:00:00"/>
    <d v="2025-04-01T00:00:00"/>
    <s v="Ryan"/>
    <n v="4"/>
  </r>
  <r>
    <d v="2023-07-01T00:00:00"/>
    <x v="8"/>
    <x v="0"/>
    <x v="11"/>
    <x v="0"/>
    <x v="3"/>
    <n v="9"/>
    <n v="228.3"/>
    <s v="Store B"/>
    <x v="1"/>
    <n v="0.05"/>
    <x v="0"/>
    <n v="1951.9650000000001"/>
    <n v="1232.82"/>
    <n v="710.39500000000021"/>
    <n v="0.3639383902887604"/>
    <n v="1951.9649999999999"/>
    <s v="Debit Card"/>
    <s v="FREESHIP"/>
    <x v="0"/>
    <n v="0"/>
    <x v="0"/>
    <x v="571"/>
    <s v="Cust 5698"/>
    <n v="8.75"/>
    <d v="2023-07-01T00:00:00"/>
    <d v="2023-07-09T00:00:00"/>
    <s v="Eric"/>
    <n v="8"/>
  </r>
  <r>
    <d v="2023-04-29T00:00:00"/>
    <x v="7"/>
    <x v="0"/>
    <x v="21"/>
    <x v="4"/>
    <x v="2"/>
    <n v="7"/>
    <n v="235.94"/>
    <s v="Store D"/>
    <x v="0"/>
    <n v="0.1"/>
    <x v="1"/>
    <n v="1486.422"/>
    <n v="990.94799999999998"/>
    <n v="487.03400000000005"/>
    <n v="0.32765526882675311"/>
    <n v="1486.422"/>
    <s v="Gift Card"/>
    <s v="FREESHIP"/>
    <x v="0"/>
    <n v="0"/>
    <x v="0"/>
    <x v="572"/>
    <s v="Cust 3259"/>
    <n v="8.44"/>
    <d v="2023-04-29T00:00:00"/>
    <d v="2023-05-04T00:00:00"/>
    <s v="Wendy"/>
    <n v="5"/>
  </r>
  <r>
    <d v="2023-04-30T00:00:00"/>
    <x v="7"/>
    <x v="0"/>
    <x v="21"/>
    <x v="0"/>
    <x v="6"/>
    <n v="17"/>
    <n v="369.52"/>
    <s v="Store C"/>
    <x v="0"/>
    <n v="0"/>
    <x v="3"/>
    <n v="6281.84"/>
    <n v="3769.1039999999998"/>
    <n v="2495.6160000000004"/>
    <n v="0.39727468385059161"/>
    <n v="6281.84"/>
    <s v="Gift Card"/>
    <m/>
    <x v="1"/>
    <n v="0"/>
    <x v="0"/>
    <x v="573"/>
    <s v="Cust 9295"/>
    <n v="17.12"/>
    <d v="2023-04-30T00:00:00"/>
    <d v="2023-05-06T00:00:00"/>
    <s v="Eric"/>
    <n v="6"/>
  </r>
  <r>
    <d v="2024-03-14T00:00:00"/>
    <x v="6"/>
    <x v="1"/>
    <x v="25"/>
    <x v="4"/>
    <x v="1"/>
    <n v="8"/>
    <n v="142.09"/>
    <s v="Store A"/>
    <x v="0"/>
    <n v="0"/>
    <x v="0"/>
    <n v="1136.72"/>
    <n v="682.03200000000004"/>
    <n v="415.71799999999996"/>
    <n v="0.36571715110141456"/>
    <n v="1136.72"/>
    <s v="Credit Card"/>
    <s v="WINTER15"/>
    <x v="0"/>
    <n v="0"/>
    <x v="0"/>
    <x v="574"/>
    <s v="Cust 7035"/>
    <n v="38.97"/>
    <d v="2024-03-14T00:00:00"/>
    <d v="2024-03-20T00:00:00"/>
    <s v="Wendy"/>
    <n v="6"/>
  </r>
  <r>
    <d v="2023-06-27T00:00:00"/>
    <x v="3"/>
    <x v="0"/>
    <x v="4"/>
    <x v="3"/>
    <x v="3"/>
    <n v="3"/>
    <n v="497.61"/>
    <s v="Store B"/>
    <x v="0"/>
    <n v="0.15"/>
    <x v="1"/>
    <n v="1268.9054999999998"/>
    <n v="895.69799999999987"/>
    <n v="359.23749999999995"/>
    <n v="0.28310815896061603"/>
    <n v="1268.9055000000001"/>
    <s v="Cash"/>
    <s v="FREESHIP"/>
    <x v="0"/>
    <n v="1"/>
    <x v="1"/>
    <x v="575"/>
    <s v="Cust 9049"/>
    <n v="13.97"/>
    <d v="2023-06-27T00:00:00"/>
    <d v="2023-07-02T00:00:00"/>
    <s v="Cameron"/>
    <n v="5"/>
  </r>
  <r>
    <d v="2024-04-10T00:00:00"/>
    <x v="7"/>
    <x v="1"/>
    <x v="9"/>
    <x v="2"/>
    <x v="0"/>
    <n v="19"/>
    <n v="9.48"/>
    <s v="Store A"/>
    <x v="0"/>
    <n v="0"/>
    <x v="3"/>
    <n v="180.12"/>
    <n v="108.07199999999999"/>
    <n v="49.718000000000018"/>
    <n v="0.27602709304907846"/>
    <n v="180.12"/>
    <s v="Online"/>
    <m/>
    <x v="1"/>
    <n v="0"/>
    <x v="0"/>
    <x v="576"/>
    <s v="Cust 6173"/>
    <n v="22.33"/>
    <d v="2024-04-10T00:00:00"/>
    <d v="2024-04-12T00:00:00"/>
    <s v="Ryan"/>
    <n v="2"/>
  </r>
  <r>
    <d v="2023-08-30T00:00:00"/>
    <x v="10"/>
    <x v="0"/>
    <x v="18"/>
    <x v="3"/>
    <x v="6"/>
    <n v="8"/>
    <n v="55.27"/>
    <s v="Store A"/>
    <x v="0"/>
    <n v="0.15"/>
    <x v="5"/>
    <n v="375.83600000000001"/>
    <n v="265.29599999999999"/>
    <n v="93.700000000000017"/>
    <n v="0.2493108696346279"/>
    <n v="375.83600000000001"/>
    <s v="Cash"/>
    <s v="WINTER15"/>
    <x v="0"/>
    <n v="0"/>
    <x v="0"/>
    <x v="577"/>
    <s v="Cust 3447"/>
    <n v="16.84"/>
    <d v="2023-08-30T00:00:00"/>
    <d v="2023-09-01T00:00:00"/>
    <s v="Cameron"/>
    <n v="2"/>
  </r>
  <r>
    <d v="2023-10-23T00:00:00"/>
    <x v="5"/>
    <x v="0"/>
    <x v="19"/>
    <x v="4"/>
    <x v="0"/>
    <n v="17"/>
    <n v="25.95"/>
    <s v="Store B"/>
    <x v="0"/>
    <n v="0.05"/>
    <x v="5"/>
    <n v="419.09249999999997"/>
    <n v="264.69"/>
    <n v="126.72249999999997"/>
    <n v="0.30237358101135187"/>
    <n v="419.09249999999997"/>
    <s v="Gift Card"/>
    <m/>
    <x v="1"/>
    <n v="0"/>
    <x v="0"/>
    <x v="578"/>
    <s v="Cust 2218"/>
    <n v="27.68"/>
    <d v="2023-10-23T00:00:00"/>
    <d v="2023-10-30T00:00:00"/>
    <s v="Wendy"/>
    <n v="7"/>
  </r>
  <r>
    <d v="2023-03-23T00:00:00"/>
    <x v="6"/>
    <x v="0"/>
    <x v="17"/>
    <x v="2"/>
    <x v="2"/>
    <n v="18"/>
    <n v="209.65"/>
    <s v="Store A"/>
    <x v="0"/>
    <n v="0.1"/>
    <x v="3"/>
    <n v="3396.3300000000004"/>
    <n v="2264.2199999999998"/>
    <n v="1090.0700000000006"/>
    <n v="0.32095526641992989"/>
    <n v="3396.33"/>
    <s v="Debit Card"/>
    <m/>
    <x v="1"/>
    <n v="0"/>
    <x v="0"/>
    <x v="579"/>
    <s v="Cust 8882"/>
    <n v="42.04"/>
    <d v="2023-03-23T00:00:00"/>
    <d v="2023-03-30T00:00:00"/>
    <s v="Ryan"/>
    <n v="7"/>
  </r>
  <r>
    <d v="2024-09-21T00:00:00"/>
    <x v="11"/>
    <x v="1"/>
    <x v="26"/>
    <x v="3"/>
    <x v="0"/>
    <n v="13"/>
    <n v="75.77"/>
    <s v="Store B"/>
    <x v="0"/>
    <n v="0.15"/>
    <x v="2"/>
    <n v="837.25850000000003"/>
    <n v="591.00599999999997"/>
    <n v="204.31250000000006"/>
    <n v="0.24402559066285986"/>
    <n v="837.25850000000003"/>
    <s v="Debit Card"/>
    <s v="SAVE10"/>
    <x v="0"/>
    <n v="0"/>
    <x v="0"/>
    <x v="580"/>
    <s v="Cust 6709"/>
    <n v="41.94"/>
    <d v="2024-09-21T00:00:00"/>
    <d v="2024-09-30T00:00:00"/>
    <s v="Cameron"/>
    <n v="9"/>
  </r>
  <r>
    <d v="2024-12-26T00:00:00"/>
    <x v="1"/>
    <x v="1"/>
    <x v="1"/>
    <x v="4"/>
    <x v="5"/>
    <n v="5"/>
    <n v="307.83999999999997"/>
    <s v="Store B"/>
    <x v="0"/>
    <n v="0.1"/>
    <x v="5"/>
    <n v="1385.28"/>
    <n v="923.51999999999987"/>
    <n v="448.15000000000009"/>
    <n v="0.32350860475860482"/>
    <n v="1385.28"/>
    <s v="Online"/>
    <s v="SAVE10"/>
    <x v="0"/>
    <n v="0"/>
    <x v="0"/>
    <x v="581"/>
    <s v="Cust 8727"/>
    <n v="13.61"/>
    <d v="2024-12-26T00:00:00"/>
    <d v="2025-01-03T00:00:00"/>
    <s v="Wendy"/>
    <n v="8"/>
  </r>
  <r>
    <d v="2023-02-26T00:00:00"/>
    <x v="0"/>
    <x v="0"/>
    <x v="0"/>
    <x v="0"/>
    <x v="1"/>
    <n v="13"/>
    <n v="6.5"/>
    <s v="Store A"/>
    <x v="0"/>
    <n v="0"/>
    <x v="4"/>
    <n v="84.5"/>
    <n v="50.699999999999996"/>
    <n v="13.780000000000005"/>
    <n v="0.16307692307692312"/>
    <n v="84.5"/>
    <s v="Cash"/>
    <m/>
    <x v="1"/>
    <n v="0"/>
    <x v="0"/>
    <x v="582"/>
    <s v="Cust 8359"/>
    <n v="20.02"/>
    <d v="2023-02-26T00:00:00"/>
    <d v="2023-03-03T00:00:00"/>
    <s v="Eric"/>
    <n v="5"/>
  </r>
  <r>
    <d v="2024-12-10T00:00:00"/>
    <x v="1"/>
    <x v="1"/>
    <x v="1"/>
    <x v="2"/>
    <x v="4"/>
    <n v="8"/>
    <n v="70.790000000000006"/>
    <s v="Store B"/>
    <x v="0"/>
    <n v="0"/>
    <x v="4"/>
    <n v="566.32000000000005"/>
    <n v="339.79200000000003"/>
    <n v="180.17800000000003"/>
    <n v="0.31815581296793333"/>
    <n v="566.32000000000005"/>
    <s v="Online"/>
    <m/>
    <x v="1"/>
    <n v="0"/>
    <x v="0"/>
    <x v="583"/>
    <s v="Cust 1514"/>
    <n v="46.35"/>
    <d v="2024-12-10T00:00:00"/>
    <d v="2024-12-14T00:00:00"/>
    <s v="Ryan"/>
    <n v="4"/>
  </r>
  <r>
    <d v="2025-01-01T00:00:00"/>
    <x v="4"/>
    <x v="2"/>
    <x v="12"/>
    <x v="0"/>
    <x v="0"/>
    <n v="17"/>
    <n v="584.70000000000005"/>
    <s v="Store D"/>
    <x v="1"/>
    <n v="0.1"/>
    <x v="0"/>
    <n v="8945.9100000000017"/>
    <n v="5963.94"/>
    <n v="2935.3800000000019"/>
    <n v="0.32812536678772775"/>
    <n v="8945.9100000000017"/>
    <s v="Online"/>
    <m/>
    <x v="1"/>
    <n v="1"/>
    <x v="1"/>
    <x v="584"/>
    <s v="Cust 2774"/>
    <n v="46.59"/>
    <d v="2025-01-01T00:00:00"/>
    <d v="2025-01-03T00:00:00"/>
    <s v="Eric"/>
    <n v="2"/>
  </r>
  <r>
    <d v="2025-03-14T00:00:00"/>
    <x v="6"/>
    <x v="2"/>
    <x v="8"/>
    <x v="0"/>
    <x v="1"/>
    <n v="4"/>
    <n v="23.27"/>
    <s v="Store C"/>
    <x v="0"/>
    <n v="0.15"/>
    <x v="4"/>
    <n v="79.117999999999995"/>
    <n v="55.847999999999999"/>
    <n v="-9.5900000000000034"/>
    <n v="-0.12121135519098061"/>
    <n v="79.117999999999995"/>
    <s v="Online"/>
    <s v="SAVE10"/>
    <x v="0"/>
    <n v="0"/>
    <x v="0"/>
    <x v="585"/>
    <s v="Cust 4270"/>
    <n v="32.86"/>
    <d v="2025-03-14T00:00:00"/>
    <d v="2025-03-21T00:00:00"/>
    <s v="Eric"/>
    <n v="7"/>
  </r>
  <r>
    <d v="2024-01-16T00:00:00"/>
    <x v="4"/>
    <x v="1"/>
    <x v="24"/>
    <x v="1"/>
    <x v="5"/>
    <n v="5"/>
    <n v="440.93"/>
    <s v="Store B"/>
    <x v="0"/>
    <n v="0.1"/>
    <x v="3"/>
    <n v="1984.1850000000002"/>
    <n v="1322.79"/>
    <n v="637.55500000000018"/>
    <n v="0.32131832465218724"/>
    <n v="1984.1849999999999"/>
    <s v="Gift Card"/>
    <m/>
    <x v="1"/>
    <n v="0"/>
    <x v="0"/>
    <x v="586"/>
    <s v="Cust 3123"/>
    <n v="23.84"/>
    <d v="2024-01-16T00:00:00"/>
    <d v="2024-01-20T00:00:00"/>
    <s v="Sophie"/>
    <n v="4"/>
  </r>
  <r>
    <d v="2024-04-19T00:00:00"/>
    <x v="7"/>
    <x v="1"/>
    <x v="9"/>
    <x v="4"/>
    <x v="5"/>
    <n v="10"/>
    <n v="278.45"/>
    <s v="Store D"/>
    <x v="0"/>
    <n v="0"/>
    <x v="0"/>
    <n v="2784.5"/>
    <n v="1670.6999999999998"/>
    <n v="1102.67"/>
    <n v="0.39600287304722576"/>
    <n v="2784.5"/>
    <s v="Credit Card"/>
    <s v="SAVE10"/>
    <x v="0"/>
    <n v="0"/>
    <x v="0"/>
    <x v="587"/>
    <s v="Cust 7414"/>
    <n v="11.13"/>
    <d v="2024-04-19T00:00:00"/>
    <d v="2024-04-25T00:00:00"/>
    <s v="Wendy"/>
    <n v="6"/>
  </r>
  <r>
    <d v="2023-12-08T00:00:00"/>
    <x v="1"/>
    <x v="0"/>
    <x v="27"/>
    <x v="2"/>
    <x v="4"/>
    <n v="14"/>
    <n v="382.19"/>
    <s v="Store B"/>
    <x v="0"/>
    <n v="0.05"/>
    <x v="2"/>
    <n v="5083.1269999999995"/>
    <n v="3210.3959999999997"/>
    <n v="1823.6109999999999"/>
    <n v="0.35875770957522801"/>
    <n v="5083.1269999999986"/>
    <s v="Cash"/>
    <s v="FREESHIP"/>
    <x v="0"/>
    <n v="1"/>
    <x v="1"/>
    <x v="588"/>
    <s v="Cust 5051"/>
    <n v="49.12"/>
    <d v="2023-12-08T00:00:00"/>
    <d v="2023-12-11T00:00:00"/>
    <s v="Ryan"/>
    <n v="3"/>
  </r>
  <r>
    <d v="2023-03-15T00:00:00"/>
    <x v="6"/>
    <x v="0"/>
    <x v="17"/>
    <x v="2"/>
    <x v="4"/>
    <n v="14"/>
    <n v="232.49"/>
    <s v="Store D"/>
    <x v="0"/>
    <n v="0.05"/>
    <x v="4"/>
    <n v="3092.1170000000002"/>
    <n v="1952.9159999999999"/>
    <n v="1133.8810000000003"/>
    <n v="0.36670054852387546"/>
    <n v="3092.1170000000002"/>
    <s v="Online"/>
    <s v="SAVE10"/>
    <x v="0"/>
    <n v="1"/>
    <x v="1"/>
    <x v="589"/>
    <s v="Cust 5975"/>
    <n v="5.32"/>
    <d v="2023-03-15T00:00:00"/>
    <d v="2023-03-19T00:00:00"/>
    <s v="Ryan"/>
    <n v="4"/>
  </r>
  <r>
    <d v="2025-02-07T00:00:00"/>
    <x v="0"/>
    <x v="2"/>
    <x v="3"/>
    <x v="1"/>
    <x v="0"/>
    <n v="17"/>
    <n v="15.01"/>
    <s v="Store D"/>
    <x v="0"/>
    <n v="0.15"/>
    <x v="4"/>
    <n v="216.89449999999999"/>
    <n v="153.102"/>
    <n v="41.79249999999999"/>
    <n v="0.19268584496149047"/>
    <n v="216.89449999999999"/>
    <s v="Debit Card"/>
    <s v="SAVE10"/>
    <x v="0"/>
    <n v="1"/>
    <x v="1"/>
    <x v="590"/>
    <s v="Cust 6948"/>
    <n v="22"/>
    <d v="2025-02-07T00:00:00"/>
    <d v="2025-02-13T00:00:00"/>
    <s v="Sophie"/>
    <n v="6"/>
  </r>
  <r>
    <d v="2025-06-27T00:00:00"/>
    <x v="3"/>
    <x v="2"/>
    <x v="16"/>
    <x v="2"/>
    <x v="4"/>
    <n v="11"/>
    <n v="29.41"/>
    <s v="Store D"/>
    <x v="1"/>
    <n v="0.05"/>
    <x v="3"/>
    <n v="307.33449999999999"/>
    <n v="194.10599999999999"/>
    <n v="107.0685"/>
    <n v="0.34837774476994937"/>
    <n v="307.33449999999999"/>
    <s v="Credit Card"/>
    <s v="SAVE10"/>
    <x v="0"/>
    <n v="0"/>
    <x v="0"/>
    <x v="591"/>
    <s v="Cust 8253"/>
    <n v="6.16"/>
    <d v="2025-06-27T00:00:00"/>
    <d v="2025-07-02T00:00:00"/>
    <s v="Ryan"/>
    <n v="5"/>
  </r>
  <r>
    <d v="2024-12-17T00:00:00"/>
    <x v="1"/>
    <x v="1"/>
    <x v="1"/>
    <x v="3"/>
    <x v="5"/>
    <n v="1"/>
    <n v="486.19"/>
    <s v="Store B"/>
    <x v="1"/>
    <n v="0.05"/>
    <x v="2"/>
    <n v="461.88049999999998"/>
    <n v="291.714"/>
    <n v="128.4365"/>
    <n v="0.27807300806160901"/>
    <n v="461.88049999999998"/>
    <s v="Online"/>
    <s v="SAVE10"/>
    <x v="0"/>
    <n v="0"/>
    <x v="0"/>
    <x v="592"/>
    <s v="Cust 7238"/>
    <n v="41.73"/>
    <d v="2024-12-17T00:00:00"/>
    <d v="2024-12-20T00:00:00"/>
    <s v="Cameron"/>
    <n v="3"/>
  </r>
  <r>
    <d v="2024-05-03T00:00:00"/>
    <x v="2"/>
    <x v="1"/>
    <x v="14"/>
    <x v="1"/>
    <x v="0"/>
    <n v="6"/>
    <n v="266.67"/>
    <s v="Store B"/>
    <x v="0"/>
    <n v="0.05"/>
    <x v="0"/>
    <n v="1520.019"/>
    <n v="960.01200000000006"/>
    <n v="511.51699999999994"/>
    <n v="0.33652013560356808"/>
    <n v="1520.019"/>
    <s v="Debit Card"/>
    <m/>
    <x v="1"/>
    <n v="0"/>
    <x v="0"/>
    <x v="593"/>
    <s v="Cust 2219"/>
    <n v="48.49"/>
    <d v="2024-05-03T00:00:00"/>
    <d v="2024-05-11T00:00:00"/>
    <s v="Sophie"/>
    <n v="8"/>
  </r>
  <r>
    <d v="2023-12-26T00:00:00"/>
    <x v="1"/>
    <x v="0"/>
    <x v="27"/>
    <x v="1"/>
    <x v="6"/>
    <n v="3"/>
    <n v="300.8"/>
    <s v="Store B"/>
    <x v="0"/>
    <n v="0.1"/>
    <x v="3"/>
    <n v="812.16000000000008"/>
    <n v="541.43999999999994"/>
    <n v="254.74000000000015"/>
    <n v="0.31365740740740755"/>
    <n v="812.16000000000008"/>
    <s v="Cash"/>
    <m/>
    <x v="1"/>
    <n v="1"/>
    <x v="1"/>
    <x v="594"/>
    <s v="Cust 4297"/>
    <n v="15.98"/>
    <d v="2023-12-26T00:00:00"/>
    <d v="2024-01-01T00:00:00"/>
    <s v="Sophie"/>
    <n v="6"/>
  </r>
  <r>
    <d v="2024-05-13T00:00:00"/>
    <x v="2"/>
    <x v="1"/>
    <x v="14"/>
    <x v="3"/>
    <x v="6"/>
    <n v="11"/>
    <n v="79.63"/>
    <s v="Store B"/>
    <x v="0"/>
    <n v="0.05"/>
    <x v="2"/>
    <n v="832.13349999999991"/>
    <n v="525.55799999999999"/>
    <n v="262.73549999999989"/>
    <n v="0.31573719841828252"/>
    <n v="832.13349999999991"/>
    <s v="Online"/>
    <m/>
    <x v="1"/>
    <n v="0"/>
    <x v="0"/>
    <x v="595"/>
    <s v="Cust 6665"/>
    <n v="43.84"/>
    <d v="2024-05-13T00:00:00"/>
    <d v="2024-05-19T00:00:00"/>
    <s v="Cameron"/>
    <n v="6"/>
  </r>
  <r>
    <d v="2023-10-07T00:00:00"/>
    <x v="5"/>
    <x v="0"/>
    <x v="19"/>
    <x v="1"/>
    <x v="0"/>
    <n v="6"/>
    <n v="505.7"/>
    <s v="Store C"/>
    <x v="1"/>
    <n v="0"/>
    <x v="1"/>
    <n v="3034.2"/>
    <n v="1820.5199999999998"/>
    <n v="1173.3"/>
    <n v="0.38669171445521061"/>
    <n v="3034.2"/>
    <s v="Cash"/>
    <m/>
    <x v="1"/>
    <n v="0"/>
    <x v="0"/>
    <x v="596"/>
    <s v="Cust 4252"/>
    <n v="40.380000000000003"/>
    <d v="2023-10-07T00:00:00"/>
    <d v="2023-10-16T00:00:00"/>
    <s v="Sophie"/>
    <n v="9"/>
  </r>
  <r>
    <d v="2023-07-11T00:00:00"/>
    <x v="8"/>
    <x v="0"/>
    <x v="11"/>
    <x v="4"/>
    <x v="6"/>
    <n v="5"/>
    <n v="569.62"/>
    <s v="Store C"/>
    <x v="0"/>
    <n v="0"/>
    <x v="4"/>
    <n v="2848.1"/>
    <n v="1708.86"/>
    <n v="1090.44"/>
    <n v="0.38286577016256457"/>
    <n v="2848.1"/>
    <s v="Debit Card"/>
    <s v="FREESHIP"/>
    <x v="0"/>
    <n v="0"/>
    <x v="0"/>
    <x v="597"/>
    <s v="Cust 6104"/>
    <n v="48.8"/>
    <d v="2023-07-11T00:00:00"/>
    <d v="2023-07-13T00:00:00"/>
    <s v="Wendy"/>
    <n v="2"/>
  </r>
  <r>
    <d v="2025-01-31T00:00:00"/>
    <x v="4"/>
    <x v="2"/>
    <x v="12"/>
    <x v="1"/>
    <x v="5"/>
    <n v="19"/>
    <n v="90.85"/>
    <s v="Store C"/>
    <x v="1"/>
    <n v="0.05"/>
    <x v="1"/>
    <n v="1639.8424999999997"/>
    <n v="1035.69"/>
    <n v="581.87249999999972"/>
    <n v="0.35483438196046257"/>
    <n v="1639.8425"/>
    <s v="Credit Card"/>
    <s v="SAVE10"/>
    <x v="0"/>
    <n v="0"/>
    <x v="0"/>
    <x v="598"/>
    <s v="Cust 6407"/>
    <n v="22.28"/>
    <d v="2025-01-31T00:00:00"/>
    <d v="2025-02-06T00:00:00"/>
    <s v="Sophie"/>
    <n v="6"/>
  </r>
  <r>
    <d v="2023-02-04T00:00:00"/>
    <x v="0"/>
    <x v="0"/>
    <x v="0"/>
    <x v="1"/>
    <x v="3"/>
    <n v="2"/>
    <n v="296.91000000000003"/>
    <s v="Store A"/>
    <x v="0"/>
    <n v="0.05"/>
    <x v="3"/>
    <n v="564.12900000000002"/>
    <n v="356.29200000000003"/>
    <n v="163.48699999999999"/>
    <n v="0.28980428235385874"/>
    <n v="564.12900000000002"/>
    <s v="Debit Card"/>
    <s v="WINTER15"/>
    <x v="0"/>
    <n v="0"/>
    <x v="0"/>
    <x v="599"/>
    <s v="Cust 3573"/>
    <n v="44.35"/>
    <d v="2023-02-04T00:00:00"/>
    <d v="2023-02-07T00:00:00"/>
    <s v="Sophie"/>
    <n v="3"/>
  </r>
  <r>
    <d v="2023-09-02T00:00:00"/>
    <x v="11"/>
    <x v="0"/>
    <x v="22"/>
    <x v="1"/>
    <x v="6"/>
    <n v="2"/>
    <n v="6.19"/>
    <s v="Store B"/>
    <x v="1"/>
    <n v="0.1"/>
    <x v="2"/>
    <n v="11.142000000000001"/>
    <n v="7.4279999999999999"/>
    <n v="-43.526000000000003"/>
    <n v="-3.9064799856399208"/>
    <n v="11.141999999999999"/>
    <s v="Credit Card"/>
    <s v="FREESHIP"/>
    <x v="0"/>
    <n v="1"/>
    <x v="1"/>
    <x v="600"/>
    <s v="Cust 5280"/>
    <n v="47.24"/>
    <d v="2023-09-02T00:00:00"/>
    <d v="2023-09-12T00:00:00"/>
    <s v="Sophie"/>
    <n v="10"/>
  </r>
  <r>
    <d v="2024-12-13T00:00:00"/>
    <x v="1"/>
    <x v="1"/>
    <x v="1"/>
    <x v="3"/>
    <x v="4"/>
    <n v="18"/>
    <n v="207.35"/>
    <s v="Store D"/>
    <x v="0"/>
    <n v="0.15"/>
    <x v="1"/>
    <n v="3172.4549999999995"/>
    <n v="2239.38"/>
    <n v="921.9049999999994"/>
    <n v="0.29059671453180569"/>
    <n v="3172.454999999999"/>
    <s v="Debit Card"/>
    <s v="FREESHIP"/>
    <x v="0"/>
    <n v="0"/>
    <x v="0"/>
    <x v="601"/>
    <s v="Cust 2365"/>
    <n v="11.17"/>
    <d v="2024-12-13T00:00:00"/>
    <d v="2024-12-15T00:00:00"/>
    <s v="Cameron"/>
    <n v="2"/>
  </r>
  <r>
    <d v="2023-10-13T00:00:00"/>
    <x v="5"/>
    <x v="0"/>
    <x v="19"/>
    <x v="3"/>
    <x v="5"/>
    <n v="5"/>
    <n v="75.27"/>
    <s v="Store A"/>
    <x v="0"/>
    <n v="0"/>
    <x v="3"/>
    <n v="376.34999999999997"/>
    <n v="225.81"/>
    <n v="118.92999999999996"/>
    <n v="0.31600903414374909"/>
    <n v="376.35"/>
    <s v="Cash"/>
    <m/>
    <x v="1"/>
    <n v="0"/>
    <x v="0"/>
    <x v="602"/>
    <s v="Cust 7130"/>
    <n v="31.61"/>
    <d v="2023-10-13T00:00:00"/>
    <d v="2023-10-22T00:00:00"/>
    <s v="Cameron"/>
    <n v="9"/>
  </r>
  <r>
    <d v="2024-10-03T00:00:00"/>
    <x v="5"/>
    <x v="1"/>
    <x v="7"/>
    <x v="1"/>
    <x v="4"/>
    <n v="3"/>
    <n v="136.15"/>
    <s v="Store A"/>
    <x v="1"/>
    <n v="0.1"/>
    <x v="4"/>
    <n v="367.60500000000008"/>
    <n v="245.07"/>
    <n v="74.155000000000086"/>
    <n v="0.20172467730308366"/>
    <n v="367.60500000000008"/>
    <s v="Gift Card"/>
    <s v="SAVE10"/>
    <x v="0"/>
    <n v="0"/>
    <x v="0"/>
    <x v="603"/>
    <s v="Cust 6539"/>
    <n v="48.38"/>
    <d v="2024-10-03T00:00:00"/>
    <d v="2024-10-07T00:00:00"/>
    <s v="Sophie"/>
    <n v="4"/>
  </r>
  <r>
    <d v="2024-04-28T00:00:00"/>
    <x v="7"/>
    <x v="1"/>
    <x v="9"/>
    <x v="3"/>
    <x v="2"/>
    <n v="5"/>
    <n v="544.66"/>
    <s v="Store B"/>
    <x v="1"/>
    <n v="0.1"/>
    <x v="4"/>
    <n v="2450.9699999999998"/>
    <n v="1633.98"/>
    <n v="808.5999999999998"/>
    <n v="0.32991019881924294"/>
    <n v="2450.9699999999998"/>
    <s v="Online"/>
    <s v="SAVE10"/>
    <x v="0"/>
    <n v="0"/>
    <x v="0"/>
    <x v="604"/>
    <s v="Cust 1656"/>
    <n v="8.39"/>
    <d v="2024-04-28T00:00:00"/>
    <d v="2024-05-04T00:00:00"/>
    <s v="Cameron"/>
    <n v="6"/>
  </r>
  <r>
    <d v="2024-02-07T00:00:00"/>
    <x v="0"/>
    <x v="1"/>
    <x v="5"/>
    <x v="3"/>
    <x v="2"/>
    <n v="8"/>
    <n v="561.9"/>
    <s v="Store A"/>
    <x v="1"/>
    <n v="0.15"/>
    <x v="5"/>
    <n v="3820.9199999999996"/>
    <n v="2697.12"/>
    <n v="1107.8299999999997"/>
    <n v="0.28993802539702473"/>
    <n v="3820.92"/>
    <s v="Online"/>
    <s v="FREESHIP"/>
    <x v="0"/>
    <n v="1"/>
    <x v="1"/>
    <x v="605"/>
    <s v="Cust 1932"/>
    <n v="15.97"/>
    <d v="2024-02-07T00:00:00"/>
    <d v="2024-02-14T00:00:00"/>
    <s v="Cameron"/>
    <n v="7"/>
  </r>
  <r>
    <d v="2023-02-08T00:00:00"/>
    <x v="0"/>
    <x v="0"/>
    <x v="0"/>
    <x v="1"/>
    <x v="3"/>
    <n v="20"/>
    <n v="313.47000000000003"/>
    <s v="Store C"/>
    <x v="1"/>
    <n v="0.15"/>
    <x v="1"/>
    <n v="5328.9900000000007"/>
    <n v="3761.6400000000003"/>
    <n v="1549.1800000000003"/>
    <n v="0.29070799532369174"/>
    <n v="5328.9900000000007"/>
    <s v="Online"/>
    <s v="FREESHIP"/>
    <x v="0"/>
    <n v="0"/>
    <x v="0"/>
    <x v="606"/>
    <s v="Cust 7367"/>
    <n v="18.170000000000002"/>
    <d v="2023-02-08T00:00:00"/>
    <d v="2023-02-11T00:00:00"/>
    <s v="Sophie"/>
    <n v="3"/>
  </r>
  <r>
    <d v="2023-06-17T00:00:00"/>
    <x v="3"/>
    <x v="0"/>
    <x v="4"/>
    <x v="1"/>
    <x v="1"/>
    <n v="1"/>
    <n v="418.45"/>
    <s v="Store C"/>
    <x v="1"/>
    <n v="0.15"/>
    <x v="4"/>
    <n v="355.6825"/>
    <n v="251.07"/>
    <n v="69.032500000000013"/>
    <n v="0.19408461197837962"/>
    <n v="355.6825"/>
    <s v="Cash"/>
    <s v="WINTER15"/>
    <x v="0"/>
    <n v="0"/>
    <x v="0"/>
    <x v="607"/>
    <s v="Cust 1116"/>
    <n v="35.58"/>
    <d v="2023-06-17T00:00:00"/>
    <d v="2023-06-19T00:00:00"/>
    <s v="Sophie"/>
    <n v="2"/>
  </r>
  <r>
    <d v="2024-07-29T00:00:00"/>
    <x v="8"/>
    <x v="1"/>
    <x v="10"/>
    <x v="4"/>
    <x v="4"/>
    <n v="8"/>
    <n v="420.75"/>
    <s v="Store B"/>
    <x v="0"/>
    <n v="0.1"/>
    <x v="5"/>
    <n v="3029.4"/>
    <n v="2019.6"/>
    <n v="965.19000000000017"/>
    <n v="0.31860764507823336"/>
    <n v="3029.4"/>
    <s v="Online"/>
    <s v="SAVE10"/>
    <x v="0"/>
    <n v="1"/>
    <x v="1"/>
    <x v="608"/>
    <s v="Cust 4464"/>
    <n v="44.61"/>
    <d v="2024-07-29T00:00:00"/>
    <d v="2024-08-01T00:00:00"/>
    <s v="Wendy"/>
    <n v="3"/>
  </r>
  <r>
    <d v="2024-01-29T00:00:00"/>
    <x v="4"/>
    <x v="1"/>
    <x v="24"/>
    <x v="4"/>
    <x v="6"/>
    <n v="16"/>
    <n v="514.36"/>
    <s v="Store D"/>
    <x v="0"/>
    <n v="0"/>
    <x v="1"/>
    <n v="8229.76"/>
    <n v="4937.8559999999998"/>
    <n v="3251.1540000000005"/>
    <n v="0.39504845827824875"/>
    <n v="8229.76"/>
    <s v="Online"/>
    <s v="SAVE10"/>
    <x v="0"/>
    <n v="0"/>
    <x v="0"/>
    <x v="609"/>
    <s v="Cust 2543"/>
    <n v="40.75"/>
    <d v="2024-01-29T00:00:00"/>
    <d v="2024-02-01T00:00:00"/>
    <s v="Wendy"/>
    <n v="3"/>
  </r>
  <r>
    <d v="2024-01-18T00:00:00"/>
    <x v="4"/>
    <x v="1"/>
    <x v="24"/>
    <x v="0"/>
    <x v="1"/>
    <n v="2"/>
    <n v="297.2"/>
    <s v="Store B"/>
    <x v="1"/>
    <n v="0.1"/>
    <x v="2"/>
    <n v="534.96"/>
    <n v="356.64"/>
    <n v="169.61000000000004"/>
    <n v="0.31705174218633175"/>
    <n v="534.96"/>
    <s v="Gift Card"/>
    <s v="FREESHIP"/>
    <x v="0"/>
    <n v="0"/>
    <x v="0"/>
    <x v="610"/>
    <s v="Cust 7948"/>
    <n v="8.7100000000000009"/>
    <d v="2024-01-18T00:00:00"/>
    <d v="2024-01-23T00:00:00"/>
    <s v="Eric"/>
    <n v="5"/>
  </r>
  <r>
    <d v="2024-08-12T00:00:00"/>
    <x v="10"/>
    <x v="1"/>
    <x v="29"/>
    <x v="2"/>
    <x v="3"/>
    <n v="10"/>
    <n v="278"/>
    <s v="Store C"/>
    <x v="1"/>
    <n v="0"/>
    <x v="5"/>
    <n v="2780"/>
    <n v="1667.9999999999998"/>
    <n v="1087.7500000000002"/>
    <n v="0.39127697841726627"/>
    <n v="2780"/>
    <s v="Credit Card"/>
    <m/>
    <x v="1"/>
    <n v="0"/>
    <x v="0"/>
    <x v="611"/>
    <s v="Cust 3199"/>
    <n v="24.25"/>
    <d v="2024-08-12T00:00:00"/>
    <d v="2024-08-22T00:00:00"/>
    <s v="Ryan"/>
    <n v="10"/>
  </r>
  <r>
    <d v="2025-04-16T00:00:00"/>
    <x v="7"/>
    <x v="2"/>
    <x v="28"/>
    <x v="4"/>
    <x v="4"/>
    <n v="8"/>
    <n v="583.16999999999996"/>
    <s v="Store D"/>
    <x v="0"/>
    <n v="0.1"/>
    <x v="2"/>
    <n v="4198.8239999999996"/>
    <n v="2799.2159999999999"/>
    <n v="1350.4279999999997"/>
    <n v="0.32162052993885903"/>
    <n v="4198.8239999999996"/>
    <s v="Credit Card"/>
    <s v="WINTER15"/>
    <x v="0"/>
    <n v="0"/>
    <x v="0"/>
    <x v="612"/>
    <s v="Cust 2800"/>
    <n v="49.18"/>
    <d v="2025-04-16T00:00:00"/>
    <d v="2025-04-20T00:00:00"/>
    <s v="Wendy"/>
    <n v="4"/>
  </r>
  <r>
    <d v="2023-02-26T00:00:00"/>
    <x v="0"/>
    <x v="0"/>
    <x v="0"/>
    <x v="3"/>
    <x v="2"/>
    <n v="16"/>
    <n v="75.62"/>
    <s v="Store D"/>
    <x v="1"/>
    <n v="0.1"/>
    <x v="4"/>
    <n v="1088.9280000000001"/>
    <n v="725.952"/>
    <n v="335.58600000000013"/>
    <n v="0.30818015516177388"/>
    <n v="1088.9280000000001"/>
    <s v="Cash"/>
    <s v="WINTER15"/>
    <x v="0"/>
    <n v="0"/>
    <x v="0"/>
    <x v="613"/>
    <s v="Cust 3863"/>
    <n v="27.39"/>
    <d v="2023-02-26T00:00:00"/>
    <d v="2023-03-02T00:00:00"/>
    <s v="Cameron"/>
    <n v="4"/>
  </r>
  <r>
    <d v="2023-01-07T00:00:00"/>
    <x v="4"/>
    <x v="0"/>
    <x v="6"/>
    <x v="0"/>
    <x v="2"/>
    <n v="13"/>
    <n v="561.62"/>
    <s v="Store C"/>
    <x v="0"/>
    <n v="0.05"/>
    <x v="2"/>
    <n v="6936.0069999999996"/>
    <n v="4380.6359999999995"/>
    <n v="2542.4610000000002"/>
    <n v="0.36655975116518774"/>
    <n v="6936.0069999999996"/>
    <s v="Gift Card"/>
    <s v="FREESHIP"/>
    <x v="0"/>
    <n v="0"/>
    <x v="0"/>
    <x v="614"/>
    <s v="Cust 8391"/>
    <n v="12.91"/>
    <d v="2023-01-07T00:00:00"/>
    <d v="2023-01-11T00:00:00"/>
    <s v="Eric"/>
    <n v="4"/>
  </r>
  <r>
    <d v="2023-10-24T00:00:00"/>
    <x v="5"/>
    <x v="0"/>
    <x v="19"/>
    <x v="1"/>
    <x v="2"/>
    <n v="5"/>
    <n v="359.61"/>
    <s v="Store A"/>
    <x v="1"/>
    <n v="0"/>
    <x v="5"/>
    <n v="1798.0500000000002"/>
    <n v="1078.83"/>
    <n v="677.91000000000031"/>
    <n v="0.37702511053641458"/>
    <n v="1798.05"/>
    <s v="Online"/>
    <s v="FREESHIP"/>
    <x v="0"/>
    <n v="0"/>
    <x v="0"/>
    <x v="615"/>
    <s v="Cust 6711"/>
    <n v="41.31"/>
    <d v="2023-10-24T00:00:00"/>
    <d v="2023-11-03T00:00:00"/>
    <s v="Sophie"/>
    <n v="10"/>
  </r>
  <r>
    <d v="2024-01-02T00:00:00"/>
    <x v="4"/>
    <x v="1"/>
    <x v="24"/>
    <x v="2"/>
    <x v="5"/>
    <n v="15"/>
    <n v="115.48"/>
    <s v="Store A"/>
    <x v="1"/>
    <n v="0.15"/>
    <x v="2"/>
    <n v="1472.37"/>
    <n v="1039.32"/>
    <n v="427.00999999999993"/>
    <n v="0.29001541732037461"/>
    <n v="1472.37"/>
    <s v="Credit Card"/>
    <m/>
    <x v="1"/>
    <n v="0"/>
    <x v="0"/>
    <x v="616"/>
    <s v="Cust 8653"/>
    <n v="6.04"/>
    <d v="2024-01-02T00:00:00"/>
    <d v="2024-01-12T00:00:00"/>
    <s v="Ryan"/>
    <n v="10"/>
  </r>
  <r>
    <d v="2024-09-17T00:00:00"/>
    <x v="11"/>
    <x v="1"/>
    <x v="26"/>
    <x v="1"/>
    <x v="0"/>
    <n v="12"/>
    <n v="596.26"/>
    <s v="Store D"/>
    <x v="0"/>
    <n v="0.15"/>
    <x v="0"/>
    <n v="6081.8519999999999"/>
    <n v="4293.0720000000001"/>
    <n v="1760.5099999999998"/>
    <n v="0.28946939188918108"/>
    <n v="6081.8519999999999"/>
    <s v="Gift Card"/>
    <s v="WINTER15"/>
    <x v="0"/>
    <n v="0"/>
    <x v="0"/>
    <x v="617"/>
    <s v="Cust 7937"/>
    <n v="28.27"/>
    <d v="2024-09-17T00:00:00"/>
    <d v="2024-09-25T00:00:00"/>
    <s v="Sophie"/>
    <n v="8"/>
  </r>
  <r>
    <d v="2024-05-05T00:00:00"/>
    <x v="2"/>
    <x v="1"/>
    <x v="14"/>
    <x v="3"/>
    <x v="5"/>
    <n v="19"/>
    <n v="401.68"/>
    <s v="Store C"/>
    <x v="0"/>
    <n v="0.05"/>
    <x v="1"/>
    <n v="7250.3239999999996"/>
    <n v="4579.152"/>
    <n v="2633.4019999999996"/>
    <n v="0.36321163026645426"/>
    <n v="7250.3239999999996"/>
    <s v="Debit Card"/>
    <s v="WINTER15"/>
    <x v="0"/>
    <n v="1"/>
    <x v="1"/>
    <x v="618"/>
    <s v="Cust 5972"/>
    <n v="37.770000000000003"/>
    <d v="2024-05-05T00:00:00"/>
    <d v="2024-05-11T00:00:00"/>
    <s v="Cameron"/>
    <n v="6"/>
  </r>
  <r>
    <d v="2025-06-27T00:00:00"/>
    <x v="3"/>
    <x v="2"/>
    <x v="16"/>
    <x v="4"/>
    <x v="2"/>
    <n v="13"/>
    <n v="112.88"/>
    <s v="Store D"/>
    <x v="1"/>
    <n v="0"/>
    <x v="2"/>
    <n v="1467.44"/>
    <n v="880.46399999999994"/>
    <n v="574.58600000000013"/>
    <n v="0.39155672463610103"/>
    <n v="1467.44"/>
    <s v="Debit Card"/>
    <m/>
    <x v="1"/>
    <n v="0"/>
    <x v="0"/>
    <x v="619"/>
    <s v="Cust 8597"/>
    <n v="12.39"/>
    <d v="2025-06-27T00:00:00"/>
    <d v="2025-06-29T00:00:00"/>
    <s v="Wendy"/>
    <n v="2"/>
  </r>
  <r>
    <d v="2024-05-14T00:00:00"/>
    <x v="2"/>
    <x v="1"/>
    <x v="14"/>
    <x v="4"/>
    <x v="1"/>
    <n v="6"/>
    <n v="370.08"/>
    <s v="Store D"/>
    <x v="1"/>
    <n v="0.15"/>
    <x v="1"/>
    <n v="1887.4079999999999"/>
    <n v="1332.2879999999998"/>
    <n v="547.73000000000013"/>
    <n v="0.29020222442630322"/>
    <n v="1887.4079999999999"/>
    <s v="Online"/>
    <s v="SAVE10"/>
    <x v="0"/>
    <n v="0"/>
    <x v="0"/>
    <x v="620"/>
    <s v="Cust 5382"/>
    <n v="7.39"/>
    <d v="2024-05-14T00:00:00"/>
    <d v="2024-05-22T00:00:00"/>
    <s v="Wendy"/>
    <n v="8"/>
  </r>
  <r>
    <d v="2024-02-29T00:00:00"/>
    <x v="0"/>
    <x v="1"/>
    <x v="5"/>
    <x v="2"/>
    <x v="3"/>
    <n v="15"/>
    <n v="119.86"/>
    <s v="Store A"/>
    <x v="0"/>
    <n v="0.15"/>
    <x v="5"/>
    <n v="1528.2150000000001"/>
    <n v="1078.74"/>
    <n v="418.69500000000016"/>
    <n v="0.27397650199742846"/>
    <n v="1528.2149999999999"/>
    <s v="Debit Card"/>
    <m/>
    <x v="1"/>
    <n v="1"/>
    <x v="1"/>
    <x v="621"/>
    <s v="Cust 4323"/>
    <n v="30.78"/>
    <d v="2024-02-29T00:00:00"/>
    <d v="2024-03-05T00:00:00"/>
    <s v="Ryan"/>
    <n v="5"/>
  </r>
  <r>
    <d v="2025-05-19T00:00:00"/>
    <x v="2"/>
    <x v="2"/>
    <x v="13"/>
    <x v="0"/>
    <x v="1"/>
    <n v="5"/>
    <n v="271.44"/>
    <s v="Store A"/>
    <x v="0"/>
    <n v="0.15"/>
    <x v="4"/>
    <n v="1153.6200000000001"/>
    <n v="814.32"/>
    <n v="333.32000000000005"/>
    <n v="0.28893396439035385"/>
    <n v="1153.6199999999999"/>
    <s v="Debit Card"/>
    <s v="FREESHIP"/>
    <x v="0"/>
    <n v="0"/>
    <x v="0"/>
    <x v="622"/>
    <s v="Cust 1767"/>
    <n v="5.98"/>
    <d v="2025-05-19T00:00:00"/>
    <d v="2025-05-27T00:00:00"/>
    <s v="Eric"/>
    <n v="8"/>
  </r>
  <r>
    <d v="2024-12-02T00:00:00"/>
    <x v="1"/>
    <x v="1"/>
    <x v="1"/>
    <x v="0"/>
    <x v="2"/>
    <n v="9"/>
    <n v="363.39"/>
    <s v="Store B"/>
    <x v="0"/>
    <n v="0.05"/>
    <x v="4"/>
    <n v="3106.9844999999996"/>
    <n v="1962.306"/>
    <n v="1103.0384999999994"/>
    <n v="0.35501899027819406"/>
    <n v="3106.9845"/>
    <s v="Gift Card"/>
    <m/>
    <x v="1"/>
    <n v="0"/>
    <x v="0"/>
    <x v="623"/>
    <s v="Cust 3845"/>
    <n v="41.64"/>
    <d v="2024-12-02T00:00:00"/>
    <d v="2024-12-04T00:00:00"/>
    <s v="Eric"/>
    <n v="2"/>
  </r>
  <r>
    <d v="2024-07-30T00:00:00"/>
    <x v="8"/>
    <x v="1"/>
    <x v="10"/>
    <x v="4"/>
    <x v="6"/>
    <n v="12"/>
    <n v="533.77"/>
    <s v="Store D"/>
    <x v="0"/>
    <n v="0.15"/>
    <x v="1"/>
    <n v="5444.4539999999997"/>
    <n v="3843.1440000000002"/>
    <n v="1552.5999999999995"/>
    <n v="0.28517092806735067"/>
    <n v="5444.4539999999997"/>
    <s v="Cash"/>
    <s v="SAVE10"/>
    <x v="0"/>
    <n v="0"/>
    <x v="0"/>
    <x v="624"/>
    <s v="Cust 5912"/>
    <n v="48.71"/>
    <d v="2024-07-30T00:00:00"/>
    <d v="2024-08-04T00:00:00"/>
    <s v="Wendy"/>
    <n v="5"/>
  </r>
  <r>
    <d v="2023-06-25T00:00:00"/>
    <x v="3"/>
    <x v="0"/>
    <x v="4"/>
    <x v="1"/>
    <x v="2"/>
    <n v="12"/>
    <n v="192.03"/>
    <s v="Store B"/>
    <x v="0"/>
    <n v="0.1"/>
    <x v="3"/>
    <n v="2073.924"/>
    <n v="1382.616"/>
    <n v="650.22799999999995"/>
    <n v="0.31352547152161792"/>
    <n v="2073.924"/>
    <s v="Credit Card"/>
    <m/>
    <x v="1"/>
    <n v="0"/>
    <x v="0"/>
    <x v="625"/>
    <s v="Cust 4446"/>
    <n v="41.08"/>
    <d v="2023-06-25T00:00:00"/>
    <d v="2023-07-03T00:00:00"/>
    <s v="Sophie"/>
    <n v="8"/>
  </r>
  <r>
    <d v="2024-07-10T00:00:00"/>
    <x v="8"/>
    <x v="1"/>
    <x v="10"/>
    <x v="1"/>
    <x v="3"/>
    <n v="20"/>
    <n v="504.22"/>
    <s v="Store D"/>
    <x v="0"/>
    <n v="0"/>
    <x v="2"/>
    <n v="10084.400000000001"/>
    <n v="6050.6399999999994"/>
    <n v="4019.1500000000019"/>
    <n v="0.39855122763872924"/>
    <n v="10084.4"/>
    <s v="Online"/>
    <s v="WINTER15"/>
    <x v="0"/>
    <n v="0"/>
    <x v="0"/>
    <x v="626"/>
    <s v="Cust 6107"/>
    <n v="14.61"/>
    <d v="2024-07-10T00:00:00"/>
    <d v="2024-07-19T00:00:00"/>
    <s v="Sophie"/>
    <n v="9"/>
  </r>
  <r>
    <d v="2023-01-06T00:00:00"/>
    <x v="4"/>
    <x v="0"/>
    <x v="6"/>
    <x v="0"/>
    <x v="0"/>
    <n v="7"/>
    <n v="193.66"/>
    <s v="Store A"/>
    <x v="0"/>
    <n v="0.1"/>
    <x v="4"/>
    <n v="1220.058"/>
    <n v="813.37199999999996"/>
    <n v="367.67600000000004"/>
    <n v="0.30135944356743699"/>
    <n v="1220.058"/>
    <s v="Credit Card"/>
    <s v="FREESHIP"/>
    <x v="0"/>
    <n v="0"/>
    <x v="0"/>
    <x v="627"/>
    <s v="Cust 3330"/>
    <n v="39.01"/>
    <d v="2023-01-06T00:00:00"/>
    <d v="2023-01-15T00:00:00"/>
    <s v="Eric"/>
    <n v="9"/>
  </r>
  <r>
    <d v="2024-02-24T00:00:00"/>
    <x v="0"/>
    <x v="1"/>
    <x v="5"/>
    <x v="1"/>
    <x v="3"/>
    <n v="3"/>
    <n v="270.83"/>
    <s v="Store B"/>
    <x v="0"/>
    <n v="0.1"/>
    <x v="3"/>
    <n v="731.24099999999999"/>
    <n v="487.49399999999997"/>
    <n v="226.54700000000003"/>
    <n v="0.30981167631464868"/>
    <n v="731.24099999999999"/>
    <s v="Online"/>
    <s v="SAVE10"/>
    <x v="0"/>
    <n v="1"/>
    <x v="1"/>
    <x v="628"/>
    <s v="Cust 3604"/>
    <n v="17.2"/>
    <d v="2024-02-24T00:00:00"/>
    <d v="2024-02-29T00:00:00"/>
    <s v="Sophie"/>
    <n v="5"/>
  </r>
  <r>
    <d v="2023-12-11T00:00:00"/>
    <x v="1"/>
    <x v="0"/>
    <x v="27"/>
    <x v="3"/>
    <x v="5"/>
    <n v="18"/>
    <n v="62.08"/>
    <s v="Store B"/>
    <x v="1"/>
    <n v="0"/>
    <x v="4"/>
    <n v="1117.44"/>
    <n v="670.46399999999994"/>
    <n v="438.3060000000001"/>
    <n v="0.39224119415807568"/>
    <n v="1117.44"/>
    <s v="Credit Card"/>
    <s v="SAVE10"/>
    <x v="0"/>
    <n v="1"/>
    <x v="1"/>
    <x v="629"/>
    <s v="Cust 7412"/>
    <n v="8.67"/>
    <d v="2023-12-11T00:00:00"/>
    <d v="2023-12-20T00:00:00"/>
    <s v="Cameron"/>
    <n v="9"/>
  </r>
  <r>
    <d v="2025-02-19T00:00:00"/>
    <x v="0"/>
    <x v="2"/>
    <x v="3"/>
    <x v="1"/>
    <x v="6"/>
    <n v="11"/>
    <n v="505.96"/>
    <s v="Store C"/>
    <x v="0"/>
    <n v="0.15"/>
    <x v="0"/>
    <n v="4730.7259999999997"/>
    <n v="3339.3359999999998"/>
    <n v="1368.55"/>
    <n v="0.28928963545975822"/>
    <n v="4730.7259999999997"/>
    <s v="Debit Card"/>
    <s v="FREESHIP"/>
    <x v="0"/>
    <n v="1"/>
    <x v="1"/>
    <x v="630"/>
    <s v="Cust 5183"/>
    <n v="22.84"/>
    <d v="2025-02-19T00:00:00"/>
    <d v="2025-02-23T00:00:00"/>
    <s v="Sophie"/>
    <n v="4"/>
  </r>
  <r>
    <d v="2025-03-18T00:00:00"/>
    <x v="6"/>
    <x v="2"/>
    <x v="8"/>
    <x v="4"/>
    <x v="5"/>
    <n v="4"/>
    <n v="62.46"/>
    <s v="Store D"/>
    <x v="0"/>
    <n v="0.15"/>
    <x v="1"/>
    <n v="212.364"/>
    <n v="149.904"/>
    <n v="30.550000000000008"/>
    <n v="0.1438567742178524"/>
    <n v="212.364"/>
    <s v="Debit Card"/>
    <s v="WINTER15"/>
    <x v="0"/>
    <n v="0"/>
    <x v="0"/>
    <x v="631"/>
    <s v="Cust 4825"/>
    <n v="31.91"/>
    <d v="2025-03-18T00:00:00"/>
    <d v="2025-03-26T00:00:00"/>
    <s v="Wendy"/>
    <n v="8"/>
  </r>
  <r>
    <d v="2023-09-22T00:00:00"/>
    <x v="11"/>
    <x v="0"/>
    <x v="22"/>
    <x v="1"/>
    <x v="1"/>
    <n v="7"/>
    <n v="480.08"/>
    <s v="Store B"/>
    <x v="0"/>
    <n v="0.1"/>
    <x v="4"/>
    <n v="3024.5039999999999"/>
    <n v="2016.336"/>
    <n v="963.79799999999989"/>
    <n v="0.31866315931471734"/>
    <n v="3024.5039999999999"/>
    <s v="Online"/>
    <m/>
    <x v="1"/>
    <n v="1"/>
    <x v="1"/>
    <x v="632"/>
    <s v="Cust 2123"/>
    <n v="44.37"/>
    <d v="2023-09-22T00:00:00"/>
    <d v="2023-09-27T00:00:00"/>
    <s v="Sophie"/>
    <n v="5"/>
  </r>
  <r>
    <d v="2023-12-23T00:00:00"/>
    <x v="1"/>
    <x v="0"/>
    <x v="27"/>
    <x v="4"/>
    <x v="5"/>
    <n v="18"/>
    <n v="60.66"/>
    <s v="Store A"/>
    <x v="1"/>
    <n v="0"/>
    <x v="5"/>
    <n v="1091.8799999999999"/>
    <n v="655.12799999999993"/>
    <n v="426.67199999999997"/>
    <n v="0.39076821628750413"/>
    <n v="1091.8800000000001"/>
    <s v="Online"/>
    <s v="FREESHIP"/>
    <x v="0"/>
    <n v="1"/>
    <x v="1"/>
    <x v="633"/>
    <s v="Cust 8684"/>
    <n v="10.08"/>
    <d v="2023-12-23T00:00:00"/>
    <d v="2023-12-28T00:00:00"/>
    <s v="Wendy"/>
    <n v="5"/>
  </r>
  <r>
    <d v="2025-05-04T00:00:00"/>
    <x v="2"/>
    <x v="2"/>
    <x v="13"/>
    <x v="2"/>
    <x v="2"/>
    <n v="6"/>
    <n v="249.09"/>
    <s v="Store B"/>
    <x v="1"/>
    <n v="0.05"/>
    <x v="2"/>
    <n v="1419.8129999999999"/>
    <n v="896.72400000000005"/>
    <n v="502.70899999999983"/>
    <n v="0.35406704967485148"/>
    <n v="1419.8130000000001"/>
    <s v="Cash"/>
    <m/>
    <x v="1"/>
    <n v="0"/>
    <x v="0"/>
    <x v="634"/>
    <s v="Cust 5964"/>
    <n v="20.38"/>
    <d v="2025-05-04T00:00:00"/>
    <d v="2025-05-10T00:00:00"/>
    <s v="Ryan"/>
    <n v="6"/>
  </r>
  <r>
    <d v="2025-01-11T00:00:00"/>
    <x v="4"/>
    <x v="2"/>
    <x v="12"/>
    <x v="0"/>
    <x v="1"/>
    <n v="20"/>
    <n v="400.05"/>
    <s v="Store D"/>
    <x v="0"/>
    <n v="0.1"/>
    <x v="4"/>
    <n v="7200.9000000000005"/>
    <n v="4800.6000000000004"/>
    <n v="2375.8900000000003"/>
    <n v="0.32994347928731133"/>
    <n v="7200.9000000000005"/>
    <s v="Debit Card"/>
    <s v="WINTER15"/>
    <x v="0"/>
    <n v="0"/>
    <x v="0"/>
    <x v="635"/>
    <s v="Cust 1810"/>
    <n v="24.41"/>
    <d v="2025-01-11T00:00:00"/>
    <d v="2025-01-13T00:00:00"/>
    <s v="Eric"/>
    <n v="2"/>
  </r>
  <r>
    <d v="2025-04-21T00:00:00"/>
    <x v="7"/>
    <x v="2"/>
    <x v="28"/>
    <x v="1"/>
    <x v="6"/>
    <n v="1"/>
    <n v="130.87"/>
    <s v="Store B"/>
    <x v="1"/>
    <n v="0.05"/>
    <x v="4"/>
    <n v="124.3265"/>
    <n v="78.522000000000006"/>
    <n v="2.5944999999999894"/>
    <n v="2.0868439150140874E-2"/>
    <n v="124.3265"/>
    <s v="Online"/>
    <s v="WINTER15"/>
    <x v="0"/>
    <n v="0"/>
    <x v="0"/>
    <x v="636"/>
    <s v="Cust 2685"/>
    <n v="43.21"/>
    <d v="2025-04-21T00:00:00"/>
    <d v="2025-04-24T00:00:00"/>
    <s v="Sophie"/>
    <n v="3"/>
  </r>
  <r>
    <d v="2023-12-13T00:00:00"/>
    <x v="1"/>
    <x v="0"/>
    <x v="27"/>
    <x v="3"/>
    <x v="5"/>
    <n v="11"/>
    <n v="133.08000000000001"/>
    <s v="Store A"/>
    <x v="0"/>
    <n v="0.15"/>
    <x v="2"/>
    <n v="1244.298"/>
    <n v="878.32799999999997"/>
    <n v="321.36"/>
    <n v="0.25826610667219591"/>
    <n v="1244.298"/>
    <s v="Credit Card"/>
    <s v="WINTER15"/>
    <x v="0"/>
    <n v="0"/>
    <x v="0"/>
    <x v="637"/>
    <s v="Cust 7855"/>
    <n v="44.61"/>
    <d v="2023-12-13T00:00:00"/>
    <d v="2023-12-22T00:00:00"/>
    <s v="Cameron"/>
    <n v="9"/>
  </r>
  <r>
    <d v="2024-02-07T00:00:00"/>
    <x v="0"/>
    <x v="1"/>
    <x v="5"/>
    <x v="0"/>
    <x v="3"/>
    <n v="13"/>
    <n v="448.68"/>
    <s v="Store B"/>
    <x v="0"/>
    <n v="0.1"/>
    <x v="4"/>
    <n v="5249.5560000000005"/>
    <n v="3499.7039999999997"/>
    <n v="1733.0320000000008"/>
    <n v="0.33012925283585903"/>
    <n v="5249.5559999999996"/>
    <s v="Credit Card"/>
    <s v="FREESHIP"/>
    <x v="0"/>
    <n v="1"/>
    <x v="1"/>
    <x v="638"/>
    <s v="Cust 4101"/>
    <n v="16.82"/>
    <d v="2024-02-07T00:00:00"/>
    <d v="2024-02-11T00:00:00"/>
    <s v="Eric"/>
    <n v="4"/>
  </r>
  <r>
    <d v="2024-04-24T00:00:00"/>
    <x v="7"/>
    <x v="1"/>
    <x v="9"/>
    <x v="2"/>
    <x v="5"/>
    <n v="19"/>
    <n v="36.229999999999997"/>
    <s v="Store B"/>
    <x v="0"/>
    <n v="0"/>
    <x v="4"/>
    <n v="688.36999999999989"/>
    <n v="413.02199999999993"/>
    <n v="241.40799999999996"/>
    <n v="0.35069512035678485"/>
    <n v="688.36999999999989"/>
    <s v="Debit Card"/>
    <s v="WINTER15"/>
    <x v="0"/>
    <n v="0"/>
    <x v="0"/>
    <x v="639"/>
    <s v="Cust 7964"/>
    <n v="33.94"/>
    <d v="2024-04-24T00:00:00"/>
    <d v="2024-04-27T00:00:00"/>
    <s v="Ryan"/>
    <n v="3"/>
  </r>
  <r>
    <d v="2023-09-11T00:00:00"/>
    <x v="11"/>
    <x v="0"/>
    <x v="22"/>
    <x v="4"/>
    <x v="3"/>
    <n v="14"/>
    <n v="113.77"/>
    <s v="Store C"/>
    <x v="1"/>
    <n v="0"/>
    <x v="0"/>
    <n v="1592.78"/>
    <n v="955.66800000000001"/>
    <n v="611.76199999999994"/>
    <n v="0.38408443099486428"/>
    <n v="1592.78"/>
    <s v="Cash"/>
    <s v="FREESHIP"/>
    <x v="0"/>
    <n v="0"/>
    <x v="0"/>
    <x v="640"/>
    <s v="Cust 5857"/>
    <n v="25.35"/>
    <d v="2023-09-11T00:00:00"/>
    <d v="2023-09-16T00:00:00"/>
    <s v="Wendy"/>
    <n v="5"/>
  </r>
  <r>
    <d v="2025-06-09T00:00:00"/>
    <x v="3"/>
    <x v="2"/>
    <x v="16"/>
    <x v="3"/>
    <x v="6"/>
    <n v="2"/>
    <n v="89.6"/>
    <s v="Store A"/>
    <x v="1"/>
    <n v="0"/>
    <x v="4"/>
    <n v="179.2"/>
    <n v="107.52"/>
    <n v="47.989999999999995"/>
    <n v="0.26780133928571426"/>
    <n v="179.2"/>
    <s v="Gift Card"/>
    <s v="FREESHIP"/>
    <x v="0"/>
    <n v="0"/>
    <x v="0"/>
    <x v="641"/>
    <s v="Cust 7010"/>
    <n v="23.69"/>
    <d v="2025-06-09T00:00:00"/>
    <d v="2025-06-12T00:00:00"/>
    <s v="Cameron"/>
    <n v="3"/>
  </r>
  <r>
    <d v="2025-06-06T00:00:00"/>
    <x v="3"/>
    <x v="2"/>
    <x v="16"/>
    <x v="0"/>
    <x v="2"/>
    <n v="3"/>
    <n v="391.92"/>
    <s v="Store A"/>
    <x v="0"/>
    <n v="0.15"/>
    <x v="1"/>
    <n v="999.39599999999996"/>
    <n v="705.4559999999999"/>
    <n v="284.08000000000004"/>
    <n v="0.28425168801956385"/>
    <n v="999.39599999999996"/>
    <s v="Debit Card"/>
    <s v="SAVE10"/>
    <x v="0"/>
    <n v="0"/>
    <x v="0"/>
    <x v="642"/>
    <s v="Cust 7917"/>
    <n v="9.86"/>
    <d v="2025-06-06T00:00:00"/>
    <d v="2025-06-16T00:00:00"/>
    <s v="Eric"/>
    <n v="10"/>
  </r>
  <r>
    <d v="2024-12-23T00:00:00"/>
    <x v="1"/>
    <x v="1"/>
    <x v="1"/>
    <x v="1"/>
    <x v="3"/>
    <n v="10"/>
    <n v="418.93"/>
    <s v="Store C"/>
    <x v="0"/>
    <n v="0.1"/>
    <x v="5"/>
    <n v="3770.3700000000003"/>
    <n v="2513.58"/>
    <n v="1211.1600000000003"/>
    <n v="0.32123107281248264"/>
    <n v="3770.37"/>
    <s v="Credit Card"/>
    <s v="FREESHIP"/>
    <x v="0"/>
    <n v="0"/>
    <x v="0"/>
    <x v="643"/>
    <s v="Cust 8111"/>
    <n v="45.63"/>
    <d v="2024-12-23T00:00:00"/>
    <d v="2024-12-28T00:00:00"/>
    <s v="Sophie"/>
    <n v="5"/>
  </r>
  <r>
    <d v="2023-08-27T00:00:00"/>
    <x v="10"/>
    <x v="0"/>
    <x v="18"/>
    <x v="0"/>
    <x v="4"/>
    <n v="12"/>
    <n v="303.08999999999997"/>
    <s v="Store B"/>
    <x v="0"/>
    <n v="0"/>
    <x v="1"/>
    <n v="3637.08"/>
    <n v="2182.2479999999996"/>
    <n v="1449.3520000000003"/>
    <n v="0.39849329682052648"/>
    <n v="3637.08"/>
    <s v="Gift Card"/>
    <s v="WINTER15"/>
    <x v="0"/>
    <n v="1"/>
    <x v="1"/>
    <x v="644"/>
    <s v="Cust 4715"/>
    <n v="5.48"/>
    <d v="2023-08-27T00:00:00"/>
    <d v="2023-09-03T00:00:00"/>
    <s v="Eric"/>
    <n v="7"/>
  </r>
  <r>
    <d v="2023-01-09T00:00:00"/>
    <x v="4"/>
    <x v="0"/>
    <x v="6"/>
    <x v="0"/>
    <x v="4"/>
    <n v="10"/>
    <n v="209.95"/>
    <s v="Store A"/>
    <x v="0"/>
    <n v="0.1"/>
    <x v="0"/>
    <n v="1889.55"/>
    <n v="1259.6999999999998"/>
    <n v="618.86000000000013"/>
    <n v="0.32751713370908425"/>
    <n v="1889.55"/>
    <s v="Cash"/>
    <s v="WINTER15"/>
    <x v="0"/>
    <n v="0"/>
    <x v="0"/>
    <x v="645"/>
    <s v="Cust 8720"/>
    <n v="10.99"/>
    <d v="2023-01-09T00:00:00"/>
    <d v="2023-01-13T00:00:00"/>
    <s v="Eric"/>
    <n v="4"/>
  </r>
  <r>
    <d v="2025-04-22T00:00:00"/>
    <x v="7"/>
    <x v="2"/>
    <x v="28"/>
    <x v="0"/>
    <x v="0"/>
    <n v="8"/>
    <n v="283.63"/>
    <s v="Store C"/>
    <x v="0"/>
    <n v="0.1"/>
    <x v="1"/>
    <n v="2042.136"/>
    <n v="1361.424"/>
    <n v="630.80200000000002"/>
    <n v="0.30889323727704721"/>
    <n v="2042.136"/>
    <s v="Cash"/>
    <s v="SAVE10"/>
    <x v="0"/>
    <n v="0"/>
    <x v="0"/>
    <x v="646"/>
    <s v="Cust 8216"/>
    <n v="49.91"/>
    <d v="2025-04-22T00:00:00"/>
    <d v="2025-04-25T00:00:00"/>
    <s v="Eric"/>
    <n v="3"/>
  </r>
  <r>
    <d v="2023-09-06T00:00:00"/>
    <x v="11"/>
    <x v="0"/>
    <x v="22"/>
    <x v="1"/>
    <x v="1"/>
    <n v="7"/>
    <n v="18.36"/>
    <s v="Store D"/>
    <x v="1"/>
    <n v="0.1"/>
    <x v="1"/>
    <n v="115.66799999999999"/>
    <n v="77.111999999999995"/>
    <n v="-10.364000000000004"/>
    <n v="-8.9601272607808605E-2"/>
    <n v="115.66800000000001"/>
    <s v="Online"/>
    <m/>
    <x v="1"/>
    <n v="0"/>
    <x v="0"/>
    <x v="647"/>
    <s v="Cust 6946"/>
    <n v="48.92"/>
    <d v="2023-09-06T00:00:00"/>
    <d v="2023-09-11T00:00:00"/>
    <s v="Sophie"/>
    <n v="5"/>
  </r>
  <r>
    <d v="2023-01-21T00:00:00"/>
    <x v="4"/>
    <x v="0"/>
    <x v="6"/>
    <x v="0"/>
    <x v="4"/>
    <n v="9"/>
    <n v="475.38"/>
    <s v="Store A"/>
    <x v="0"/>
    <n v="0.1"/>
    <x v="3"/>
    <n v="3850.578"/>
    <n v="2567.0520000000001"/>
    <n v="1243.5459999999998"/>
    <n v="0.32295047652586178"/>
    <n v="3850.578"/>
    <s v="Debit Card"/>
    <s v="SAVE10"/>
    <x v="0"/>
    <n v="0"/>
    <x v="0"/>
    <x v="648"/>
    <s v="Cust 9888"/>
    <n v="39.979999999999997"/>
    <d v="2023-01-21T00:00:00"/>
    <d v="2023-01-27T00:00:00"/>
    <s v="Eric"/>
    <n v="6"/>
  </r>
  <r>
    <d v="2024-04-26T00:00:00"/>
    <x v="7"/>
    <x v="1"/>
    <x v="9"/>
    <x v="3"/>
    <x v="3"/>
    <n v="12"/>
    <n v="591.91999999999996"/>
    <s v="Store D"/>
    <x v="1"/>
    <n v="0"/>
    <x v="0"/>
    <n v="7103.0399999999991"/>
    <n v="4261.8239999999996"/>
    <n v="2816.0159999999996"/>
    <n v="0.39645222327341534"/>
    <n v="7103.0399999999991"/>
    <s v="Debit Card"/>
    <s v="SAVE10"/>
    <x v="0"/>
    <n v="0"/>
    <x v="0"/>
    <x v="649"/>
    <s v="Cust 4009"/>
    <n v="25.2"/>
    <d v="2024-04-26T00:00:00"/>
    <d v="2024-05-06T00:00:00"/>
    <s v="Cameron"/>
    <n v="10"/>
  </r>
  <r>
    <d v="2023-06-27T00:00:00"/>
    <x v="3"/>
    <x v="0"/>
    <x v="4"/>
    <x v="2"/>
    <x v="1"/>
    <n v="7"/>
    <n v="93.23"/>
    <s v="Store B"/>
    <x v="1"/>
    <n v="0.05"/>
    <x v="1"/>
    <n v="619.97950000000003"/>
    <n v="391.56600000000003"/>
    <n v="221.9435"/>
    <n v="0.35798522370497732"/>
    <n v="619.97950000000003"/>
    <s v="Credit Card"/>
    <s v="FREESHIP"/>
    <x v="0"/>
    <n v="1"/>
    <x v="1"/>
    <x v="650"/>
    <s v="Cust 9489"/>
    <n v="6.47"/>
    <d v="2023-06-27T00:00:00"/>
    <d v="2023-06-30T00:00:00"/>
    <s v="Ryan"/>
    <n v="3"/>
  </r>
  <r>
    <d v="2023-01-01T00:00:00"/>
    <x v="4"/>
    <x v="0"/>
    <x v="6"/>
    <x v="0"/>
    <x v="5"/>
    <n v="15"/>
    <n v="298.70999999999998"/>
    <s v="Store C"/>
    <x v="1"/>
    <n v="0"/>
    <x v="5"/>
    <n v="4480.6499999999996"/>
    <n v="2688.3899999999994"/>
    <n v="1780.88"/>
    <n v="0.39746018992780069"/>
    <n v="4480.6499999999996"/>
    <s v="Debit Card"/>
    <s v="SAVE10"/>
    <x v="0"/>
    <n v="0"/>
    <x v="0"/>
    <x v="651"/>
    <s v="Cust 2446"/>
    <n v="11.38"/>
    <d v="2023-01-01T00:00:00"/>
    <d v="2023-01-08T00:00:00"/>
    <s v="Eric"/>
    <n v="7"/>
  </r>
  <r>
    <d v="2023-12-30T00:00:00"/>
    <x v="1"/>
    <x v="0"/>
    <x v="27"/>
    <x v="4"/>
    <x v="5"/>
    <n v="15"/>
    <n v="52.37"/>
    <s v="Store A"/>
    <x v="1"/>
    <n v="0.15"/>
    <x v="4"/>
    <n v="667.71749999999997"/>
    <n v="471.32999999999993"/>
    <n v="187.45750000000004"/>
    <n v="0.28074372769921419"/>
    <n v="667.71749999999997"/>
    <s v="Online"/>
    <s v="SAVE10"/>
    <x v="0"/>
    <n v="0"/>
    <x v="0"/>
    <x v="652"/>
    <s v="Cust 4150"/>
    <n v="8.93"/>
    <d v="2023-12-30T00:00:00"/>
    <d v="2024-01-02T00:00:00"/>
    <s v="Wendy"/>
    <n v="3"/>
  </r>
  <r>
    <d v="2023-01-22T00:00:00"/>
    <x v="4"/>
    <x v="0"/>
    <x v="6"/>
    <x v="3"/>
    <x v="1"/>
    <n v="6"/>
    <n v="104.19"/>
    <s v="Store C"/>
    <x v="1"/>
    <n v="0.1"/>
    <x v="4"/>
    <n v="562.62599999999998"/>
    <n v="375.08399999999995"/>
    <n v="178.92200000000003"/>
    <n v="0.31801232079569736"/>
    <n v="562.62599999999998"/>
    <s v="Online"/>
    <m/>
    <x v="1"/>
    <n v="0"/>
    <x v="0"/>
    <x v="653"/>
    <s v="Cust 3569"/>
    <n v="8.6199999999999992"/>
    <d v="2023-01-22T00:00:00"/>
    <d v="2023-01-24T00:00:00"/>
    <s v="Cameron"/>
    <n v="2"/>
  </r>
  <r>
    <d v="2024-07-27T00:00:00"/>
    <x v="8"/>
    <x v="1"/>
    <x v="10"/>
    <x v="1"/>
    <x v="0"/>
    <n v="8"/>
    <n v="493.09"/>
    <s v="Store A"/>
    <x v="1"/>
    <n v="0.05"/>
    <x v="4"/>
    <n v="3747.4839999999995"/>
    <n v="2366.8319999999999"/>
    <n v="1369.1619999999996"/>
    <n v="0.36535499551165523"/>
    <n v="3747.483999999999"/>
    <s v="Credit Card"/>
    <s v="FREESHIP"/>
    <x v="0"/>
    <n v="0"/>
    <x v="0"/>
    <x v="654"/>
    <s v="Cust 1023"/>
    <n v="11.49"/>
    <d v="2024-07-27T00:00:00"/>
    <d v="2024-08-05T00:00:00"/>
    <s v="Sophie"/>
    <n v="9"/>
  </r>
  <r>
    <d v="2024-01-15T00:00:00"/>
    <x v="4"/>
    <x v="1"/>
    <x v="24"/>
    <x v="1"/>
    <x v="3"/>
    <n v="6"/>
    <n v="291.58"/>
    <s v="Store B"/>
    <x v="0"/>
    <n v="0"/>
    <x v="2"/>
    <n v="1749.48"/>
    <n v="1049.6879999999999"/>
    <n v="669.54200000000014"/>
    <n v="0.38270914786107879"/>
    <n v="1749.48"/>
    <s v="Credit Card"/>
    <s v="FREESHIP"/>
    <x v="0"/>
    <n v="0"/>
    <x v="0"/>
    <x v="655"/>
    <s v="Cust 3748"/>
    <n v="30.25"/>
    <d v="2024-01-15T00:00:00"/>
    <d v="2024-01-17T00:00:00"/>
    <s v="Sophie"/>
    <n v="2"/>
  </r>
  <r>
    <d v="2024-01-04T00:00:00"/>
    <x v="4"/>
    <x v="1"/>
    <x v="24"/>
    <x v="4"/>
    <x v="5"/>
    <n v="1"/>
    <n v="103.13"/>
    <s v="Store B"/>
    <x v="0"/>
    <n v="0"/>
    <x v="5"/>
    <n v="103.13"/>
    <n v="61.877999999999993"/>
    <n v="-1.1280000000000001"/>
    <n v="-1.0937651507805684E-2"/>
    <n v="103.13"/>
    <s v="Online"/>
    <s v="FREESHIP"/>
    <x v="0"/>
    <n v="0"/>
    <x v="0"/>
    <x v="656"/>
    <s v="Cust 4798"/>
    <n v="42.38"/>
    <d v="2024-01-04T00:00:00"/>
    <d v="2024-01-14T00:00:00"/>
    <s v="Wendy"/>
    <n v="10"/>
  </r>
  <r>
    <d v="2023-02-09T00:00:00"/>
    <x v="0"/>
    <x v="0"/>
    <x v="0"/>
    <x v="0"/>
    <x v="4"/>
    <n v="1"/>
    <n v="541.9"/>
    <s v="Store A"/>
    <x v="1"/>
    <n v="0.05"/>
    <x v="0"/>
    <n v="514.80499999999995"/>
    <n v="325.14"/>
    <n v="149.31499999999997"/>
    <n v="0.29004186051029029"/>
    <n v="514.80499999999995"/>
    <s v="Cash"/>
    <s v="WINTER15"/>
    <x v="0"/>
    <n v="0"/>
    <x v="0"/>
    <x v="657"/>
    <s v="Cust 8305"/>
    <n v="40.35"/>
    <d v="2023-02-09T00:00:00"/>
    <d v="2023-02-19T00:00:00"/>
    <s v="Eric"/>
    <n v="10"/>
  </r>
  <r>
    <d v="2024-06-20T00:00:00"/>
    <x v="3"/>
    <x v="1"/>
    <x v="23"/>
    <x v="2"/>
    <x v="1"/>
    <n v="11"/>
    <n v="303.08999999999997"/>
    <s v="Store D"/>
    <x v="0"/>
    <n v="0.1"/>
    <x v="4"/>
    <n v="3000.5909999999999"/>
    <n v="2000.3939999999998"/>
    <n v="978.31700000000012"/>
    <n v="0.32604143650367551"/>
    <n v="3000.5909999999999"/>
    <s v="Online"/>
    <s v="SAVE10"/>
    <x v="0"/>
    <n v="0"/>
    <x v="0"/>
    <x v="658"/>
    <s v="Cust 3864"/>
    <n v="21.88"/>
    <d v="2024-06-20T00:00:00"/>
    <d v="2024-06-24T00:00:00"/>
    <s v="Ryan"/>
    <n v="4"/>
  </r>
  <r>
    <d v="2023-02-21T00:00:00"/>
    <x v="0"/>
    <x v="0"/>
    <x v="0"/>
    <x v="3"/>
    <x v="2"/>
    <n v="11"/>
    <n v="61.81"/>
    <s v="Store C"/>
    <x v="1"/>
    <n v="0.05"/>
    <x v="5"/>
    <n v="645.91450000000009"/>
    <n v="407.94599999999997"/>
    <n v="190.01850000000013"/>
    <n v="0.29418522110898593"/>
    <n v="645.91450000000009"/>
    <s v="Gift Card"/>
    <s v="WINTER15"/>
    <x v="0"/>
    <n v="0"/>
    <x v="0"/>
    <x v="659"/>
    <s v="Cust 3459"/>
    <n v="47.95"/>
    <d v="2023-02-21T00:00:00"/>
    <d v="2023-03-03T00:00:00"/>
    <s v="Cameron"/>
    <n v="10"/>
  </r>
  <r>
    <d v="2023-08-16T00:00:00"/>
    <x v="10"/>
    <x v="0"/>
    <x v="18"/>
    <x v="3"/>
    <x v="2"/>
    <n v="8"/>
    <n v="355.15"/>
    <s v="Store B"/>
    <x v="1"/>
    <n v="0.1"/>
    <x v="3"/>
    <n v="2557.08"/>
    <n v="1704.7199999999998"/>
    <n v="813.7700000000001"/>
    <n v="0.3182419009182349"/>
    <n v="2557.08"/>
    <s v="Online"/>
    <m/>
    <x v="1"/>
    <n v="1"/>
    <x v="1"/>
    <x v="660"/>
    <s v="Cust 1187"/>
    <n v="38.590000000000003"/>
    <d v="2023-08-16T00:00:00"/>
    <d v="2023-08-24T00:00:00"/>
    <s v="Cameron"/>
    <n v="8"/>
  </r>
  <r>
    <d v="2023-11-03T00:00:00"/>
    <x v="9"/>
    <x v="0"/>
    <x v="15"/>
    <x v="4"/>
    <x v="4"/>
    <n v="11"/>
    <n v="119.84"/>
    <s v="Store D"/>
    <x v="0"/>
    <n v="0.1"/>
    <x v="0"/>
    <n v="1186.4159999999999"/>
    <n v="790.94399999999996"/>
    <n v="378.83199999999999"/>
    <n v="0.3193078987471511"/>
    <n v="1186.4159999999999"/>
    <s v="Online"/>
    <s v="SAVE10"/>
    <x v="0"/>
    <n v="0"/>
    <x v="0"/>
    <x v="661"/>
    <s v="Cust 7509"/>
    <n v="16.64"/>
    <d v="2023-11-03T00:00:00"/>
    <d v="2023-11-11T00:00:00"/>
    <s v="Wendy"/>
    <n v="8"/>
  </r>
  <r>
    <d v="2024-04-26T00:00:00"/>
    <x v="7"/>
    <x v="1"/>
    <x v="9"/>
    <x v="1"/>
    <x v="0"/>
    <n v="16"/>
    <n v="318.32"/>
    <s v="Store C"/>
    <x v="0"/>
    <n v="0.05"/>
    <x v="4"/>
    <n v="4838.4639999999999"/>
    <n v="3055.8719999999998"/>
    <n v="1741.8120000000001"/>
    <n v="0.35999275803230119"/>
    <n v="4838.4639999999999"/>
    <s v="Credit Card"/>
    <s v="FREESHIP"/>
    <x v="0"/>
    <n v="0"/>
    <x v="0"/>
    <x v="662"/>
    <s v="Cust 1869"/>
    <n v="40.78"/>
    <d v="2024-04-26T00:00:00"/>
    <d v="2024-05-01T00:00:00"/>
    <s v="Sophie"/>
    <n v="5"/>
  </r>
  <r>
    <d v="2024-10-08T00:00:00"/>
    <x v="5"/>
    <x v="1"/>
    <x v="7"/>
    <x v="1"/>
    <x v="2"/>
    <n v="9"/>
    <n v="446.49"/>
    <s v="Store D"/>
    <x v="0"/>
    <n v="0.15"/>
    <x v="3"/>
    <n v="3415.6484999999998"/>
    <n v="2411.0460000000003"/>
    <n v="998.83249999999953"/>
    <n v="0.292428363164418"/>
    <n v="3415.6484999999998"/>
    <s v="Cash"/>
    <s v="FREESHIP"/>
    <x v="0"/>
    <n v="0"/>
    <x v="0"/>
    <x v="663"/>
    <s v="Cust 5943"/>
    <n v="5.77"/>
    <d v="2024-10-08T00:00:00"/>
    <d v="2024-10-17T00:00:00"/>
    <s v="Sophie"/>
    <n v="9"/>
  </r>
  <r>
    <d v="2023-01-09T00:00:00"/>
    <x v="4"/>
    <x v="0"/>
    <x v="6"/>
    <x v="1"/>
    <x v="2"/>
    <n v="16"/>
    <n v="258.82"/>
    <s v="Store D"/>
    <x v="1"/>
    <n v="0.1"/>
    <x v="4"/>
    <n v="3727.0079999999998"/>
    <n v="2484.672"/>
    <n v="1195.4059999999997"/>
    <n v="0.32074146339369269"/>
    <n v="3727.0079999999998"/>
    <s v="Online"/>
    <s v="SAVE10"/>
    <x v="0"/>
    <n v="0"/>
    <x v="0"/>
    <x v="664"/>
    <s v="Cust 8364"/>
    <n v="46.93"/>
    <d v="2023-01-09T00:00:00"/>
    <d v="2023-01-17T00:00:00"/>
    <s v="Sophie"/>
    <n v="8"/>
  </r>
  <r>
    <d v="2023-12-25T00:00:00"/>
    <x v="1"/>
    <x v="0"/>
    <x v="27"/>
    <x v="2"/>
    <x v="6"/>
    <n v="9"/>
    <n v="272.68"/>
    <s v="Store D"/>
    <x v="0"/>
    <n v="0.05"/>
    <x v="0"/>
    <n v="2331.4139999999998"/>
    <n v="1472.472"/>
    <n v="842.51199999999983"/>
    <n v="0.36137382721387101"/>
    <n v="2331.4140000000002"/>
    <s v="Online"/>
    <s v="SAVE10"/>
    <x v="0"/>
    <n v="0"/>
    <x v="0"/>
    <x v="665"/>
    <s v="Cust 8401"/>
    <n v="16.43"/>
    <d v="2023-12-25T00:00:00"/>
    <d v="2024-01-02T00:00:00"/>
    <s v="Ryan"/>
    <n v="8"/>
  </r>
  <r>
    <d v="2024-05-11T00:00:00"/>
    <x v="2"/>
    <x v="1"/>
    <x v="14"/>
    <x v="3"/>
    <x v="4"/>
    <n v="12"/>
    <n v="438.77"/>
    <s v="Store C"/>
    <x v="1"/>
    <n v="0"/>
    <x v="0"/>
    <n v="5265.24"/>
    <n v="3159.1440000000002"/>
    <n v="2096.7859999999996"/>
    <n v="0.39823179950011767"/>
    <n v="5265.24"/>
    <s v="Debit Card"/>
    <s v="SAVE10"/>
    <x v="0"/>
    <n v="0"/>
    <x v="0"/>
    <x v="666"/>
    <s v="Cust 4047"/>
    <n v="9.31"/>
    <d v="2024-05-11T00:00:00"/>
    <d v="2024-05-20T00:00:00"/>
    <s v="Cameron"/>
    <n v="9"/>
  </r>
  <r>
    <d v="2023-11-23T00:00:00"/>
    <x v="9"/>
    <x v="0"/>
    <x v="15"/>
    <x v="4"/>
    <x v="5"/>
    <n v="18"/>
    <n v="267.63"/>
    <s v="Store B"/>
    <x v="1"/>
    <n v="0"/>
    <x v="3"/>
    <n v="4817.34"/>
    <n v="2890.404"/>
    <n v="1882.4560000000001"/>
    <n v="0.39076668867051112"/>
    <n v="4817.34"/>
    <s v="Gift Card"/>
    <s v="SAVE10"/>
    <x v="0"/>
    <n v="0"/>
    <x v="0"/>
    <x v="667"/>
    <s v="Cust 6019"/>
    <n v="44.48"/>
    <d v="2023-11-23T00:00:00"/>
    <d v="2023-11-26T00:00:00"/>
    <s v="Wendy"/>
    <n v="3"/>
  </r>
  <r>
    <d v="2023-12-10T00:00:00"/>
    <x v="1"/>
    <x v="0"/>
    <x v="27"/>
    <x v="3"/>
    <x v="6"/>
    <n v="6"/>
    <n v="115.94"/>
    <s v="Store A"/>
    <x v="0"/>
    <n v="0.05"/>
    <x v="3"/>
    <n v="660.85799999999995"/>
    <n v="417.38399999999996"/>
    <n v="219.56399999999999"/>
    <n v="0.33224081421424878"/>
    <n v="660.85799999999995"/>
    <s v="Credit Card"/>
    <s v="SAVE10"/>
    <x v="0"/>
    <n v="0"/>
    <x v="0"/>
    <x v="668"/>
    <s v="Cust 8750"/>
    <n v="23.91"/>
    <d v="2023-12-10T00:00:00"/>
    <d v="2023-12-12T00:00:00"/>
    <s v="Cameron"/>
    <n v="2"/>
  </r>
  <r>
    <d v="2024-02-03T00:00:00"/>
    <x v="0"/>
    <x v="1"/>
    <x v="5"/>
    <x v="2"/>
    <x v="6"/>
    <n v="19"/>
    <n v="275.77999999999997"/>
    <s v="Store C"/>
    <x v="1"/>
    <n v="0"/>
    <x v="2"/>
    <n v="5239.82"/>
    <n v="3143.8919999999998"/>
    <n v="2048.9279999999999"/>
    <n v="0.39103022622914529"/>
    <n v="5239.82"/>
    <s v="Cash"/>
    <s v="SAVE10"/>
    <x v="0"/>
    <n v="0"/>
    <x v="0"/>
    <x v="669"/>
    <s v="Cust 5782"/>
    <n v="47"/>
    <d v="2024-02-03T00:00:00"/>
    <d v="2024-02-05T00:00:00"/>
    <s v="Ryan"/>
    <n v="2"/>
  </r>
  <r>
    <d v="2024-11-24T00:00:00"/>
    <x v="9"/>
    <x v="1"/>
    <x v="20"/>
    <x v="3"/>
    <x v="3"/>
    <n v="12"/>
    <n v="255.93"/>
    <s v="Store B"/>
    <x v="1"/>
    <n v="0"/>
    <x v="0"/>
    <n v="3071.16"/>
    <n v="1842.6959999999999"/>
    <n v="1204.7239999999999"/>
    <n v="0.39227002175073911"/>
    <n v="3071.16"/>
    <s v="Cash"/>
    <s v="WINTER15"/>
    <x v="0"/>
    <n v="0"/>
    <x v="0"/>
    <x v="670"/>
    <s v="Cust 4090"/>
    <n v="23.74"/>
    <d v="2024-11-24T00:00:00"/>
    <d v="2024-12-04T00:00:00"/>
    <s v="Cameron"/>
    <n v="10"/>
  </r>
  <r>
    <d v="2024-03-06T00:00:00"/>
    <x v="6"/>
    <x v="1"/>
    <x v="25"/>
    <x v="4"/>
    <x v="1"/>
    <n v="1"/>
    <n v="381.21"/>
    <s v="Store D"/>
    <x v="0"/>
    <n v="0.15"/>
    <x v="5"/>
    <n v="324.02849999999995"/>
    <n v="228.72599999999997"/>
    <n v="85.352499999999978"/>
    <n v="0.26341047160975034"/>
    <n v="324.02850000000001"/>
    <s v="Online"/>
    <m/>
    <x v="1"/>
    <n v="0"/>
    <x v="0"/>
    <x v="671"/>
    <s v="Cust 4730"/>
    <n v="9.9499999999999993"/>
    <d v="2024-03-06T00:00:00"/>
    <d v="2024-03-11T00:00:00"/>
    <s v="Wendy"/>
    <n v="5"/>
  </r>
  <r>
    <d v="2025-02-01T00:00:00"/>
    <x v="0"/>
    <x v="2"/>
    <x v="3"/>
    <x v="1"/>
    <x v="2"/>
    <n v="5"/>
    <n v="38.229999999999997"/>
    <s v="Store C"/>
    <x v="0"/>
    <n v="0.15"/>
    <x v="5"/>
    <n v="162.47749999999996"/>
    <n v="114.69"/>
    <n v="26.727499999999967"/>
    <n v="0.16449969995845562"/>
    <n v="162.47749999999999"/>
    <s v="Debit Card"/>
    <m/>
    <x v="1"/>
    <n v="0"/>
    <x v="0"/>
    <x v="672"/>
    <s v="Cust 5648"/>
    <n v="21.06"/>
    <d v="2025-02-01T00:00:00"/>
    <d v="2025-02-11T00:00:00"/>
    <s v="Sophie"/>
    <n v="10"/>
  </r>
  <r>
    <d v="2024-06-04T00:00:00"/>
    <x v="3"/>
    <x v="1"/>
    <x v="23"/>
    <x v="3"/>
    <x v="0"/>
    <n v="7"/>
    <n v="225.86"/>
    <s v="Store B"/>
    <x v="0"/>
    <n v="0"/>
    <x v="3"/>
    <n v="1581.02"/>
    <n v="948.61199999999997"/>
    <n v="607.928"/>
    <n v="0.38451632490417581"/>
    <n v="1581.02"/>
    <s v="Debit Card"/>
    <m/>
    <x v="1"/>
    <n v="0"/>
    <x v="0"/>
    <x v="673"/>
    <s v="Cust 8933"/>
    <n v="24.48"/>
    <d v="2024-06-04T00:00:00"/>
    <d v="2024-06-09T00:00:00"/>
    <s v="Cameron"/>
    <n v="5"/>
  </r>
  <r>
    <d v="2023-08-06T00:00:00"/>
    <x v="10"/>
    <x v="0"/>
    <x v="18"/>
    <x v="3"/>
    <x v="2"/>
    <n v="8"/>
    <n v="548.02"/>
    <s v="Store D"/>
    <x v="1"/>
    <n v="0.05"/>
    <x v="0"/>
    <n v="4164.9519999999993"/>
    <n v="2630.4959999999996"/>
    <n v="1501.0559999999996"/>
    <n v="0.36040175252920076"/>
    <n v="4164.9519999999993"/>
    <s v="Online"/>
    <m/>
    <x v="1"/>
    <n v="0"/>
    <x v="0"/>
    <x v="674"/>
    <s v="Cust 9280"/>
    <n v="33.4"/>
    <d v="2023-08-06T00:00:00"/>
    <d v="2023-08-13T00:00:00"/>
    <s v="Cameron"/>
    <n v="7"/>
  </r>
  <r>
    <d v="2023-06-30T00:00:00"/>
    <x v="3"/>
    <x v="0"/>
    <x v="4"/>
    <x v="4"/>
    <x v="6"/>
    <n v="18"/>
    <n v="485.3"/>
    <s v="Store D"/>
    <x v="0"/>
    <n v="0.05"/>
    <x v="5"/>
    <n v="8298.6299999999992"/>
    <n v="5241.24"/>
    <n v="3009.6199999999994"/>
    <n v="0.36266468079670977"/>
    <n v="8298.6299999999992"/>
    <s v="Debit Card"/>
    <s v="FREESHIP"/>
    <x v="0"/>
    <n v="1"/>
    <x v="1"/>
    <x v="675"/>
    <s v="Cust 8696"/>
    <n v="47.77"/>
    <d v="2023-06-30T00:00:00"/>
    <d v="2023-07-05T00:00:00"/>
    <s v="Wendy"/>
    <n v="5"/>
  </r>
  <r>
    <d v="2023-02-15T00:00:00"/>
    <x v="0"/>
    <x v="0"/>
    <x v="0"/>
    <x v="4"/>
    <x v="6"/>
    <n v="19"/>
    <n v="414.31"/>
    <s v="Store A"/>
    <x v="1"/>
    <n v="0.1"/>
    <x v="0"/>
    <n v="7084.701"/>
    <n v="4723.134"/>
    <n v="2344.1370000000002"/>
    <n v="0.33087310247814272"/>
    <n v="7084.701"/>
    <s v="Credit Card"/>
    <s v="SAVE10"/>
    <x v="0"/>
    <n v="0"/>
    <x v="0"/>
    <x v="676"/>
    <s v="Cust 1944"/>
    <n v="17.43"/>
    <d v="2023-02-15T00:00:00"/>
    <d v="2023-02-19T00:00:00"/>
    <s v="Wendy"/>
    <n v="4"/>
  </r>
  <r>
    <d v="2024-01-23T00:00:00"/>
    <x v="4"/>
    <x v="1"/>
    <x v="24"/>
    <x v="2"/>
    <x v="6"/>
    <n v="8"/>
    <n v="50.72"/>
    <s v="Store A"/>
    <x v="0"/>
    <n v="0.05"/>
    <x v="3"/>
    <n v="385.47199999999998"/>
    <n v="243.45599999999999"/>
    <n v="129.666"/>
    <n v="0.3363824090984559"/>
    <n v="385.47199999999998"/>
    <s v="Debit Card"/>
    <m/>
    <x v="1"/>
    <n v="0"/>
    <x v="0"/>
    <x v="677"/>
    <s v="Cust 7780"/>
    <n v="12.35"/>
    <d v="2024-01-23T00:00:00"/>
    <d v="2024-01-30T00:00:00"/>
    <s v="Ryan"/>
    <n v="7"/>
  </r>
  <r>
    <d v="2024-10-31T00:00:00"/>
    <x v="5"/>
    <x v="1"/>
    <x v="7"/>
    <x v="2"/>
    <x v="5"/>
    <n v="17"/>
    <n v="83.26"/>
    <s v="Store A"/>
    <x v="0"/>
    <n v="0.15"/>
    <x v="0"/>
    <n v="1203.107"/>
    <n v="849.25200000000007"/>
    <n v="311.1749999999999"/>
    <n v="0.25864283060442661"/>
    <n v="1203.107"/>
    <s v="Cash"/>
    <s v="SAVE10"/>
    <x v="0"/>
    <n v="0"/>
    <x v="0"/>
    <x v="678"/>
    <s v="Cust 8055"/>
    <n v="42.68"/>
    <d v="2024-10-31T00:00:00"/>
    <d v="2024-11-06T00:00:00"/>
    <s v="Ryan"/>
    <n v="6"/>
  </r>
  <r>
    <d v="2023-12-19T00:00:00"/>
    <x v="1"/>
    <x v="0"/>
    <x v="27"/>
    <x v="3"/>
    <x v="2"/>
    <n v="20"/>
    <n v="51.85"/>
    <s v="Store C"/>
    <x v="0"/>
    <n v="0.15"/>
    <x v="3"/>
    <n v="881.44999999999993"/>
    <n v="622.20000000000005"/>
    <n v="226.08999999999989"/>
    <n v="0.256497816098474"/>
    <n v="881.44999999999993"/>
    <s v="Cash"/>
    <m/>
    <x v="1"/>
    <n v="0"/>
    <x v="0"/>
    <x v="679"/>
    <s v="Cust 4707"/>
    <n v="33.159999999999997"/>
    <d v="2023-12-19T00:00:00"/>
    <d v="2023-12-21T00:00:00"/>
    <s v="Cameron"/>
    <n v="2"/>
  </r>
  <r>
    <d v="2023-07-04T00:00:00"/>
    <x v="8"/>
    <x v="0"/>
    <x v="11"/>
    <x v="1"/>
    <x v="5"/>
    <n v="12"/>
    <n v="122.51"/>
    <s v="Store B"/>
    <x v="0"/>
    <n v="0.05"/>
    <x v="4"/>
    <n v="1396.614"/>
    <n v="882.072"/>
    <n v="471.072"/>
    <n v="0.33729577392178511"/>
    <n v="1396.614"/>
    <s v="Gift Card"/>
    <s v="WINTER15"/>
    <x v="0"/>
    <n v="0"/>
    <x v="0"/>
    <x v="680"/>
    <s v="Cust 8088"/>
    <n v="43.47"/>
    <d v="2023-07-04T00:00:00"/>
    <d v="2023-07-06T00:00:00"/>
    <s v="Sophie"/>
    <n v="2"/>
  </r>
  <r>
    <d v="2024-05-16T00:00:00"/>
    <x v="2"/>
    <x v="1"/>
    <x v="14"/>
    <x v="0"/>
    <x v="0"/>
    <n v="11"/>
    <n v="222.13"/>
    <s v="Store D"/>
    <x v="0"/>
    <n v="0.15"/>
    <x v="0"/>
    <n v="2076.9154999999996"/>
    <n v="1466.058"/>
    <n v="600.97749999999962"/>
    <n v="0.28936059266734721"/>
    <n v="2076.9155000000001"/>
    <s v="Cash"/>
    <s v="WINTER15"/>
    <x v="0"/>
    <n v="1"/>
    <x v="1"/>
    <x v="681"/>
    <s v="Cust 7806"/>
    <n v="9.8800000000000008"/>
    <d v="2024-05-16T00:00:00"/>
    <d v="2024-05-18T00:00:00"/>
    <s v="Eric"/>
    <n v="2"/>
  </r>
  <r>
    <d v="2023-09-16T00:00:00"/>
    <x v="11"/>
    <x v="0"/>
    <x v="22"/>
    <x v="2"/>
    <x v="4"/>
    <n v="8"/>
    <n v="204.84"/>
    <s v="Store C"/>
    <x v="1"/>
    <n v="0"/>
    <x v="5"/>
    <n v="1638.72"/>
    <n v="983.23199999999997"/>
    <n v="612.08800000000008"/>
    <n v="0.37351591486037888"/>
    <n v="1638.72"/>
    <s v="Cash"/>
    <m/>
    <x v="1"/>
    <n v="0"/>
    <x v="0"/>
    <x v="682"/>
    <s v="Cust 7033"/>
    <n v="43.4"/>
    <d v="2023-09-16T00:00:00"/>
    <d v="2023-09-21T00:00:00"/>
    <s v="Ryan"/>
    <n v="5"/>
  </r>
  <r>
    <d v="2024-11-22T00:00:00"/>
    <x v="9"/>
    <x v="1"/>
    <x v="20"/>
    <x v="0"/>
    <x v="3"/>
    <n v="3"/>
    <n v="536.97"/>
    <s v="Store C"/>
    <x v="0"/>
    <n v="0"/>
    <x v="3"/>
    <n v="1610.91"/>
    <n v="966.54600000000005"/>
    <n v="630.50400000000002"/>
    <n v="0.39139616738365274"/>
    <n v="1610.91"/>
    <s v="Debit Card"/>
    <m/>
    <x v="1"/>
    <n v="0"/>
    <x v="0"/>
    <x v="683"/>
    <s v="Cust 8372"/>
    <n v="13.86"/>
    <d v="2024-11-22T00:00:00"/>
    <d v="2024-12-01T00:00:00"/>
    <s v="Eric"/>
    <n v="9"/>
  </r>
  <r>
    <d v="2024-04-13T00:00:00"/>
    <x v="7"/>
    <x v="1"/>
    <x v="9"/>
    <x v="4"/>
    <x v="3"/>
    <n v="15"/>
    <n v="553.01"/>
    <s v="Store A"/>
    <x v="1"/>
    <n v="0.1"/>
    <x v="3"/>
    <n v="7465.6350000000002"/>
    <n v="4977.09"/>
    <n v="2465.2449999999999"/>
    <n v="0.33021236639616053"/>
    <n v="7465.6350000000002"/>
    <s v="Credit Card"/>
    <s v="SAVE10"/>
    <x v="0"/>
    <n v="1"/>
    <x v="1"/>
    <x v="684"/>
    <s v="Cust 1935"/>
    <n v="23.3"/>
    <d v="2024-04-13T00:00:00"/>
    <d v="2024-04-21T00:00:00"/>
    <s v="Wendy"/>
    <n v="8"/>
  </r>
  <r>
    <d v="2024-06-30T00:00:00"/>
    <x v="3"/>
    <x v="1"/>
    <x v="23"/>
    <x v="1"/>
    <x v="3"/>
    <n v="20"/>
    <n v="284.82"/>
    <s v="Store D"/>
    <x v="1"/>
    <n v="0.1"/>
    <x v="1"/>
    <n v="5126.76"/>
    <n v="3417.84"/>
    <n v="1681.92"/>
    <n v="0.3280668492381153"/>
    <n v="5126.76"/>
    <s v="Credit Card"/>
    <s v="WINTER15"/>
    <x v="0"/>
    <n v="1"/>
    <x v="1"/>
    <x v="685"/>
    <s v="Cust 8417"/>
    <n v="27"/>
    <d v="2024-06-30T00:00:00"/>
    <d v="2024-07-06T00:00:00"/>
    <s v="Sophie"/>
    <n v="6"/>
  </r>
  <r>
    <d v="2024-08-29T00:00:00"/>
    <x v="10"/>
    <x v="1"/>
    <x v="29"/>
    <x v="2"/>
    <x v="2"/>
    <n v="18"/>
    <n v="523.87"/>
    <s v="Store C"/>
    <x v="1"/>
    <n v="0.15"/>
    <x v="4"/>
    <n v="8015.2109999999993"/>
    <n v="5657.7960000000003"/>
    <n v="2314.7849999999989"/>
    <n v="0.28879900978277417"/>
    <n v="8015.2109999999993"/>
    <s v="Gift Card"/>
    <s v="WINTER15"/>
    <x v="0"/>
    <n v="0"/>
    <x v="0"/>
    <x v="686"/>
    <s v="Cust 3370"/>
    <n v="42.63"/>
    <d v="2024-08-29T00:00:00"/>
    <d v="2024-09-02T00:00:00"/>
    <s v="Ryan"/>
    <n v="4"/>
  </r>
  <r>
    <d v="2023-12-26T00:00:00"/>
    <x v="1"/>
    <x v="0"/>
    <x v="27"/>
    <x v="3"/>
    <x v="2"/>
    <n v="3"/>
    <n v="232.13"/>
    <s v="Store B"/>
    <x v="1"/>
    <n v="0.1"/>
    <x v="4"/>
    <n v="626.75099999999998"/>
    <n v="417.83399999999995"/>
    <n v="162.26700000000002"/>
    <n v="0.2589018605474902"/>
    <n v="626.75099999999998"/>
    <s v="Cash"/>
    <m/>
    <x v="1"/>
    <n v="1"/>
    <x v="1"/>
    <x v="687"/>
    <s v="Cust 3664"/>
    <n v="46.65"/>
    <d v="2023-12-26T00:00:00"/>
    <d v="2023-12-31T00:00:00"/>
    <s v="Cameron"/>
    <n v="5"/>
  </r>
  <r>
    <d v="2025-01-30T00:00:00"/>
    <x v="4"/>
    <x v="2"/>
    <x v="12"/>
    <x v="2"/>
    <x v="1"/>
    <n v="17"/>
    <n v="179.32"/>
    <s v="Store A"/>
    <x v="1"/>
    <n v="0.1"/>
    <x v="5"/>
    <n v="2743.596"/>
    <n v="1829.0640000000001"/>
    <n v="887.79199999999992"/>
    <n v="0.32358700041842892"/>
    <n v="2743.596"/>
    <s v="Debit Card"/>
    <s v="SAVE10"/>
    <x v="0"/>
    <n v="1"/>
    <x v="1"/>
    <x v="688"/>
    <s v="Cust 5760"/>
    <n v="26.74"/>
    <d v="2025-01-30T00:00:00"/>
    <d v="2025-02-06T00:00:00"/>
    <s v="Ryan"/>
    <n v="7"/>
  </r>
  <r>
    <d v="2023-05-17T00:00:00"/>
    <x v="2"/>
    <x v="0"/>
    <x v="2"/>
    <x v="1"/>
    <x v="3"/>
    <n v="1"/>
    <n v="396.35"/>
    <s v="Store B"/>
    <x v="1"/>
    <n v="0.15"/>
    <x v="2"/>
    <n v="336.89750000000004"/>
    <n v="237.81"/>
    <n v="79.197500000000034"/>
    <n v="0.23507891866220446"/>
    <n v="336.89749999999998"/>
    <s v="Debit Card"/>
    <s v="SAVE10"/>
    <x v="0"/>
    <n v="1"/>
    <x v="1"/>
    <x v="689"/>
    <s v="Cust 3037"/>
    <n v="19.89"/>
    <d v="2023-05-17T00:00:00"/>
    <d v="2023-05-25T00:00:00"/>
    <s v="Sophie"/>
    <n v="8"/>
  </r>
  <r>
    <d v="2024-01-27T00:00:00"/>
    <x v="4"/>
    <x v="1"/>
    <x v="24"/>
    <x v="3"/>
    <x v="2"/>
    <n v="17"/>
    <n v="108.48"/>
    <s v="Store A"/>
    <x v="0"/>
    <n v="0.1"/>
    <x v="3"/>
    <n v="1659.7440000000001"/>
    <n v="1106.4959999999999"/>
    <n v="504.3480000000003"/>
    <n v="0.30387095841286382"/>
    <n v="1659.7439999999999"/>
    <s v="Online"/>
    <m/>
    <x v="1"/>
    <n v="1"/>
    <x v="1"/>
    <x v="690"/>
    <s v="Cust 9828"/>
    <n v="48.9"/>
    <d v="2024-01-27T00:00:00"/>
    <d v="2024-02-05T00:00:00"/>
    <s v="Cameron"/>
    <n v="9"/>
  </r>
  <r>
    <d v="2025-05-26T00:00:00"/>
    <x v="2"/>
    <x v="2"/>
    <x v="13"/>
    <x v="0"/>
    <x v="6"/>
    <n v="10"/>
    <n v="149.66999999999999"/>
    <s v="Store D"/>
    <x v="1"/>
    <n v="0.1"/>
    <x v="3"/>
    <n v="1347.03"/>
    <n v="898.02"/>
    <n v="399.34"/>
    <n v="0.29645961856825759"/>
    <n v="1347.03"/>
    <s v="Cash"/>
    <s v="FREESHIP"/>
    <x v="0"/>
    <n v="1"/>
    <x v="1"/>
    <x v="691"/>
    <s v="Cust 5297"/>
    <n v="49.67"/>
    <d v="2025-05-26T00:00:00"/>
    <d v="2025-06-02T00:00:00"/>
    <s v="Eric"/>
    <n v="7"/>
  </r>
  <r>
    <d v="2025-03-09T00:00:00"/>
    <x v="6"/>
    <x v="2"/>
    <x v="8"/>
    <x v="2"/>
    <x v="1"/>
    <n v="1"/>
    <n v="506.41"/>
    <s v="Store D"/>
    <x v="0"/>
    <n v="0"/>
    <x v="5"/>
    <n v="506.41"/>
    <n v="303.846"/>
    <n v="184.66400000000002"/>
    <n v="0.36465314665982113"/>
    <n v="506.41"/>
    <s v="Cash"/>
    <m/>
    <x v="1"/>
    <n v="0"/>
    <x v="0"/>
    <x v="692"/>
    <s v="Cust 6785"/>
    <n v="17.899999999999999"/>
    <d v="2025-03-09T00:00:00"/>
    <d v="2025-03-17T00:00:00"/>
    <s v="Ryan"/>
    <n v="8"/>
  </r>
  <r>
    <d v="2024-02-22T00:00:00"/>
    <x v="0"/>
    <x v="1"/>
    <x v="5"/>
    <x v="4"/>
    <x v="5"/>
    <n v="6"/>
    <n v="345.9"/>
    <s v="Store B"/>
    <x v="1"/>
    <n v="0.15"/>
    <x v="2"/>
    <n v="1764.0899999999997"/>
    <n v="1245.24"/>
    <n v="488.2699999999997"/>
    <n v="0.27678293057610426"/>
    <n v="1764.09"/>
    <s v="Credit Card"/>
    <s v="WINTER15"/>
    <x v="0"/>
    <n v="0"/>
    <x v="0"/>
    <x v="693"/>
    <s v="Cust 1344"/>
    <n v="30.58"/>
    <d v="2024-02-22T00:00:00"/>
    <d v="2024-03-03T00:00:00"/>
    <s v="Wendy"/>
    <n v="10"/>
  </r>
  <r>
    <d v="2025-02-03T00:00:00"/>
    <x v="0"/>
    <x v="2"/>
    <x v="3"/>
    <x v="0"/>
    <x v="5"/>
    <n v="15"/>
    <n v="342.04"/>
    <s v="Store C"/>
    <x v="1"/>
    <n v="0.15"/>
    <x v="4"/>
    <n v="4361.01"/>
    <n v="3078.36"/>
    <n v="1237.74"/>
    <n v="0.28381957390604468"/>
    <n v="4361.01"/>
    <s v="Gift Card"/>
    <s v="WINTER15"/>
    <x v="0"/>
    <n v="0"/>
    <x v="0"/>
    <x v="694"/>
    <s v="Cust 4023"/>
    <n v="44.91"/>
    <d v="2025-02-03T00:00:00"/>
    <d v="2025-02-08T00:00:00"/>
    <s v="Eric"/>
    <n v="5"/>
  </r>
  <r>
    <d v="2024-01-09T00:00:00"/>
    <x v="4"/>
    <x v="1"/>
    <x v="24"/>
    <x v="3"/>
    <x v="6"/>
    <n v="11"/>
    <n v="404.88"/>
    <s v="Store A"/>
    <x v="0"/>
    <n v="0.05"/>
    <x v="1"/>
    <n v="4230.9960000000001"/>
    <n v="2672.2080000000001"/>
    <n v="1539.8679999999999"/>
    <n v="0.36394929231793172"/>
    <n v="4230.9960000000001"/>
    <s v="Gift Card"/>
    <s v="SAVE10"/>
    <x v="0"/>
    <n v="0"/>
    <x v="0"/>
    <x v="695"/>
    <s v="Cust 3721"/>
    <n v="18.920000000000002"/>
    <d v="2024-01-09T00:00:00"/>
    <d v="2024-01-16T00:00:00"/>
    <s v="Cameron"/>
    <n v="7"/>
  </r>
  <r>
    <d v="2025-05-05T00:00:00"/>
    <x v="2"/>
    <x v="2"/>
    <x v="13"/>
    <x v="2"/>
    <x v="2"/>
    <n v="9"/>
    <n v="292.45999999999998"/>
    <s v="Store A"/>
    <x v="0"/>
    <n v="0.05"/>
    <x v="3"/>
    <n v="2500.5329999999999"/>
    <n v="1579.2839999999997"/>
    <n v="886.98900000000026"/>
    <n v="0.35471997370160696"/>
    <n v="2500.5329999999999"/>
    <s v="Credit Card"/>
    <m/>
    <x v="1"/>
    <n v="0"/>
    <x v="0"/>
    <x v="696"/>
    <s v="Cust 1486"/>
    <n v="34.26"/>
    <d v="2025-05-05T00:00:00"/>
    <d v="2025-05-14T00:00:00"/>
    <s v="Ryan"/>
    <n v="9"/>
  </r>
  <r>
    <d v="2023-04-17T00:00:00"/>
    <x v="7"/>
    <x v="0"/>
    <x v="21"/>
    <x v="3"/>
    <x v="2"/>
    <n v="5"/>
    <n v="547.53"/>
    <s v="Store A"/>
    <x v="1"/>
    <n v="0.1"/>
    <x v="0"/>
    <n v="2463.8849999999998"/>
    <n v="1642.59"/>
    <n v="796.6149999999999"/>
    <n v="0.32331663206683753"/>
    <n v="2463.8850000000002"/>
    <s v="Debit Card"/>
    <m/>
    <x v="1"/>
    <n v="0"/>
    <x v="0"/>
    <x v="697"/>
    <s v="Cust 3958"/>
    <n v="24.68"/>
    <d v="2023-04-17T00:00:00"/>
    <d v="2023-04-21T00:00:00"/>
    <s v="Cameron"/>
    <n v="4"/>
  </r>
  <r>
    <d v="2024-06-16T00:00:00"/>
    <x v="3"/>
    <x v="1"/>
    <x v="23"/>
    <x v="1"/>
    <x v="2"/>
    <n v="12"/>
    <n v="348.88"/>
    <s v="Store C"/>
    <x v="0"/>
    <n v="0"/>
    <x v="1"/>
    <n v="4186.5599999999995"/>
    <n v="2511.9360000000001"/>
    <n v="1643.3439999999994"/>
    <n v="0.39252847206298241"/>
    <n v="4186.5599999999986"/>
    <s v="Credit Card"/>
    <s v="SAVE10"/>
    <x v="0"/>
    <n v="0"/>
    <x v="0"/>
    <x v="698"/>
    <s v="Cust 6914"/>
    <n v="31.28"/>
    <d v="2024-06-16T00:00:00"/>
    <d v="2024-06-21T00:00:00"/>
    <s v="Sophie"/>
    <n v="5"/>
  </r>
  <r>
    <d v="2024-11-01T00:00:00"/>
    <x v="9"/>
    <x v="1"/>
    <x v="20"/>
    <x v="1"/>
    <x v="1"/>
    <n v="15"/>
    <n v="486.03"/>
    <s v="Store C"/>
    <x v="0"/>
    <n v="0"/>
    <x v="1"/>
    <n v="7290.45"/>
    <n v="4374.2699999999995"/>
    <n v="2901.28"/>
    <n v="0.39795623041101719"/>
    <n v="7290.45"/>
    <s v="Debit Card"/>
    <s v="WINTER15"/>
    <x v="0"/>
    <n v="0"/>
    <x v="0"/>
    <x v="699"/>
    <s v="Cust 3287"/>
    <n v="14.9"/>
    <d v="2024-11-01T00:00:00"/>
    <d v="2024-11-04T00:00:00"/>
    <s v="Sophie"/>
    <n v="3"/>
  </r>
  <r>
    <d v="2025-02-07T00:00:00"/>
    <x v="0"/>
    <x v="2"/>
    <x v="3"/>
    <x v="0"/>
    <x v="5"/>
    <n v="14"/>
    <n v="159.09"/>
    <s v="Store C"/>
    <x v="1"/>
    <n v="0.15"/>
    <x v="5"/>
    <n v="1893.171"/>
    <n v="1336.356"/>
    <n v="529.7650000000001"/>
    <n v="0.27982945016588573"/>
    <n v="1893.171"/>
    <s v="Debit Card"/>
    <s v="FREESHIP"/>
    <x v="0"/>
    <n v="0"/>
    <x v="0"/>
    <x v="700"/>
    <s v="Cust 9072"/>
    <n v="27.05"/>
    <d v="2025-02-07T00:00:00"/>
    <d v="2025-02-10T00:00:00"/>
    <s v="Eric"/>
    <n v="3"/>
  </r>
  <r>
    <d v="2024-11-24T00:00:00"/>
    <x v="9"/>
    <x v="1"/>
    <x v="20"/>
    <x v="1"/>
    <x v="4"/>
    <n v="12"/>
    <n v="173.79"/>
    <s v="Store D"/>
    <x v="1"/>
    <n v="0.15"/>
    <x v="0"/>
    <n v="1772.6579999999999"/>
    <n v="1251.2879999999998"/>
    <n v="500.1400000000001"/>
    <n v="0.28214128162341529"/>
    <n v="1772.6579999999999"/>
    <s v="Credit Card"/>
    <m/>
    <x v="1"/>
    <n v="0"/>
    <x v="0"/>
    <x v="701"/>
    <s v="Cust 3098"/>
    <n v="21.23"/>
    <d v="2024-11-24T00:00:00"/>
    <d v="2024-12-04T00:00:00"/>
    <s v="Sophie"/>
    <n v="10"/>
  </r>
  <r>
    <d v="2024-04-23T00:00:00"/>
    <x v="7"/>
    <x v="1"/>
    <x v="9"/>
    <x v="3"/>
    <x v="4"/>
    <n v="13"/>
    <n v="439.75"/>
    <s v="Store A"/>
    <x v="0"/>
    <n v="0"/>
    <x v="2"/>
    <n v="5716.75"/>
    <n v="3430.0499999999997"/>
    <n v="2274.4700000000003"/>
    <n v="0.39786067258494778"/>
    <n v="5716.75"/>
    <s v="Online"/>
    <m/>
    <x v="1"/>
    <n v="1"/>
    <x v="1"/>
    <x v="702"/>
    <s v="Cust 7942"/>
    <n v="12.23"/>
    <d v="2024-04-23T00:00:00"/>
    <d v="2024-05-02T00:00:00"/>
    <s v="Cameron"/>
    <n v="9"/>
  </r>
  <r>
    <d v="2024-06-24T00:00:00"/>
    <x v="3"/>
    <x v="1"/>
    <x v="23"/>
    <x v="0"/>
    <x v="0"/>
    <n v="9"/>
    <n v="265.43"/>
    <s v="Store D"/>
    <x v="0"/>
    <n v="0.05"/>
    <x v="0"/>
    <n v="2269.4264999999996"/>
    <n v="1433.3220000000001"/>
    <n v="795.92449999999951"/>
    <n v="0.35071613907742755"/>
    <n v="2269.4265"/>
    <s v="Credit Card"/>
    <s v="FREESHIP"/>
    <x v="0"/>
    <n v="0"/>
    <x v="0"/>
    <x v="703"/>
    <s v="Cust 4307"/>
    <n v="40.18"/>
    <d v="2024-06-24T00:00:00"/>
    <d v="2024-06-27T00:00:00"/>
    <s v="Eric"/>
    <n v="3"/>
  </r>
  <r>
    <d v="2025-06-01T00:00:00"/>
    <x v="3"/>
    <x v="2"/>
    <x v="16"/>
    <x v="4"/>
    <x v="4"/>
    <n v="12"/>
    <n v="290.27999999999997"/>
    <s v="Store B"/>
    <x v="1"/>
    <n v="0.1"/>
    <x v="3"/>
    <n v="3135.0239999999999"/>
    <n v="2090.0159999999996"/>
    <n v="1039.4580000000003"/>
    <n v="0.3315630119578033"/>
    <n v="3135.0239999999999"/>
    <s v="Cash"/>
    <s v="FREESHIP"/>
    <x v="0"/>
    <n v="1"/>
    <x v="1"/>
    <x v="704"/>
    <s v="Cust 4618"/>
    <n v="5.55"/>
    <d v="2025-06-01T00:00:00"/>
    <d v="2025-06-07T00:00:00"/>
    <s v="Wendy"/>
    <n v="6"/>
  </r>
  <r>
    <d v="2023-03-12T00:00:00"/>
    <x v="6"/>
    <x v="0"/>
    <x v="17"/>
    <x v="4"/>
    <x v="5"/>
    <n v="6"/>
    <n v="88.7"/>
    <s v="Store B"/>
    <x v="0"/>
    <n v="0"/>
    <x v="3"/>
    <n v="532.20000000000005"/>
    <n v="319.32"/>
    <n v="195.90000000000006"/>
    <n v="0.36809470124013538"/>
    <n v="532.20000000000005"/>
    <s v="Gift Card"/>
    <m/>
    <x v="1"/>
    <n v="0"/>
    <x v="0"/>
    <x v="705"/>
    <s v="Cust 5322"/>
    <n v="16.98"/>
    <d v="2023-03-12T00:00:00"/>
    <d v="2023-03-14T00:00:00"/>
    <s v="Wendy"/>
    <n v="2"/>
  </r>
  <r>
    <d v="2024-11-11T00:00:00"/>
    <x v="9"/>
    <x v="1"/>
    <x v="20"/>
    <x v="3"/>
    <x v="2"/>
    <n v="2"/>
    <n v="239.69"/>
    <s v="Store C"/>
    <x v="1"/>
    <n v="0"/>
    <x v="4"/>
    <n v="479.38"/>
    <n v="287.62799999999999"/>
    <n v="162.792"/>
    <n v="0.3395886353206225"/>
    <n v="479.38"/>
    <s v="Credit Card"/>
    <s v="WINTER15"/>
    <x v="0"/>
    <n v="0"/>
    <x v="0"/>
    <x v="706"/>
    <s v="Cust 9873"/>
    <n v="28.96"/>
    <d v="2024-11-11T00:00:00"/>
    <d v="2024-11-19T00:00:00"/>
    <s v="Cameron"/>
    <n v="8"/>
  </r>
  <r>
    <d v="2024-10-17T00:00:00"/>
    <x v="5"/>
    <x v="1"/>
    <x v="7"/>
    <x v="3"/>
    <x v="5"/>
    <n v="8"/>
    <n v="39.79"/>
    <s v="Store C"/>
    <x v="1"/>
    <n v="0.1"/>
    <x v="5"/>
    <n v="286.488"/>
    <n v="190.99199999999999"/>
    <n v="49.336000000000013"/>
    <n v="0.17220965625087267"/>
    <n v="286.488"/>
    <s v="Credit Card"/>
    <s v="SAVE10"/>
    <x v="0"/>
    <n v="0"/>
    <x v="0"/>
    <x v="707"/>
    <s v="Cust 3652"/>
    <n v="46.16"/>
    <d v="2024-10-17T00:00:00"/>
    <d v="2024-10-26T00:00:00"/>
    <s v="Cameron"/>
    <n v="9"/>
  </r>
  <r>
    <d v="2023-05-10T00:00:00"/>
    <x v="2"/>
    <x v="0"/>
    <x v="2"/>
    <x v="0"/>
    <x v="6"/>
    <n v="18"/>
    <n v="206.8"/>
    <s v="Store A"/>
    <x v="1"/>
    <n v="0.05"/>
    <x v="2"/>
    <n v="3536.2799999999997"/>
    <n v="2233.44"/>
    <n v="1263.5899999999997"/>
    <n v="0.35732181840804456"/>
    <n v="3536.28"/>
    <s v="Debit Card"/>
    <s v="FREESHIP"/>
    <x v="0"/>
    <n v="1"/>
    <x v="1"/>
    <x v="708"/>
    <s v="Cust 5569"/>
    <n v="39.25"/>
    <d v="2023-05-10T00:00:00"/>
    <d v="2023-05-13T00:00:00"/>
    <s v="Eric"/>
    <n v="3"/>
  </r>
  <r>
    <d v="2023-07-29T00:00:00"/>
    <x v="8"/>
    <x v="0"/>
    <x v="11"/>
    <x v="0"/>
    <x v="0"/>
    <n v="18"/>
    <n v="175.81"/>
    <s v="Store C"/>
    <x v="1"/>
    <n v="0"/>
    <x v="0"/>
    <n v="3164.58"/>
    <n v="1898.748"/>
    <n v="1238.8619999999999"/>
    <n v="0.39147754204349389"/>
    <n v="3164.58"/>
    <s v="Gift Card"/>
    <s v="WINTER15"/>
    <x v="0"/>
    <n v="1"/>
    <x v="1"/>
    <x v="709"/>
    <s v="Cust 5369"/>
    <n v="26.97"/>
    <d v="2023-07-29T00:00:00"/>
    <d v="2023-08-07T00:00:00"/>
    <s v="Eric"/>
    <n v="9"/>
  </r>
  <r>
    <d v="2023-08-26T00:00:00"/>
    <x v="10"/>
    <x v="0"/>
    <x v="18"/>
    <x v="3"/>
    <x v="1"/>
    <n v="14"/>
    <n v="547.36"/>
    <s v="Store C"/>
    <x v="1"/>
    <n v="0.15"/>
    <x v="4"/>
    <n v="6513.5839999999998"/>
    <n v="4597.8239999999996"/>
    <n v="1890.5200000000002"/>
    <n v="0.2902426682453163"/>
    <n v="6513.5839999999998"/>
    <s v="Online"/>
    <s v="FREESHIP"/>
    <x v="0"/>
    <n v="0"/>
    <x v="0"/>
    <x v="710"/>
    <s v="Cust 9044"/>
    <n v="25.24"/>
    <d v="2023-08-26T00:00:00"/>
    <d v="2023-08-29T00:00:00"/>
    <s v="Cameron"/>
    <n v="3"/>
  </r>
  <r>
    <d v="2023-12-28T00:00:00"/>
    <x v="1"/>
    <x v="0"/>
    <x v="27"/>
    <x v="0"/>
    <x v="0"/>
    <n v="19"/>
    <n v="374.8"/>
    <s v="Store A"/>
    <x v="1"/>
    <n v="0.05"/>
    <x v="3"/>
    <n v="6765.1399999999994"/>
    <n v="4272.72"/>
    <n v="2450.7499999999991"/>
    <n v="0.36226153486845791"/>
    <n v="6765.1399999999994"/>
    <s v="Online"/>
    <s v="WINTER15"/>
    <x v="0"/>
    <n v="0"/>
    <x v="0"/>
    <x v="711"/>
    <s v="Cust 1887"/>
    <n v="41.67"/>
    <d v="2023-12-28T00:00:00"/>
    <d v="2024-01-03T00:00:00"/>
    <s v="Eric"/>
    <n v="6"/>
  </r>
  <r>
    <d v="2025-03-10T00:00:00"/>
    <x v="6"/>
    <x v="2"/>
    <x v="8"/>
    <x v="2"/>
    <x v="5"/>
    <n v="9"/>
    <n v="507.74"/>
    <s v="Store D"/>
    <x v="1"/>
    <n v="0.15"/>
    <x v="5"/>
    <n v="3884.2109999999998"/>
    <n v="2741.7960000000003"/>
    <n v="1120.3349999999996"/>
    <n v="0.28843309490653307"/>
    <n v="3884.2109999999998"/>
    <s v="Cash"/>
    <s v="FREESHIP"/>
    <x v="0"/>
    <n v="1"/>
    <x v="1"/>
    <x v="712"/>
    <s v="Cust 1559"/>
    <n v="22.08"/>
    <d v="2025-03-10T00:00:00"/>
    <d v="2025-03-17T00:00:00"/>
    <s v="Ryan"/>
    <n v="7"/>
  </r>
  <r>
    <d v="2023-09-09T00:00:00"/>
    <x v="11"/>
    <x v="0"/>
    <x v="22"/>
    <x v="3"/>
    <x v="2"/>
    <n v="1"/>
    <n v="223.56"/>
    <s v="Store B"/>
    <x v="0"/>
    <n v="0.15"/>
    <x v="5"/>
    <n v="190.02600000000001"/>
    <n v="134.136"/>
    <n v="18.050000000000011"/>
    <n v="9.4987001778704019E-2"/>
    <n v="190.02600000000001"/>
    <s v="Credit Card"/>
    <s v="WINTER15"/>
    <x v="0"/>
    <n v="0"/>
    <x v="0"/>
    <x v="713"/>
    <s v="Cust 1722"/>
    <n v="37.840000000000003"/>
    <d v="2023-09-09T00:00:00"/>
    <d v="2023-09-14T00:00:00"/>
    <s v="Cameron"/>
    <n v="5"/>
  </r>
  <r>
    <d v="2023-05-28T00:00:00"/>
    <x v="2"/>
    <x v="0"/>
    <x v="2"/>
    <x v="2"/>
    <x v="5"/>
    <n v="2"/>
    <n v="294.27"/>
    <s v="Store C"/>
    <x v="1"/>
    <n v="0.1"/>
    <x v="4"/>
    <n v="529.68600000000004"/>
    <n v="353.12399999999997"/>
    <n v="167.51200000000006"/>
    <n v="0.31624773922663624"/>
    <n v="529.68600000000004"/>
    <s v="Gift Card"/>
    <m/>
    <x v="1"/>
    <n v="0"/>
    <x v="0"/>
    <x v="714"/>
    <s v="Cust 9029"/>
    <n v="9.0500000000000007"/>
    <d v="2023-05-28T00:00:00"/>
    <d v="2023-06-01T00:00:00"/>
    <s v="Ryan"/>
    <n v="4"/>
  </r>
  <r>
    <d v="2025-05-21T00:00:00"/>
    <x v="2"/>
    <x v="2"/>
    <x v="13"/>
    <x v="4"/>
    <x v="4"/>
    <n v="1"/>
    <n v="319.49"/>
    <s v="Store C"/>
    <x v="0"/>
    <n v="0.15"/>
    <x v="4"/>
    <n v="271.56650000000002"/>
    <n v="191.69399999999999"/>
    <n v="61.772500000000029"/>
    <n v="0.22746730542979354"/>
    <n v="271.56650000000002"/>
    <s v="Online"/>
    <s v="FREESHIP"/>
    <x v="0"/>
    <n v="1"/>
    <x v="1"/>
    <x v="715"/>
    <s v="Cust 9555"/>
    <n v="18.100000000000001"/>
    <d v="2025-05-21T00:00:00"/>
    <d v="2025-05-31T00:00:00"/>
    <s v="Wendy"/>
    <n v="10"/>
  </r>
  <r>
    <d v="2023-09-30T00:00:00"/>
    <x v="11"/>
    <x v="0"/>
    <x v="22"/>
    <x v="0"/>
    <x v="0"/>
    <n v="14"/>
    <n v="243.96"/>
    <s v="Store D"/>
    <x v="0"/>
    <n v="0.05"/>
    <x v="4"/>
    <n v="3244.6680000000001"/>
    <n v="2049.2640000000001"/>
    <n v="1182.164"/>
    <n v="0.36434051187979788"/>
    <n v="3244.6680000000001"/>
    <s v="Online"/>
    <m/>
    <x v="1"/>
    <n v="1"/>
    <x v="1"/>
    <x v="716"/>
    <s v="Cust 2484"/>
    <n v="13.24"/>
    <d v="2023-09-30T00:00:00"/>
    <d v="2023-10-04T00:00:00"/>
    <s v="Eric"/>
    <n v="4"/>
  </r>
  <r>
    <d v="2024-10-08T00:00:00"/>
    <x v="5"/>
    <x v="1"/>
    <x v="7"/>
    <x v="1"/>
    <x v="0"/>
    <n v="6"/>
    <n v="48.48"/>
    <s v="Store D"/>
    <x v="1"/>
    <n v="0.1"/>
    <x v="4"/>
    <n v="261.79200000000003"/>
    <n v="174.52799999999999"/>
    <n v="81.154000000000039"/>
    <n v="0.30999419386383092"/>
    <n v="261.79199999999997"/>
    <s v="Online"/>
    <m/>
    <x v="1"/>
    <n v="0"/>
    <x v="0"/>
    <x v="717"/>
    <s v="Cust 4763"/>
    <n v="6.11"/>
    <d v="2024-10-08T00:00:00"/>
    <d v="2024-10-13T00:00:00"/>
    <s v="Sophie"/>
    <n v="5"/>
  </r>
  <r>
    <d v="2023-04-14T00:00:00"/>
    <x v="7"/>
    <x v="0"/>
    <x v="21"/>
    <x v="0"/>
    <x v="0"/>
    <n v="20"/>
    <n v="87.47"/>
    <s v="Store B"/>
    <x v="1"/>
    <n v="0"/>
    <x v="3"/>
    <n v="1749.4"/>
    <n v="1049.6399999999999"/>
    <n v="651.2800000000002"/>
    <n v="0.37228764147707794"/>
    <n v="1749.4"/>
    <s v="Online"/>
    <s v="WINTER15"/>
    <x v="0"/>
    <n v="0"/>
    <x v="0"/>
    <x v="718"/>
    <s v="Cust 5016"/>
    <n v="48.48"/>
    <d v="2023-04-14T00:00:00"/>
    <d v="2023-04-23T00:00:00"/>
    <s v="Eric"/>
    <n v="9"/>
  </r>
  <r>
    <d v="2023-03-05T00:00:00"/>
    <x v="6"/>
    <x v="0"/>
    <x v="17"/>
    <x v="1"/>
    <x v="4"/>
    <n v="17"/>
    <n v="465.6"/>
    <s v="Store C"/>
    <x v="1"/>
    <n v="0.1"/>
    <x v="5"/>
    <n v="7123.6800000000012"/>
    <n v="4749.12"/>
    <n v="2366.8000000000011"/>
    <n v="0.33224400871459703"/>
    <n v="7123.6800000000012"/>
    <s v="Debit Card"/>
    <s v="SAVE10"/>
    <x v="0"/>
    <n v="0"/>
    <x v="0"/>
    <x v="719"/>
    <s v="Cust 5528"/>
    <n v="7.76"/>
    <d v="2023-03-05T00:00:00"/>
    <d v="2023-03-10T00:00:00"/>
    <s v="Sophie"/>
    <n v="5"/>
  </r>
  <r>
    <d v="2024-07-17T00:00:00"/>
    <x v="8"/>
    <x v="1"/>
    <x v="10"/>
    <x v="2"/>
    <x v="2"/>
    <n v="17"/>
    <n v="279.38"/>
    <s v="Store B"/>
    <x v="0"/>
    <n v="0.05"/>
    <x v="2"/>
    <n v="4511.9870000000001"/>
    <n v="2849.6759999999999"/>
    <n v="1632.0110000000002"/>
    <n v="0.36170560775108618"/>
    <n v="4511.9870000000001"/>
    <s v="Credit Card"/>
    <s v="WINTER15"/>
    <x v="0"/>
    <n v="0"/>
    <x v="0"/>
    <x v="720"/>
    <s v="Cust 6922"/>
    <n v="30.3"/>
    <d v="2024-07-17T00:00:00"/>
    <d v="2024-07-20T00:00:00"/>
    <s v="Ryan"/>
    <n v="3"/>
  </r>
  <r>
    <d v="2024-05-20T00:00:00"/>
    <x v="2"/>
    <x v="1"/>
    <x v="14"/>
    <x v="2"/>
    <x v="5"/>
    <n v="16"/>
    <n v="427.68"/>
    <s v="Store A"/>
    <x v="1"/>
    <n v="0.1"/>
    <x v="3"/>
    <n v="6158.5920000000006"/>
    <n v="4105.7280000000001"/>
    <n v="2034.1440000000005"/>
    <n v="0.33029367751589978"/>
    <n v="6158.5920000000006"/>
    <s v="Debit Card"/>
    <m/>
    <x v="1"/>
    <n v="0"/>
    <x v="0"/>
    <x v="721"/>
    <s v="Cust 4807"/>
    <n v="18.72"/>
    <d v="2024-05-20T00:00:00"/>
    <d v="2024-05-29T00:00:00"/>
    <s v="Ryan"/>
    <n v="9"/>
  </r>
  <r>
    <d v="2025-05-06T00:00:00"/>
    <x v="2"/>
    <x v="2"/>
    <x v="13"/>
    <x v="2"/>
    <x v="0"/>
    <n v="15"/>
    <n v="281.73"/>
    <s v="Store B"/>
    <x v="0"/>
    <n v="0.1"/>
    <x v="5"/>
    <n v="3803.3550000000009"/>
    <n v="2535.5700000000002"/>
    <n v="1230.9150000000009"/>
    <n v="0.32363926060018078"/>
    <n v="3803.3550000000009"/>
    <s v="Credit Card"/>
    <s v="WINTER15"/>
    <x v="0"/>
    <n v="0"/>
    <x v="0"/>
    <x v="722"/>
    <s v="Cust 3368"/>
    <n v="36.869999999999997"/>
    <d v="2025-05-06T00:00:00"/>
    <d v="2025-05-10T00:00:00"/>
    <s v="Ryan"/>
    <n v="4"/>
  </r>
  <r>
    <d v="2023-01-15T00:00:00"/>
    <x v="4"/>
    <x v="0"/>
    <x v="6"/>
    <x v="2"/>
    <x v="2"/>
    <n v="15"/>
    <n v="185"/>
    <s v="Store B"/>
    <x v="0"/>
    <n v="0"/>
    <x v="1"/>
    <n v="2775"/>
    <n v="1665"/>
    <n v="1080.69"/>
    <n v="0.38943783783783786"/>
    <n v="2775"/>
    <s v="Cash"/>
    <s v="FREESHIP"/>
    <x v="0"/>
    <n v="0"/>
    <x v="0"/>
    <x v="723"/>
    <s v="Cust 2871"/>
    <n v="29.31"/>
    <d v="2023-01-15T00:00:00"/>
    <d v="2023-01-17T00:00:00"/>
    <s v="Ryan"/>
    <n v="2"/>
  </r>
  <r>
    <d v="2024-01-09T00:00:00"/>
    <x v="4"/>
    <x v="1"/>
    <x v="24"/>
    <x v="3"/>
    <x v="4"/>
    <n v="19"/>
    <n v="380.82"/>
    <s v="Store D"/>
    <x v="0"/>
    <n v="0.1"/>
    <x v="4"/>
    <n v="6512.0219999999999"/>
    <n v="4341.348"/>
    <n v="2121.944"/>
    <n v="0.32585025050591043"/>
    <n v="6512.0219999999999"/>
    <s v="Credit Card"/>
    <s v="SAVE10"/>
    <x v="0"/>
    <n v="0"/>
    <x v="0"/>
    <x v="724"/>
    <s v="Cust 6229"/>
    <n v="48.73"/>
    <d v="2024-01-09T00:00:00"/>
    <d v="2024-01-12T00:00:00"/>
    <s v="Cameron"/>
    <n v="3"/>
  </r>
  <r>
    <d v="2023-07-12T00:00:00"/>
    <x v="8"/>
    <x v="0"/>
    <x v="11"/>
    <x v="1"/>
    <x v="3"/>
    <n v="4"/>
    <n v="444.87"/>
    <s v="Store B"/>
    <x v="1"/>
    <n v="0.15"/>
    <x v="3"/>
    <n v="1512.558"/>
    <n v="1067.6879999999999"/>
    <n v="397.73000000000013"/>
    <n v="0.26295190002631313"/>
    <n v="1512.558"/>
    <s v="Online"/>
    <s v="FREESHIP"/>
    <x v="0"/>
    <n v="0"/>
    <x v="0"/>
    <x v="725"/>
    <s v="Cust 4560"/>
    <n v="47.14"/>
    <d v="2023-07-12T00:00:00"/>
    <d v="2023-07-21T00:00:00"/>
    <s v="Sophie"/>
    <n v="9"/>
  </r>
  <r>
    <d v="2025-06-21T00:00:00"/>
    <x v="3"/>
    <x v="2"/>
    <x v="16"/>
    <x v="0"/>
    <x v="3"/>
    <n v="7"/>
    <n v="590.79"/>
    <s v="Store B"/>
    <x v="1"/>
    <n v="0.05"/>
    <x v="0"/>
    <n v="3928.7534999999993"/>
    <n v="2481.3179999999998"/>
    <n v="1406.0454999999995"/>
    <n v="0.35788590452417024"/>
    <n v="3928.7534999999989"/>
    <s v="Cash"/>
    <s v="FREESHIP"/>
    <x v="0"/>
    <n v="1"/>
    <x v="1"/>
    <x v="726"/>
    <s v="Cust 7099"/>
    <n v="41.39"/>
    <d v="2025-06-21T00:00:00"/>
    <d v="2025-06-26T00:00:00"/>
    <s v="Eric"/>
    <n v="5"/>
  </r>
  <r>
    <d v="2024-12-29T00:00:00"/>
    <x v="1"/>
    <x v="1"/>
    <x v="1"/>
    <x v="2"/>
    <x v="6"/>
    <n v="5"/>
    <n v="34.58"/>
    <s v="Store A"/>
    <x v="1"/>
    <n v="0.1"/>
    <x v="2"/>
    <n v="155.60999999999999"/>
    <n v="103.73999999999998"/>
    <n v="24.770000000000003"/>
    <n v="0.15918000128526447"/>
    <n v="155.61000000000001"/>
    <s v="Gift Card"/>
    <s v="WINTER15"/>
    <x v="0"/>
    <n v="0"/>
    <x v="0"/>
    <x v="727"/>
    <s v="Cust 6333"/>
    <n v="27.1"/>
    <d v="2024-12-29T00:00:00"/>
    <d v="2025-01-02T00:00:00"/>
    <s v="Ryan"/>
    <n v="4"/>
  </r>
  <r>
    <d v="2023-05-23T00:00:00"/>
    <x v="2"/>
    <x v="0"/>
    <x v="2"/>
    <x v="4"/>
    <x v="5"/>
    <n v="9"/>
    <n v="438.22"/>
    <s v="Store D"/>
    <x v="1"/>
    <n v="0.05"/>
    <x v="5"/>
    <n v="3746.7810000000004"/>
    <n v="2366.3879999999999"/>
    <n v="1357.6630000000005"/>
    <n v="0.36235451177957834"/>
    <n v="3746.7809999999999"/>
    <s v="Cash"/>
    <m/>
    <x v="1"/>
    <n v="0"/>
    <x v="0"/>
    <x v="728"/>
    <s v="Cust 4678"/>
    <n v="22.73"/>
    <d v="2023-05-23T00:00:00"/>
    <d v="2023-05-29T00:00:00"/>
    <s v="Wendy"/>
    <n v="6"/>
  </r>
  <r>
    <d v="2024-04-03T00:00:00"/>
    <x v="7"/>
    <x v="1"/>
    <x v="9"/>
    <x v="3"/>
    <x v="2"/>
    <n v="5"/>
    <n v="84.91"/>
    <s v="Store A"/>
    <x v="1"/>
    <n v="0.1"/>
    <x v="3"/>
    <n v="382.09499999999997"/>
    <n v="254.73"/>
    <n v="98.304999999999978"/>
    <n v="0.2572789489524856"/>
    <n v="382.09500000000003"/>
    <s v="Cash"/>
    <s v="FREESHIP"/>
    <x v="0"/>
    <n v="1"/>
    <x v="1"/>
    <x v="729"/>
    <s v="Cust 6657"/>
    <n v="29.06"/>
    <d v="2024-04-03T00:00:00"/>
    <d v="2024-04-09T00:00:00"/>
    <s v="Cameron"/>
    <n v="6"/>
  </r>
  <r>
    <d v="2024-01-17T00:00:00"/>
    <x v="4"/>
    <x v="1"/>
    <x v="24"/>
    <x v="0"/>
    <x v="0"/>
    <n v="7"/>
    <n v="322.11"/>
    <s v="Store C"/>
    <x v="0"/>
    <n v="0.1"/>
    <x v="4"/>
    <n v="2029.2930000000001"/>
    <n v="1352.8619999999999"/>
    <n v="656.5210000000003"/>
    <n v="0.32352203452138267"/>
    <n v="2029.2929999999999"/>
    <s v="Debit Card"/>
    <s v="SAVE10"/>
    <x v="0"/>
    <n v="0"/>
    <x v="0"/>
    <x v="730"/>
    <s v="Cust 1267"/>
    <n v="19.91"/>
    <d v="2024-01-17T00:00:00"/>
    <d v="2024-01-27T00:00:00"/>
    <s v="Eric"/>
    <n v="10"/>
  </r>
  <r>
    <d v="2025-04-05T00:00:00"/>
    <x v="7"/>
    <x v="2"/>
    <x v="28"/>
    <x v="3"/>
    <x v="4"/>
    <n v="2"/>
    <n v="231.96"/>
    <s v="Store B"/>
    <x v="1"/>
    <n v="0.1"/>
    <x v="1"/>
    <n v="417.52800000000002"/>
    <n v="278.35199999999998"/>
    <n v="106.51600000000005"/>
    <n v="0.25511103446954464"/>
    <n v="417.52800000000002"/>
    <s v="Debit Card"/>
    <m/>
    <x v="1"/>
    <n v="1"/>
    <x v="1"/>
    <x v="731"/>
    <s v="Cust 8150"/>
    <n v="32.659999999999997"/>
    <d v="2025-04-05T00:00:00"/>
    <d v="2025-04-14T00:00:00"/>
    <s v="Cameron"/>
    <n v="9"/>
  </r>
  <r>
    <d v="2025-04-17T00:00:00"/>
    <x v="7"/>
    <x v="2"/>
    <x v="28"/>
    <x v="3"/>
    <x v="3"/>
    <n v="15"/>
    <n v="242.07"/>
    <s v="Store A"/>
    <x v="0"/>
    <n v="0.15"/>
    <x v="5"/>
    <n v="3086.3924999999995"/>
    <n v="2178.6299999999997"/>
    <n v="888.58249999999987"/>
    <n v="0.2879032721858934"/>
    <n v="3086.392499999999"/>
    <s v="Credit Card"/>
    <m/>
    <x v="1"/>
    <n v="0"/>
    <x v="0"/>
    <x v="732"/>
    <s v="Cust 3668"/>
    <n v="19.18"/>
    <d v="2025-04-17T00:00:00"/>
    <d v="2025-04-23T00:00:00"/>
    <s v="Cameron"/>
    <n v="6"/>
  </r>
  <r>
    <d v="2024-10-12T00:00:00"/>
    <x v="5"/>
    <x v="1"/>
    <x v="7"/>
    <x v="3"/>
    <x v="0"/>
    <n v="2"/>
    <n v="48.02"/>
    <s v="Store C"/>
    <x v="1"/>
    <n v="0.05"/>
    <x v="3"/>
    <n v="91.238"/>
    <n v="57.624000000000002"/>
    <n v="7.8039999999999985"/>
    <n v="8.5534536048576235E-2"/>
    <n v="91.238"/>
    <s v="Debit Card"/>
    <s v="FREESHIP"/>
    <x v="0"/>
    <n v="1"/>
    <x v="1"/>
    <x v="733"/>
    <s v="Cust 4803"/>
    <n v="25.81"/>
    <d v="2024-10-12T00:00:00"/>
    <d v="2024-10-15T00:00:00"/>
    <s v="Cameron"/>
    <n v="3"/>
  </r>
  <r>
    <d v="2024-07-27T00:00:00"/>
    <x v="8"/>
    <x v="1"/>
    <x v="10"/>
    <x v="3"/>
    <x v="3"/>
    <n v="1"/>
    <n v="534.28"/>
    <s v="Store D"/>
    <x v="0"/>
    <n v="0.1"/>
    <x v="0"/>
    <n v="480.85199999999998"/>
    <n v="320.56799999999998"/>
    <n v="128.98399999999998"/>
    <n v="0.26824053970868372"/>
    <n v="480.85199999999998"/>
    <s v="Online"/>
    <s v="FREESHIP"/>
    <x v="0"/>
    <n v="0"/>
    <x v="0"/>
    <x v="734"/>
    <s v="Cust 8633"/>
    <n v="31.3"/>
    <d v="2024-07-27T00:00:00"/>
    <d v="2024-08-01T00:00:00"/>
    <s v="Cameron"/>
    <n v="5"/>
  </r>
  <r>
    <d v="2025-01-10T00:00:00"/>
    <x v="4"/>
    <x v="2"/>
    <x v="12"/>
    <x v="4"/>
    <x v="5"/>
    <n v="3"/>
    <n v="98.15"/>
    <s v="Store D"/>
    <x v="0"/>
    <n v="0.15"/>
    <x v="4"/>
    <n v="250.28250000000003"/>
    <n v="176.67000000000002"/>
    <n v="27.242500000000014"/>
    <n v="0.10884700288673803"/>
    <n v="250.2825"/>
    <s v="Debit Card"/>
    <s v="SAVE10"/>
    <x v="0"/>
    <n v="0"/>
    <x v="0"/>
    <x v="735"/>
    <s v="Cust 7235"/>
    <n v="46.37"/>
    <d v="2025-01-10T00:00:00"/>
    <d v="2025-01-18T00:00:00"/>
    <s v="Wendy"/>
    <n v="8"/>
  </r>
  <r>
    <d v="2024-07-25T00:00:00"/>
    <x v="8"/>
    <x v="1"/>
    <x v="10"/>
    <x v="1"/>
    <x v="3"/>
    <n v="12"/>
    <n v="61.85"/>
    <s v="Store D"/>
    <x v="0"/>
    <n v="0.05"/>
    <x v="1"/>
    <n v="705.09"/>
    <n v="445.32"/>
    <n v="235.43000000000004"/>
    <n v="0.33390063679813931"/>
    <n v="705.09"/>
    <s v="Credit Card"/>
    <m/>
    <x v="1"/>
    <n v="1"/>
    <x v="1"/>
    <x v="736"/>
    <s v="Cust 8992"/>
    <n v="24.34"/>
    <d v="2024-07-25T00:00:00"/>
    <d v="2024-07-31T00:00:00"/>
    <s v="Sophie"/>
    <n v="6"/>
  </r>
  <r>
    <d v="2024-05-22T00:00:00"/>
    <x v="2"/>
    <x v="1"/>
    <x v="14"/>
    <x v="4"/>
    <x v="5"/>
    <n v="6"/>
    <n v="268.33999999999997"/>
    <s v="Store A"/>
    <x v="0"/>
    <n v="0.1"/>
    <x v="4"/>
    <n v="1449.0360000000001"/>
    <n v="966.02399999999989"/>
    <n v="447.32200000000017"/>
    <n v="0.30870316541480003"/>
    <n v="1449.0360000000001"/>
    <s v="Debit Card"/>
    <s v="WINTER15"/>
    <x v="0"/>
    <n v="1"/>
    <x v="1"/>
    <x v="737"/>
    <s v="Cust 1889"/>
    <n v="35.69"/>
    <d v="2024-05-22T00:00:00"/>
    <d v="2024-05-25T00:00:00"/>
    <s v="Wendy"/>
    <n v="3"/>
  </r>
  <r>
    <d v="2024-08-10T00:00:00"/>
    <x v="10"/>
    <x v="1"/>
    <x v="29"/>
    <x v="3"/>
    <x v="2"/>
    <n v="4"/>
    <n v="529.03"/>
    <s v="Store B"/>
    <x v="0"/>
    <n v="0.05"/>
    <x v="3"/>
    <n v="2010.3139999999999"/>
    <n v="1269.6719999999998"/>
    <n v="714.68200000000002"/>
    <n v="0.35550764706409049"/>
    <n v="2010.3140000000001"/>
    <s v="Online"/>
    <s v="SAVE10"/>
    <x v="0"/>
    <n v="0"/>
    <x v="0"/>
    <x v="738"/>
    <s v="Cust 5411"/>
    <n v="25.96"/>
    <d v="2024-08-10T00:00:00"/>
    <d v="2024-08-20T00:00:00"/>
    <s v="Cameron"/>
    <n v="10"/>
  </r>
  <r>
    <d v="2023-04-27T00:00:00"/>
    <x v="7"/>
    <x v="0"/>
    <x v="21"/>
    <x v="4"/>
    <x v="5"/>
    <n v="2"/>
    <n v="107.32"/>
    <s v="Store B"/>
    <x v="1"/>
    <n v="0.05"/>
    <x v="1"/>
    <n v="203.90799999999999"/>
    <n v="128.78399999999999"/>
    <n v="27.793999999999997"/>
    <n v="0.13630656962944071"/>
    <n v="203.90799999999999"/>
    <s v="Credit Card"/>
    <m/>
    <x v="1"/>
    <n v="0"/>
    <x v="0"/>
    <x v="739"/>
    <s v="Cust 3411"/>
    <n v="47.33"/>
    <d v="2023-04-27T00:00:00"/>
    <d v="2023-04-29T00:00:00"/>
    <s v="Wendy"/>
    <n v="2"/>
  </r>
  <r>
    <d v="2023-06-21T00:00:00"/>
    <x v="3"/>
    <x v="0"/>
    <x v="4"/>
    <x v="1"/>
    <x v="5"/>
    <n v="1"/>
    <n v="500.96"/>
    <s v="Store C"/>
    <x v="0"/>
    <n v="0.05"/>
    <x v="2"/>
    <n v="475.91199999999998"/>
    <n v="300.57599999999996"/>
    <n v="133.23600000000002"/>
    <n v="0.27995932021045911"/>
    <n v="475.91199999999998"/>
    <s v="Online"/>
    <s v="WINTER15"/>
    <x v="0"/>
    <n v="0"/>
    <x v="0"/>
    <x v="740"/>
    <s v="Cust 7449"/>
    <n v="42.1"/>
    <d v="2023-06-21T00:00:00"/>
    <d v="2023-06-25T00:00:00"/>
    <s v="Sophie"/>
    <n v="4"/>
  </r>
  <r>
    <d v="2024-10-11T00:00:00"/>
    <x v="5"/>
    <x v="1"/>
    <x v="7"/>
    <x v="4"/>
    <x v="6"/>
    <n v="17"/>
    <n v="549.78"/>
    <s v="Store B"/>
    <x v="0"/>
    <n v="0.05"/>
    <x v="1"/>
    <n v="8878.9470000000001"/>
    <n v="5607.7560000000003"/>
    <n v="3226.7709999999997"/>
    <n v="0.36341820713649936"/>
    <n v="8878.9470000000001"/>
    <s v="Credit Card"/>
    <m/>
    <x v="1"/>
    <n v="1"/>
    <x v="1"/>
    <x v="741"/>
    <s v="Cust 4788"/>
    <n v="44.42"/>
    <d v="2024-10-11T00:00:00"/>
    <d v="2024-10-14T00:00:00"/>
    <s v="Wendy"/>
    <n v="3"/>
  </r>
  <r>
    <d v="2025-01-26T00:00:00"/>
    <x v="4"/>
    <x v="2"/>
    <x v="12"/>
    <x v="2"/>
    <x v="0"/>
    <n v="3"/>
    <n v="58.51"/>
    <s v="Store A"/>
    <x v="1"/>
    <n v="0.05"/>
    <x v="3"/>
    <n v="166.7535"/>
    <n v="105.31799999999998"/>
    <n v="37.865500000000019"/>
    <n v="0.22707469408438213"/>
    <n v="166.7535"/>
    <s v="Cash"/>
    <s v="WINTER15"/>
    <x v="0"/>
    <n v="0"/>
    <x v="0"/>
    <x v="742"/>
    <s v="Cust 3564"/>
    <n v="23.57"/>
    <d v="2025-01-26T00:00:00"/>
    <d v="2025-01-30T00:00:00"/>
    <s v="Ryan"/>
    <n v="4"/>
  </r>
  <r>
    <d v="2024-06-18T00:00:00"/>
    <x v="3"/>
    <x v="1"/>
    <x v="23"/>
    <x v="1"/>
    <x v="3"/>
    <n v="17"/>
    <n v="504.08"/>
    <s v="Store A"/>
    <x v="0"/>
    <n v="0.1"/>
    <x v="4"/>
    <n v="7712.4240000000009"/>
    <n v="5141.616"/>
    <n v="2544.3380000000011"/>
    <n v="0.32990120875097129"/>
    <n v="7712.4240000000009"/>
    <s v="Online"/>
    <s v="SAVE10"/>
    <x v="0"/>
    <n v="0"/>
    <x v="0"/>
    <x v="743"/>
    <s v="Cust 8018"/>
    <n v="26.47"/>
    <d v="2024-06-18T00:00:00"/>
    <d v="2024-06-26T00:00:00"/>
    <s v="Sophie"/>
    <n v="8"/>
  </r>
  <r>
    <d v="2025-06-18T00:00:00"/>
    <x v="3"/>
    <x v="2"/>
    <x v="16"/>
    <x v="0"/>
    <x v="4"/>
    <n v="17"/>
    <n v="419.63"/>
    <s v="Store D"/>
    <x v="0"/>
    <n v="0"/>
    <x v="1"/>
    <n v="7133.71"/>
    <n v="4280.2259999999997"/>
    <n v="2836.0840000000003"/>
    <n v="0.39756087645839266"/>
    <n v="7133.71"/>
    <s v="Cash"/>
    <s v="SAVE10"/>
    <x v="0"/>
    <n v="0"/>
    <x v="0"/>
    <x v="744"/>
    <s v="Cust 3045"/>
    <n v="17.399999999999999"/>
    <d v="2025-06-18T00:00:00"/>
    <d v="2025-06-24T00:00:00"/>
    <s v="Eric"/>
    <n v="6"/>
  </r>
  <r>
    <d v="2024-10-29T00:00:00"/>
    <x v="5"/>
    <x v="1"/>
    <x v="7"/>
    <x v="1"/>
    <x v="0"/>
    <n v="2"/>
    <n v="267.36"/>
    <s v="Store B"/>
    <x v="0"/>
    <n v="0.05"/>
    <x v="2"/>
    <n v="507.98399999999998"/>
    <n v="320.83199999999999"/>
    <n v="165.79199999999997"/>
    <n v="0.32637248417272979"/>
    <n v="507.98399999999998"/>
    <s v="Online"/>
    <m/>
    <x v="1"/>
    <n v="0"/>
    <x v="0"/>
    <x v="745"/>
    <s v="Cust 7020"/>
    <n v="21.36"/>
    <d v="2024-10-29T00:00:00"/>
    <d v="2024-11-07T00:00:00"/>
    <s v="Sophie"/>
    <n v="9"/>
  </r>
  <r>
    <d v="2025-04-08T00:00:00"/>
    <x v="7"/>
    <x v="2"/>
    <x v="28"/>
    <x v="3"/>
    <x v="1"/>
    <n v="2"/>
    <n v="298.06"/>
    <s v="Store B"/>
    <x v="0"/>
    <n v="0"/>
    <x v="1"/>
    <n v="596.12"/>
    <n v="357.67199999999997"/>
    <n v="203.07800000000003"/>
    <n v="0.34066630879688659"/>
    <n v="596.12"/>
    <s v="Debit Card"/>
    <s v="SAVE10"/>
    <x v="0"/>
    <n v="1"/>
    <x v="1"/>
    <x v="746"/>
    <s v="Cust 1905"/>
    <n v="35.369999999999997"/>
    <d v="2025-04-08T00:00:00"/>
    <d v="2025-04-14T00:00:00"/>
    <s v="Cameron"/>
    <n v="6"/>
  </r>
  <r>
    <d v="2023-01-31T00:00:00"/>
    <x v="4"/>
    <x v="0"/>
    <x v="6"/>
    <x v="3"/>
    <x v="5"/>
    <n v="13"/>
    <n v="132.97"/>
    <s v="Store B"/>
    <x v="0"/>
    <n v="0.05"/>
    <x v="2"/>
    <n v="1642.1794999999997"/>
    <n v="1037.1659999999999"/>
    <n v="562.14349999999979"/>
    <n v="0.3423155020507806"/>
    <n v="1642.1795"/>
    <s v="Debit Card"/>
    <s v="WINTER15"/>
    <x v="0"/>
    <n v="0"/>
    <x v="0"/>
    <x v="747"/>
    <s v="Cust 4592"/>
    <n v="42.87"/>
    <d v="2023-01-31T00:00:00"/>
    <d v="2023-02-05T00:00:00"/>
    <s v="Cameron"/>
    <n v="5"/>
  </r>
  <r>
    <d v="2024-03-15T00:00:00"/>
    <x v="6"/>
    <x v="1"/>
    <x v="25"/>
    <x v="4"/>
    <x v="3"/>
    <n v="14"/>
    <n v="476.28"/>
    <s v="Store A"/>
    <x v="0"/>
    <n v="0.1"/>
    <x v="0"/>
    <n v="6001.1280000000006"/>
    <n v="4000.7519999999995"/>
    <n v="1978.2660000000012"/>
    <n v="0.32964902598311535"/>
    <n v="6001.1280000000006"/>
    <s v="Credit Card"/>
    <s v="FREESHIP"/>
    <x v="0"/>
    <n v="0"/>
    <x v="0"/>
    <x v="748"/>
    <s v="Cust 5482"/>
    <n v="22.11"/>
    <d v="2024-03-15T00:00:00"/>
    <d v="2024-03-20T00:00:00"/>
    <s v="Wendy"/>
    <n v="5"/>
  </r>
  <r>
    <d v="2023-06-23T00:00:00"/>
    <x v="3"/>
    <x v="0"/>
    <x v="4"/>
    <x v="2"/>
    <x v="5"/>
    <n v="16"/>
    <n v="294.88"/>
    <s v="Store B"/>
    <x v="1"/>
    <n v="0.05"/>
    <x v="2"/>
    <n v="4482.1759999999995"/>
    <n v="2830.848"/>
    <n v="1634.1379999999995"/>
    <n v="0.36458586186709308"/>
    <n v="4482.1759999999986"/>
    <s v="Cash"/>
    <m/>
    <x v="1"/>
    <n v="1"/>
    <x v="1"/>
    <x v="749"/>
    <s v="Cust 1947"/>
    <n v="17.190000000000001"/>
    <d v="2023-06-23T00:00:00"/>
    <d v="2023-06-27T00:00:00"/>
    <s v="Ryan"/>
    <n v="4"/>
  </r>
  <r>
    <d v="2024-06-14T00:00:00"/>
    <x v="3"/>
    <x v="1"/>
    <x v="23"/>
    <x v="2"/>
    <x v="4"/>
    <n v="19"/>
    <n v="596.03"/>
    <s v="Store C"/>
    <x v="1"/>
    <n v="0.15"/>
    <x v="0"/>
    <n v="9625.8845000000001"/>
    <n v="6794.7420000000002"/>
    <n v="2799.1925000000001"/>
    <n v="0.29079847155863964"/>
    <n v="9625.8845000000001"/>
    <s v="Debit Card"/>
    <m/>
    <x v="1"/>
    <n v="0"/>
    <x v="0"/>
    <x v="750"/>
    <s v="Cust 2801"/>
    <n v="31.95"/>
    <d v="2024-06-14T00:00:00"/>
    <d v="2024-06-23T00:00:00"/>
    <s v="Ryan"/>
    <n v="9"/>
  </r>
  <r>
    <d v="2023-11-30T00:00:00"/>
    <x v="9"/>
    <x v="0"/>
    <x v="15"/>
    <x v="4"/>
    <x v="2"/>
    <n v="6"/>
    <n v="182.4"/>
    <s v="Store B"/>
    <x v="0"/>
    <n v="0"/>
    <x v="1"/>
    <n v="1094.4000000000001"/>
    <n v="656.64"/>
    <n v="388.2700000000001"/>
    <n v="0.35477887426900589"/>
    <n v="1094.4000000000001"/>
    <s v="Online"/>
    <s v="FREESHIP"/>
    <x v="0"/>
    <n v="1"/>
    <x v="1"/>
    <x v="751"/>
    <s v="Cust 8206"/>
    <n v="49.49"/>
    <d v="2023-11-30T00:00:00"/>
    <d v="2023-12-09T00:00:00"/>
    <s v="Wendy"/>
    <n v="9"/>
  </r>
  <r>
    <d v="2024-04-21T00:00:00"/>
    <x v="7"/>
    <x v="1"/>
    <x v="9"/>
    <x v="2"/>
    <x v="0"/>
    <n v="10"/>
    <n v="400.95"/>
    <s v="Store C"/>
    <x v="1"/>
    <n v="0.05"/>
    <x v="3"/>
    <n v="3809.0249999999996"/>
    <n v="2405.6999999999998"/>
    <n v="1385.8649999999998"/>
    <n v="0.36383720243369366"/>
    <n v="3809.0250000000001"/>
    <s v="Online"/>
    <m/>
    <x v="1"/>
    <n v="0"/>
    <x v="0"/>
    <x v="752"/>
    <s v="Cust 5277"/>
    <n v="17.46"/>
    <d v="2024-04-21T00:00:00"/>
    <d v="2024-04-30T00:00:00"/>
    <s v="Ryan"/>
    <n v="9"/>
  </r>
  <r>
    <d v="2023-08-06T00:00:00"/>
    <x v="10"/>
    <x v="0"/>
    <x v="18"/>
    <x v="0"/>
    <x v="2"/>
    <n v="7"/>
    <n v="373.66"/>
    <s v="Store B"/>
    <x v="1"/>
    <n v="0.05"/>
    <x v="1"/>
    <n v="2484.8390000000004"/>
    <n v="1569.3720000000001"/>
    <n v="869.13700000000028"/>
    <n v="0.34977598146197808"/>
    <n v="2484.8389999999999"/>
    <s v="Gift Card"/>
    <s v="SAVE10"/>
    <x v="0"/>
    <n v="0"/>
    <x v="0"/>
    <x v="753"/>
    <s v="Cust 8900"/>
    <n v="46.33"/>
    <d v="2023-08-06T00:00:00"/>
    <d v="2023-08-12T00:00:00"/>
    <s v="Eric"/>
    <n v="6"/>
  </r>
  <r>
    <d v="2024-06-21T00:00:00"/>
    <x v="3"/>
    <x v="1"/>
    <x v="23"/>
    <x v="4"/>
    <x v="2"/>
    <n v="7"/>
    <n v="355.66"/>
    <s v="Store C"/>
    <x v="1"/>
    <n v="0.15"/>
    <x v="3"/>
    <n v="2116.1770000000001"/>
    <n v="1493.7720000000002"/>
    <n v="593.63499999999999"/>
    <n v="0.28052237596382529"/>
    <n v="2116.1770000000001"/>
    <s v="Gift Card"/>
    <s v="FREESHIP"/>
    <x v="0"/>
    <n v="1"/>
    <x v="1"/>
    <x v="754"/>
    <s v="Cust 9387"/>
    <n v="28.77"/>
    <d v="2024-06-21T00:00:00"/>
    <d v="2024-06-27T00:00:00"/>
    <s v="Wendy"/>
    <n v="6"/>
  </r>
  <r>
    <d v="2025-03-16T00:00:00"/>
    <x v="6"/>
    <x v="2"/>
    <x v="8"/>
    <x v="2"/>
    <x v="5"/>
    <n v="12"/>
    <n v="260.31"/>
    <s v="Store C"/>
    <x v="1"/>
    <n v="0.1"/>
    <x v="5"/>
    <n v="2811.3480000000004"/>
    <n v="1874.232"/>
    <n v="922.5360000000004"/>
    <n v="0.32814720909684614"/>
    <n v="2811.348"/>
    <s v="Cash"/>
    <s v="SAVE10"/>
    <x v="0"/>
    <n v="0"/>
    <x v="0"/>
    <x v="755"/>
    <s v="Cust 7013"/>
    <n v="14.58"/>
    <d v="2025-03-16T00:00:00"/>
    <d v="2025-03-24T00:00:00"/>
    <s v="Ryan"/>
    <n v="8"/>
  </r>
  <r>
    <d v="2024-04-20T00:00:00"/>
    <x v="7"/>
    <x v="1"/>
    <x v="9"/>
    <x v="4"/>
    <x v="5"/>
    <n v="10"/>
    <n v="370.99"/>
    <s v="Store B"/>
    <x v="1"/>
    <n v="0.15"/>
    <x v="2"/>
    <n v="3153.415"/>
    <n v="2225.94"/>
    <n v="916.31499999999994"/>
    <n v="0.29057862666347434"/>
    <n v="3153.415"/>
    <s v="Online"/>
    <s v="SAVE10"/>
    <x v="0"/>
    <n v="1"/>
    <x v="1"/>
    <x v="756"/>
    <s v="Cust 4868"/>
    <n v="11.16"/>
    <d v="2024-04-20T00:00:00"/>
    <d v="2024-04-25T00:00:00"/>
    <s v="Wendy"/>
    <n v="5"/>
  </r>
  <r>
    <d v="2024-12-20T00:00:00"/>
    <x v="1"/>
    <x v="1"/>
    <x v="1"/>
    <x v="0"/>
    <x v="0"/>
    <n v="2"/>
    <n v="548.72"/>
    <s v="Store A"/>
    <x v="0"/>
    <n v="0.1"/>
    <x v="2"/>
    <n v="987.69600000000003"/>
    <n v="658.46400000000006"/>
    <n v="302.88199999999995"/>
    <n v="0.30665508415544857"/>
    <n v="987.69600000000003"/>
    <s v="Credit Card"/>
    <s v="FREESHIP"/>
    <x v="0"/>
    <n v="1"/>
    <x v="1"/>
    <x v="757"/>
    <s v="Cust 5239"/>
    <n v="26.35"/>
    <d v="2024-12-20T00:00:00"/>
    <d v="2024-12-29T00:00:00"/>
    <s v="Eric"/>
    <n v="9"/>
  </r>
  <r>
    <d v="2023-08-22T00:00:00"/>
    <x v="10"/>
    <x v="0"/>
    <x v="18"/>
    <x v="2"/>
    <x v="6"/>
    <n v="8"/>
    <n v="343.53"/>
    <s v="Store A"/>
    <x v="0"/>
    <n v="0"/>
    <x v="2"/>
    <n v="2748.24"/>
    <n v="1648.9439999999997"/>
    <n v="1083.1960000000001"/>
    <n v="0.39414170523680619"/>
    <n v="2748.24"/>
    <s v="Cash"/>
    <m/>
    <x v="1"/>
    <n v="0"/>
    <x v="0"/>
    <x v="758"/>
    <s v="Cust 4703"/>
    <n v="16.100000000000001"/>
    <d v="2023-08-22T00:00:00"/>
    <d v="2023-09-01T00:00:00"/>
    <s v="Ryan"/>
    <n v="10"/>
  </r>
  <r>
    <d v="2023-03-04T00:00:00"/>
    <x v="6"/>
    <x v="0"/>
    <x v="17"/>
    <x v="2"/>
    <x v="5"/>
    <n v="13"/>
    <n v="494.78"/>
    <s v="Store A"/>
    <x v="0"/>
    <n v="0.15"/>
    <x v="4"/>
    <n v="5467.3189999999995"/>
    <n v="3859.2840000000001"/>
    <n v="1602.1849999999995"/>
    <n v="0.29304765278923722"/>
    <n v="5467.3190000000004"/>
    <s v="Cash"/>
    <s v="FREESHIP"/>
    <x v="0"/>
    <n v="0"/>
    <x v="0"/>
    <x v="759"/>
    <s v="Cust 7224"/>
    <n v="5.85"/>
    <d v="2023-03-04T00:00:00"/>
    <d v="2023-03-13T00:00:00"/>
    <s v="Ryan"/>
    <n v="9"/>
  </r>
  <r>
    <d v="2024-06-24T00:00:00"/>
    <x v="3"/>
    <x v="1"/>
    <x v="23"/>
    <x v="2"/>
    <x v="0"/>
    <n v="9"/>
    <n v="36.619999999999997"/>
    <s v="Store B"/>
    <x v="0"/>
    <n v="0.1"/>
    <x v="0"/>
    <n v="296.62200000000001"/>
    <n v="197.74799999999999"/>
    <n v="68.974000000000018"/>
    <n v="0.23253163959517506"/>
    <n v="296.62200000000001"/>
    <s v="Debit Card"/>
    <s v="FREESHIP"/>
    <x v="0"/>
    <n v="1"/>
    <x v="1"/>
    <x v="760"/>
    <s v="Cust 4751"/>
    <n v="29.9"/>
    <d v="2024-06-24T00:00:00"/>
    <d v="2024-07-01T00:00:00"/>
    <s v="Ryan"/>
    <n v="7"/>
  </r>
  <r>
    <d v="2024-12-09T00:00:00"/>
    <x v="1"/>
    <x v="1"/>
    <x v="1"/>
    <x v="0"/>
    <x v="5"/>
    <n v="14"/>
    <n v="216.2"/>
    <s v="Store C"/>
    <x v="0"/>
    <n v="0"/>
    <x v="4"/>
    <n v="3026.7999999999997"/>
    <n v="1816.08"/>
    <n v="1196.3299999999997"/>
    <n v="0.39524580414959687"/>
    <n v="3026.8"/>
    <s v="Online"/>
    <s v="WINTER15"/>
    <x v="0"/>
    <n v="0"/>
    <x v="0"/>
    <x v="761"/>
    <s v="Cust 1201"/>
    <n v="14.39"/>
    <d v="2024-12-09T00:00:00"/>
    <d v="2024-12-13T00:00:00"/>
    <s v="Eric"/>
    <n v="4"/>
  </r>
  <r>
    <d v="2024-07-04T00:00:00"/>
    <x v="8"/>
    <x v="1"/>
    <x v="10"/>
    <x v="4"/>
    <x v="0"/>
    <n v="11"/>
    <n v="128.99"/>
    <s v="Store A"/>
    <x v="1"/>
    <n v="0.05"/>
    <x v="4"/>
    <n v="1347.9455"/>
    <n v="851.33400000000006"/>
    <n v="458.03149999999999"/>
    <n v="0.3397997174218097"/>
    <n v="1347.9455"/>
    <s v="Debit Card"/>
    <s v="SAVE10"/>
    <x v="0"/>
    <n v="0"/>
    <x v="0"/>
    <x v="762"/>
    <s v="Cust 9584"/>
    <n v="38.58"/>
    <d v="2024-07-04T00:00:00"/>
    <d v="2024-07-07T00:00:00"/>
    <s v="Wendy"/>
    <n v="3"/>
  </r>
  <r>
    <d v="2025-03-04T00:00:00"/>
    <x v="6"/>
    <x v="2"/>
    <x v="8"/>
    <x v="0"/>
    <x v="1"/>
    <n v="11"/>
    <n v="183.11"/>
    <s v="Store B"/>
    <x v="1"/>
    <n v="0.15"/>
    <x v="2"/>
    <n v="1712.0785000000001"/>
    <n v="1208.5260000000001"/>
    <n v="461.72250000000003"/>
    <n v="0.26968535613291095"/>
    <n v="1712.0785000000001"/>
    <s v="Gift Card"/>
    <s v="FREESHIP"/>
    <x v="0"/>
    <n v="0"/>
    <x v="0"/>
    <x v="763"/>
    <s v="Cust 6980"/>
    <n v="41.83"/>
    <d v="2025-03-04T00:00:00"/>
    <d v="2025-03-06T00:00:00"/>
    <s v="Eric"/>
    <n v="2"/>
  </r>
  <r>
    <d v="2024-01-22T00:00:00"/>
    <x v="4"/>
    <x v="1"/>
    <x v="24"/>
    <x v="0"/>
    <x v="6"/>
    <n v="11"/>
    <n v="277.95"/>
    <s v="Store A"/>
    <x v="1"/>
    <n v="0.05"/>
    <x v="2"/>
    <n v="2904.5774999999999"/>
    <n v="1834.4699999999998"/>
    <n v="1026.0675000000001"/>
    <n v="0.35325877860033006"/>
    <n v="2904.5774999999999"/>
    <s v="Gift Card"/>
    <s v="WINTER15"/>
    <x v="0"/>
    <n v="0"/>
    <x v="0"/>
    <x v="764"/>
    <s v="Cust 2835"/>
    <n v="44.04"/>
    <d v="2024-01-22T00:00:00"/>
    <d v="2024-01-29T00:00:00"/>
    <s v="Eric"/>
    <n v="7"/>
  </r>
  <r>
    <d v="2025-03-12T00:00:00"/>
    <x v="6"/>
    <x v="2"/>
    <x v="8"/>
    <x v="0"/>
    <x v="2"/>
    <n v="14"/>
    <n v="554.08000000000004"/>
    <s v="Store A"/>
    <x v="1"/>
    <n v="0.05"/>
    <x v="4"/>
    <n v="7369.2640000000001"/>
    <n v="4654.2720000000008"/>
    <n v="2678.2719999999995"/>
    <n v="0.36343819409916639"/>
    <n v="7369.2640000000001"/>
    <s v="Cash"/>
    <m/>
    <x v="1"/>
    <n v="0"/>
    <x v="0"/>
    <x v="765"/>
    <s v="Cust 4286"/>
    <n v="36.72"/>
    <d v="2025-03-12T00:00:00"/>
    <d v="2025-03-21T00:00:00"/>
    <s v="Eric"/>
    <n v="9"/>
  </r>
  <r>
    <d v="2025-02-28T00:00:00"/>
    <x v="0"/>
    <x v="2"/>
    <x v="3"/>
    <x v="3"/>
    <x v="1"/>
    <n v="15"/>
    <n v="23.32"/>
    <s v="Store A"/>
    <x v="1"/>
    <n v="0.05"/>
    <x v="3"/>
    <n v="332.31"/>
    <n v="209.88"/>
    <n v="97.160000000000011"/>
    <n v="0.29237759922963502"/>
    <n v="332.31"/>
    <s v="Debit Card"/>
    <m/>
    <x v="1"/>
    <n v="0"/>
    <x v="0"/>
    <x v="766"/>
    <s v="Cust 7876"/>
    <n v="25.27"/>
    <d v="2025-02-28T00:00:00"/>
    <d v="2025-03-03T00:00:00"/>
    <s v="Cameron"/>
    <n v="3"/>
  </r>
  <r>
    <d v="2024-05-23T00:00:00"/>
    <x v="2"/>
    <x v="1"/>
    <x v="14"/>
    <x v="0"/>
    <x v="2"/>
    <n v="4"/>
    <n v="20.96"/>
    <s v="Store D"/>
    <x v="0"/>
    <n v="0.05"/>
    <x v="5"/>
    <n v="79.647999999999996"/>
    <n v="50.304000000000002"/>
    <n v="-4.3260000000000076"/>
    <n v="-5.4313981518682303E-2"/>
    <n v="79.647999999999996"/>
    <s v="Online"/>
    <s v="FREESHIP"/>
    <x v="0"/>
    <n v="1"/>
    <x v="1"/>
    <x v="767"/>
    <s v="Cust 5926"/>
    <n v="33.67"/>
    <d v="2024-05-23T00:00:00"/>
    <d v="2024-05-31T00:00:00"/>
    <s v="Eric"/>
    <n v="8"/>
  </r>
  <r>
    <d v="2023-09-17T00:00:00"/>
    <x v="11"/>
    <x v="0"/>
    <x v="22"/>
    <x v="2"/>
    <x v="2"/>
    <n v="18"/>
    <n v="132.29"/>
    <s v="Store A"/>
    <x v="0"/>
    <n v="0.05"/>
    <x v="4"/>
    <n v="2262.1589999999997"/>
    <n v="1428.732"/>
    <n v="809.12699999999973"/>
    <n v="0.35767910213207821"/>
    <n v="2262.1590000000001"/>
    <s v="Credit Card"/>
    <m/>
    <x v="1"/>
    <n v="1"/>
    <x v="1"/>
    <x v="768"/>
    <s v="Cust 4478"/>
    <n v="24.3"/>
    <d v="2023-09-17T00:00:00"/>
    <d v="2023-09-20T00:00:00"/>
    <s v="Ryan"/>
    <n v="3"/>
  </r>
  <r>
    <d v="2023-06-13T00:00:00"/>
    <x v="3"/>
    <x v="0"/>
    <x v="4"/>
    <x v="0"/>
    <x v="1"/>
    <n v="19"/>
    <n v="199.65"/>
    <s v="Store A"/>
    <x v="1"/>
    <n v="0.1"/>
    <x v="3"/>
    <n v="3414.0149999999999"/>
    <n v="2276.0099999999998"/>
    <n v="1102.8850000000002"/>
    <n v="0.32304632522118393"/>
    <n v="3414.0149999999999"/>
    <s v="Cash"/>
    <s v="SAVE10"/>
    <x v="0"/>
    <n v="1"/>
    <x v="1"/>
    <x v="769"/>
    <s v="Cust 4711"/>
    <n v="35.119999999999997"/>
    <d v="2023-06-13T00:00:00"/>
    <d v="2023-06-18T00:00:00"/>
    <s v="Eric"/>
    <n v="5"/>
  </r>
  <r>
    <d v="2025-05-31T00:00:00"/>
    <x v="2"/>
    <x v="2"/>
    <x v="13"/>
    <x v="4"/>
    <x v="1"/>
    <n v="16"/>
    <n v="307"/>
    <s v="Store A"/>
    <x v="0"/>
    <n v="0"/>
    <x v="5"/>
    <n v="4912"/>
    <n v="2947.2"/>
    <n v="1952.8100000000002"/>
    <n v="0.39755903908794793"/>
    <n v="4912"/>
    <s v="Debit Card"/>
    <s v="FREESHIP"/>
    <x v="0"/>
    <n v="0"/>
    <x v="0"/>
    <x v="770"/>
    <s v="Cust 9227"/>
    <n v="11.99"/>
    <d v="2025-05-31T00:00:00"/>
    <d v="2025-06-02T00:00:00"/>
    <s v="Wendy"/>
    <n v="2"/>
  </r>
  <r>
    <d v="2023-10-11T00:00:00"/>
    <x v="5"/>
    <x v="0"/>
    <x v="19"/>
    <x v="0"/>
    <x v="5"/>
    <n v="1"/>
    <n v="315.93"/>
    <s v="Store C"/>
    <x v="1"/>
    <n v="0.15"/>
    <x v="1"/>
    <n v="268.54050000000001"/>
    <n v="189.55799999999999"/>
    <n v="35.782500000000013"/>
    <n v="0.13324805755556429"/>
    <n v="268.54050000000001"/>
    <s v="Credit Card"/>
    <s v="SAVE10"/>
    <x v="0"/>
    <n v="0"/>
    <x v="0"/>
    <x v="771"/>
    <s v="Cust 2830"/>
    <n v="43.2"/>
    <d v="2023-10-11T00:00:00"/>
    <d v="2023-10-14T00:00:00"/>
    <s v="Eric"/>
    <n v="3"/>
  </r>
  <r>
    <d v="2023-08-07T00:00:00"/>
    <x v="10"/>
    <x v="0"/>
    <x v="18"/>
    <x v="4"/>
    <x v="6"/>
    <n v="5"/>
    <n v="596.97"/>
    <s v="Store A"/>
    <x v="1"/>
    <n v="0"/>
    <x v="0"/>
    <n v="2984.8500000000004"/>
    <n v="1790.91"/>
    <n v="1179.5100000000002"/>
    <n v="0.39516558621036235"/>
    <n v="2984.85"/>
    <s v="Cash"/>
    <s v="SAVE10"/>
    <x v="0"/>
    <n v="0"/>
    <x v="0"/>
    <x v="772"/>
    <s v="Cust 3767"/>
    <n v="14.43"/>
    <d v="2023-08-07T00:00:00"/>
    <d v="2023-08-14T00:00:00"/>
    <s v="Wendy"/>
    <n v="7"/>
  </r>
  <r>
    <d v="2023-12-03T00:00:00"/>
    <x v="1"/>
    <x v="0"/>
    <x v="27"/>
    <x v="2"/>
    <x v="0"/>
    <n v="17"/>
    <n v="376.98"/>
    <s v="Store A"/>
    <x v="1"/>
    <n v="0.05"/>
    <x v="3"/>
    <n v="6088.2269999999999"/>
    <n v="3845.1960000000004"/>
    <n v="2204.5509999999995"/>
    <n v="0.36210065754775561"/>
    <n v="6088.2269999999999"/>
    <s v="Debit Card"/>
    <m/>
    <x v="1"/>
    <n v="1"/>
    <x v="1"/>
    <x v="773"/>
    <s v="Cust 1561"/>
    <n v="38.479999999999997"/>
    <d v="2023-12-03T00:00:00"/>
    <d v="2023-12-05T00:00:00"/>
    <s v="Ryan"/>
    <n v="2"/>
  </r>
  <r>
    <d v="2024-08-01T00:00:00"/>
    <x v="10"/>
    <x v="1"/>
    <x v="29"/>
    <x v="3"/>
    <x v="6"/>
    <n v="6"/>
    <n v="208.64"/>
    <s v="Store D"/>
    <x v="1"/>
    <n v="0.1"/>
    <x v="2"/>
    <n v="1126.6559999999999"/>
    <n v="751.10399999999993"/>
    <n v="325.62200000000001"/>
    <n v="0.28901634571688256"/>
    <n v="1126.6559999999999"/>
    <s v="Credit Card"/>
    <s v="FREESHIP"/>
    <x v="0"/>
    <n v="0"/>
    <x v="0"/>
    <x v="774"/>
    <s v="Cust 8569"/>
    <n v="49.93"/>
    <d v="2024-08-01T00:00:00"/>
    <d v="2024-08-04T00:00:00"/>
    <s v="Cameron"/>
    <n v="3"/>
  </r>
  <r>
    <d v="2023-03-20T00:00:00"/>
    <x v="6"/>
    <x v="0"/>
    <x v="17"/>
    <x v="0"/>
    <x v="3"/>
    <n v="7"/>
    <n v="307.82"/>
    <s v="Store B"/>
    <x v="0"/>
    <n v="0"/>
    <x v="0"/>
    <n v="2154.7399999999998"/>
    <n v="1292.8439999999998"/>
    <n v="847.89599999999996"/>
    <n v="0.39350269638100188"/>
    <n v="2154.7399999999998"/>
    <s v="Debit Card"/>
    <s v="WINTER15"/>
    <x v="0"/>
    <n v="1"/>
    <x v="1"/>
    <x v="775"/>
    <s v="Cust 1254"/>
    <n v="14"/>
    <d v="2023-03-20T00:00:00"/>
    <d v="2023-03-27T00:00:00"/>
    <s v="Eric"/>
    <n v="7"/>
  </r>
  <r>
    <d v="2025-06-30T00:00:00"/>
    <x v="3"/>
    <x v="2"/>
    <x v="16"/>
    <x v="3"/>
    <x v="5"/>
    <n v="13"/>
    <n v="382.48"/>
    <s v="Store D"/>
    <x v="1"/>
    <n v="0.05"/>
    <x v="0"/>
    <n v="4723.6279999999997"/>
    <n v="2983.3440000000001"/>
    <n v="1732.6939999999997"/>
    <n v="0.36681423685353715"/>
    <n v="4723.6279999999997"/>
    <s v="Credit Card"/>
    <s v="WINTER15"/>
    <x v="0"/>
    <n v="0"/>
    <x v="0"/>
    <x v="776"/>
    <s v="Cust 8556"/>
    <n v="7.59"/>
    <d v="2025-06-30T00:00:00"/>
    <d v="2025-07-04T00:00:00"/>
    <s v="Cameron"/>
    <n v="4"/>
  </r>
  <r>
    <d v="2025-02-05T00:00:00"/>
    <x v="0"/>
    <x v="2"/>
    <x v="3"/>
    <x v="1"/>
    <x v="2"/>
    <n v="9"/>
    <n v="188.03"/>
    <s v="Store B"/>
    <x v="1"/>
    <n v="0"/>
    <x v="2"/>
    <n v="1692.27"/>
    <n v="1015.362"/>
    <n v="665.46799999999996"/>
    <n v="0.3932398494330101"/>
    <n v="1692.27"/>
    <s v="Cash"/>
    <s v="FREESHIP"/>
    <x v="0"/>
    <n v="0"/>
    <x v="0"/>
    <x v="777"/>
    <s v="Cust 7204"/>
    <n v="11.44"/>
    <d v="2025-02-05T00:00:00"/>
    <d v="2025-02-07T00:00:00"/>
    <s v="Sophie"/>
    <n v="2"/>
  </r>
  <r>
    <d v="2024-05-19T00:00:00"/>
    <x v="2"/>
    <x v="1"/>
    <x v="14"/>
    <x v="0"/>
    <x v="2"/>
    <n v="17"/>
    <n v="238.17"/>
    <s v="Store D"/>
    <x v="0"/>
    <n v="0.15"/>
    <x v="2"/>
    <n v="3441.5564999999997"/>
    <n v="2429.3339999999998"/>
    <n v="990.58249999999987"/>
    <n v="0.28782979445492174"/>
    <n v="3441.5565000000001"/>
    <s v="Cash"/>
    <s v="FREESHIP"/>
    <x v="0"/>
    <n v="0"/>
    <x v="0"/>
    <x v="778"/>
    <s v="Cust 7725"/>
    <n v="21.64"/>
    <d v="2024-05-19T00:00:00"/>
    <d v="2024-05-29T00:00:00"/>
    <s v="Eric"/>
    <n v="10"/>
  </r>
  <r>
    <d v="2023-03-04T00:00:00"/>
    <x v="6"/>
    <x v="0"/>
    <x v="17"/>
    <x v="2"/>
    <x v="6"/>
    <n v="10"/>
    <n v="450.71"/>
    <s v="Store B"/>
    <x v="1"/>
    <n v="0.1"/>
    <x v="5"/>
    <n v="4056.3899999999994"/>
    <n v="2704.2599999999998"/>
    <n v="1330.8199999999997"/>
    <n v="0.3280798936985842"/>
    <n v="4056.389999999999"/>
    <s v="Gift Card"/>
    <s v="SAVE10"/>
    <x v="0"/>
    <n v="0"/>
    <x v="0"/>
    <x v="779"/>
    <s v="Cust 9210"/>
    <n v="21.31"/>
    <d v="2023-03-04T00:00:00"/>
    <d v="2023-03-12T00:00:00"/>
    <s v="Ryan"/>
    <n v="8"/>
  </r>
  <r>
    <d v="2023-01-22T00:00:00"/>
    <x v="4"/>
    <x v="0"/>
    <x v="6"/>
    <x v="3"/>
    <x v="4"/>
    <n v="2"/>
    <n v="413.36"/>
    <s v="Store D"/>
    <x v="1"/>
    <n v="0.1"/>
    <x v="1"/>
    <n v="744.048"/>
    <n v="496.03199999999998"/>
    <n v="206.32600000000002"/>
    <n v="0.277302002021375"/>
    <n v="744.048"/>
    <s v="Online"/>
    <s v="SAVE10"/>
    <x v="0"/>
    <n v="1"/>
    <x v="1"/>
    <x v="780"/>
    <s v="Cust 9085"/>
    <n v="41.69"/>
    <d v="2023-01-22T00:00:00"/>
    <d v="2023-01-24T00:00:00"/>
    <s v="Cameron"/>
    <n v="2"/>
  </r>
  <r>
    <d v="2023-03-20T00:00:00"/>
    <x v="6"/>
    <x v="0"/>
    <x v="17"/>
    <x v="1"/>
    <x v="1"/>
    <n v="20"/>
    <n v="536.71"/>
    <s v="Store B"/>
    <x v="1"/>
    <n v="0.15"/>
    <x v="3"/>
    <n v="9124.07"/>
    <n v="6440.52"/>
    <n v="2642.1299999999992"/>
    <n v="0.28957800630639607"/>
    <n v="9124.07"/>
    <s v="Debit Card"/>
    <s v="SAVE10"/>
    <x v="0"/>
    <n v="0"/>
    <x v="0"/>
    <x v="781"/>
    <s v="Cust 4937"/>
    <n v="41.42"/>
    <d v="2023-03-20T00:00:00"/>
    <d v="2023-03-25T00:00:00"/>
    <s v="Sophie"/>
    <n v="5"/>
  </r>
  <r>
    <d v="2024-06-05T00:00:00"/>
    <x v="3"/>
    <x v="1"/>
    <x v="23"/>
    <x v="4"/>
    <x v="1"/>
    <n v="5"/>
    <n v="206.42"/>
    <s v="Store D"/>
    <x v="1"/>
    <n v="0.05"/>
    <x v="1"/>
    <n v="980.49499999999989"/>
    <n v="619.26"/>
    <n v="325.72499999999991"/>
    <n v="0.33220465173203323"/>
    <n v="980.49499999999989"/>
    <s v="Debit Card"/>
    <s v="WINTER15"/>
    <x v="0"/>
    <n v="0"/>
    <x v="0"/>
    <x v="782"/>
    <s v="Cust 3606"/>
    <n v="35.51"/>
    <d v="2024-06-05T00:00:00"/>
    <d v="2024-06-13T00:00:00"/>
    <s v="Wendy"/>
    <n v="8"/>
  </r>
  <r>
    <d v="2024-07-09T00:00:00"/>
    <x v="8"/>
    <x v="1"/>
    <x v="10"/>
    <x v="0"/>
    <x v="6"/>
    <n v="4"/>
    <n v="256.83"/>
    <s v="Store A"/>
    <x v="0"/>
    <n v="0.15"/>
    <x v="3"/>
    <n v="873.22199999999987"/>
    <n v="616.39199999999994"/>
    <n v="212.10999999999993"/>
    <n v="0.2429050115549081"/>
    <n v="873.22199999999987"/>
    <s v="Cash"/>
    <m/>
    <x v="1"/>
    <n v="1"/>
    <x v="1"/>
    <x v="783"/>
    <s v="Cust 5865"/>
    <n v="44.72"/>
    <d v="2024-07-09T00:00:00"/>
    <d v="2024-07-17T00:00:00"/>
    <s v="Eric"/>
    <n v="8"/>
  </r>
  <r>
    <d v="2025-03-08T00:00:00"/>
    <x v="6"/>
    <x v="2"/>
    <x v="8"/>
    <x v="1"/>
    <x v="4"/>
    <n v="1"/>
    <n v="247.04"/>
    <s v="Store C"/>
    <x v="0"/>
    <n v="0"/>
    <x v="5"/>
    <n v="247.04"/>
    <n v="148.22399999999999"/>
    <n v="71.956000000000003"/>
    <n v="0.29127266839378241"/>
    <n v="247.04"/>
    <s v="Credit Card"/>
    <s v="FREESHIP"/>
    <x v="0"/>
    <n v="0"/>
    <x v="0"/>
    <x v="784"/>
    <s v="Cust 7195"/>
    <n v="26.86"/>
    <d v="2025-03-08T00:00:00"/>
    <d v="2025-03-13T00:00:00"/>
    <s v="Sophie"/>
    <n v="5"/>
  </r>
  <r>
    <d v="2025-06-21T00:00:00"/>
    <x v="3"/>
    <x v="2"/>
    <x v="16"/>
    <x v="1"/>
    <x v="5"/>
    <n v="3"/>
    <n v="583.38"/>
    <s v="Store B"/>
    <x v="1"/>
    <n v="0.15"/>
    <x v="4"/>
    <n v="1487.6189999999999"/>
    <n v="1050.0839999999998"/>
    <n v="407.41500000000008"/>
    <n v="0.27387052733260336"/>
    <n v="1487.6189999999999"/>
    <s v="Cash"/>
    <s v="WINTER15"/>
    <x v="0"/>
    <n v="1"/>
    <x v="1"/>
    <x v="785"/>
    <s v="Cust 6113"/>
    <n v="30.12"/>
    <d v="2025-06-21T00:00:00"/>
    <d v="2025-06-30T00:00:00"/>
    <s v="Sophie"/>
    <n v="9"/>
  </r>
  <r>
    <d v="2025-06-28T00:00:00"/>
    <x v="3"/>
    <x v="2"/>
    <x v="16"/>
    <x v="2"/>
    <x v="5"/>
    <n v="13"/>
    <n v="341.38"/>
    <s v="Store C"/>
    <x v="1"/>
    <n v="0.15"/>
    <x v="1"/>
    <n v="3772.2489999999993"/>
    <n v="2662.7640000000001"/>
    <n v="1091.2849999999992"/>
    <n v="0.28929293903981401"/>
    <n v="3772.2489999999989"/>
    <s v="Cash"/>
    <m/>
    <x v="1"/>
    <n v="0"/>
    <x v="0"/>
    <x v="786"/>
    <s v="Cust 9878"/>
    <n v="18.2"/>
    <d v="2025-06-28T00:00:00"/>
    <d v="2025-07-01T00:00:00"/>
    <s v="Ryan"/>
    <n v="3"/>
  </r>
  <r>
    <d v="2025-04-05T00:00:00"/>
    <x v="7"/>
    <x v="2"/>
    <x v="28"/>
    <x v="4"/>
    <x v="3"/>
    <n v="19"/>
    <n v="267.02999999999997"/>
    <s v="Store D"/>
    <x v="0"/>
    <n v="0.15"/>
    <x v="5"/>
    <n v="4312.5344999999998"/>
    <n v="3044.1419999999998"/>
    <n v="1232.5725"/>
    <n v="0.28581162655046588"/>
    <n v="4312.5344999999998"/>
    <s v="Online"/>
    <s v="SAVE10"/>
    <x v="0"/>
    <n v="1"/>
    <x v="1"/>
    <x v="787"/>
    <s v="Cust 3936"/>
    <n v="35.82"/>
    <d v="2025-04-05T00:00:00"/>
    <d v="2025-04-13T00:00:00"/>
    <s v="Wendy"/>
    <n v="8"/>
  </r>
  <r>
    <d v="2024-03-05T00:00:00"/>
    <x v="6"/>
    <x v="1"/>
    <x v="25"/>
    <x v="1"/>
    <x v="6"/>
    <n v="7"/>
    <n v="77.69"/>
    <s v="Store D"/>
    <x v="0"/>
    <n v="0"/>
    <x v="3"/>
    <n v="543.82999999999993"/>
    <n v="326.298"/>
    <n v="175.64199999999994"/>
    <n v="0.32297225235827365"/>
    <n v="543.82999999999993"/>
    <s v="Credit Card"/>
    <s v="SAVE10"/>
    <x v="0"/>
    <n v="0"/>
    <x v="0"/>
    <x v="788"/>
    <s v="Cust 3937"/>
    <n v="41.89"/>
    <d v="2024-03-05T00:00:00"/>
    <d v="2024-03-12T00:00:00"/>
    <s v="Sophie"/>
    <n v="7"/>
  </r>
  <r>
    <d v="2024-03-09T00:00:00"/>
    <x v="6"/>
    <x v="1"/>
    <x v="25"/>
    <x v="0"/>
    <x v="1"/>
    <n v="20"/>
    <n v="312.43"/>
    <s v="Store C"/>
    <x v="1"/>
    <n v="0"/>
    <x v="3"/>
    <n v="6248.6"/>
    <n v="3749.16"/>
    <n v="2471.3300000000004"/>
    <n v="0.39550139231187792"/>
    <n v="6248.6"/>
    <s v="Credit Card"/>
    <s v="SAVE10"/>
    <x v="0"/>
    <n v="0"/>
    <x v="0"/>
    <x v="789"/>
    <s v="Cust 5262"/>
    <n v="28.11"/>
    <d v="2024-03-09T00:00:00"/>
    <d v="2024-03-11T00:00:00"/>
    <s v="Eric"/>
    <n v="2"/>
  </r>
  <r>
    <d v="2025-02-25T00:00:00"/>
    <x v="0"/>
    <x v="2"/>
    <x v="3"/>
    <x v="3"/>
    <x v="4"/>
    <n v="19"/>
    <n v="14.1"/>
    <s v="Store C"/>
    <x v="0"/>
    <n v="0.05"/>
    <x v="3"/>
    <n v="254.50499999999997"/>
    <n v="160.73999999999998"/>
    <n v="55.924999999999983"/>
    <n v="0.21974028015166691"/>
    <n v="254.505"/>
    <s v="Cash"/>
    <s v="FREESHIP"/>
    <x v="0"/>
    <n v="0"/>
    <x v="0"/>
    <x v="790"/>
    <s v="Cust 3892"/>
    <n v="37.840000000000003"/>
    <d v="2025-02-25T00:00:00"/>
    <d v="2025-02-28T00:00:00"/>
    <s v="Cameron"/>
    <n v="3"/>
  </r>
  <r>
    <d v="2024-11-16T00:00:00"/>
    <x v="9"/>
    <x v="1"/>
    <x v="20"/>
    <x v="4"/>
    <x v="5"/>
    <n v="17"/>
    <n v="266.83"/>
    <s v="Store D"/>
    <x v="1"/>
    <n v="0.05"/>
    <x v="2"/>
    <n v="4309.3044999999993"/>
    <n v="2721.6659999999997"/>
    <n v="1555.1184999999996"/>
    <n v="0.36087459124784516"/>
    <n v="4309.3044999999993"/>
    <s v="Credit Card"/>
    <s v="WINTER15"/>
    <x v="0"/>
    <n v="0"/>
    <x v="0"/>
    <x v="791"/>
    <s v="Cust 8826"/>
    <n v="32.520000000000003"/>
    <d v="2024-11-16T00:00:00"/>
    <d v="2024-11-23T00:00:00"/>
    <s v="Wendy"/>
    <n v="7"/>
  </r>
  <r>
    <d v="2024-08-01T00:00:00"/>
    <x v="10"/>
    <x v="1"/>
    <x v="29"/>
    <x v="1"/>
    <x v="6"/>
    <n v="20"/>
    <n v="248.11"/>
    <s v="Store D"/>
    <x v="0"/>
    <n v="0.05"/>
    <x v="3"/>
    <n v="4714.09"/>
    <n v="2977.32"/>
    <n v="1713.81"/>
    <n v="0.36355054740151332"/>
    <n v="4714.09"/>
    <s v="Online"/>
    <s v="SAVE10"/>
    <x v="0"/>
    <n v="0"/>
    <x v="0"/>
    <x v="792"/>
    <s v="Cust 1119"/>
    <n v="22.96"/>
    <d v="2024-08-01T00:00:00"/>
    <d v="2024-08-06T00:00:00"/>
    <s v="Sophie"/>
    <n v="5"/>
  </r>
  <r>
    <d v="2024-04-20T00:00:00"/>
    <x v="7"/>
    <x v="1"/>
    <x v="9"/>
    <x v="4"/>
    <x v="3"/>
    <n v="5"/>
    <n v="316.76"/>
    <s v="Store B"/>
    <x v="1"/>
    <n v="0.05"/>
    <x v="1"/>
    <n v="1504.61"/>
    <n v="950.28"/>
    <n v="541.62999999999988"/>
    <n v="0.35998032712796002"/>
    <n v="1504.61"/>
    <s v="Gift Card"/>
    <s v="FREESHIP"/>
    <x v="0"/>
    <n v="1"/>
    <x v="1"/>
    <x v="793"/>
    <s v="Cust 2685"/>
    <n v="12.7"/>
    <d v="2024-04-20T00:00:00"/>
    <d v="2024-04-30T00:00:00"/>
    <s v="Wendy"/>
    <n v="10"/>
  </r>
  <r>
    <d v="2024-04-20T00:00:00"/>
    <x v="7"/>
    <x v="1"/>
    <x v="9"/>
    <x v="1"/>
    <x v="0"/>
    <n v="2"/>
    <n v="169.62"/>
    <s v="Store C"/>
    <x v="1"/>
    <n v="0.1"/>
    <x v="1"/>
    <n v="305.31600000000003"/>
    <n v="203.54400000000001"/>
    <n v="56.362000000000023"/>
    <n v="0.18460218265665743"/>
    <n v="305.31599999999997"/>
    <s v="Debit Card"/>
    <m/>
    <x v="1"/>
    <n v="0"/>
    <x v="0"/>
    <x v="794"/>
    <s v="Cust 5939"/>
    <n v="45.41"/>
    <d v="2024-04-20T00:00:00"/>
    <d v="2024-04-25T00:00:00"/>
    <s v="Sophie"/>
    <n v="5"/>
  </r>
  <r>
    <d v="2023-09-22T00:00:00"/>
    <x v="11"/>
    <x v="0"/>
    <x v="22"/>
    <x v="2"/>
    <x v="0"/>
    <n v="19"/>
    <n v="35.380000000000003"/>
    <s v="Store A"/>
    <x v="1"/>
    <n v="0.15"/>
    <x v="4"/>
    <n v="571.38700000000006"/>
    <n v="403.33200000000005"/>
    <n v="160.995"/>
    <n v="0.28176174816717914"/>
    <n v="571.38700000000006"/>
    <s v="Online"/>
    <s v="SAVE10"/>
    <x v="0"/>
    <n v="0"/>
    <x v="0"/>
    <x v="795"/>
    <s v="Cust 1791"/>
    <n v="7.06"/>
    <d v="2023-09-22T00:00:00"/>
    <d v="2023-09-28T00:00:00"/>
    <s v="Ryan"/>
    <n v="6"/>
  </r>
  <r>
    <d v="2025-02-21T00:00:00"/>
    <x v="0"/>
    <x v="2"/>
    <x v="3"/>
    <x v="4"/>
    <x v="3"/>
    <n v="3"/>
    <n v="264.08"/>
    <s v="Store A"/>
    <x v="1"/>
    <n v="0.1"/>
    <x v="4"/>
    <n v="713.01600000000008"/>
    <n v="475.34399999999994"/>
    <n v="212.28200000000015"/>
    <n v="0.29772403424327104"/>
    <n v="713.01600000000008"/>
    <s v="Online"/>
    <m/>
    <x v="1"/>
    <n v="0"/>
    <x v="0"/>
    <x v="796"/>
    <s v="Cust 8530"/>
    <n v="25.39"/>
    <d v="2025-02-21T00:00:00"/>
    <d v="2025-03-02T00:00:00"/>
    <s v="Wendy"/>
    <n v="9"/>
  </r>
  <r>
    <d v="2025-06-24T00:00:00"/>
    <x v="3"/>
    <x v="2"/>
    <x v="16"/>
    <x v="0"/>
    <x v="5"/>
    <n v="5"/>
    <n v="137.56"/>
    <s v="Store C"/>
    <x v="0"/>
    <n v="0.15"/>
    <x v="4"/>
    <n v="584.63"/>
    <n v="412.68"/>
    <n v="165.5"/>
    <n v="0.28308502813745445"/>
    <n v="584.63"/>
    <s v="Debit Card"/>
    <s v="SAVE10"/>
    <x v="0"/>
    <n v="0"/>
    <x v="0"/>
    <x v="797"/>
    <s v="Cust 4522"/>
    <n v="6.45"/>
    <d v="2025-06-24T00:00:00"/>
    <d v="2025-07-01T00:00:00"/>
    <s v="Eric"/>
    <n v="7"/>
  </r>
  <r>
    <d v="2023-11-28T00:00:00"/>
    <x v="9"/>
    <x v="0"/>
    <x v="15"/>
    <x v="3"/>
    <x v="0"/>
    <n v="8"/>
    <n v="157.93"/>
    <s v="Store B"/>
    <x v="1"/>
    <n v="0.15"/>
    <x v="4"/>
    <n v="1073.924"/>
    <n v="758.06399999999996"/>
    <n v="309.55"/>
    <n v="0.28824199850268734"/>
    <n v="1073.924"/>
    <s v="Online"/>
    <s v="SAVE10"/>
    <x v="0"/>
    <n v="0"/>
    <x v="0"/>
    <x v="798"/>
    <s v="Cust 9619"/>
    <n v="6.31"/>
    <d v="2023-11-28T00:00:00"/>
    <d v="2023-12-05T00:00:00"/>
    <s v="Cameron"/>
    <n v="7"/>
  </r>
  <r>
    <d v="2024-04-08T00:00:00"/>
    <x v="7"/>
    <x v="1"/>
    <x v="9"/>
    <x v="2"/>
    <x v="2"/>
    <n v="6"/>
    <n v="126.86"/>
    <s v="Store C"/>
    <x v="0"/>
    <n v="0.05"/>
    <x v="0"/>
    <n v="723.10199999999998"/>
    <n v="456.69600000000003"/>
    <n v="230.91599999999994"/>
    <n v="0.31934083988151041"/>
    <n v="723.10199999999998"/>
    <s v="Debit Card"/>
    <s v="FREESHIP"/>
    <x v="0"/>
    <n v="0"/>
    <x v="0"/>
    <x v="799"/>
    <s v="Cust 1637"/>
    <n v="35.49"/>
    <d v="2024-04-08T00:00:00"/>
    <d v="2024-04-17T00:00:00"/>
    <s v="Ryan"/>
    <n v="9"/>
  </r>
  <r>
    <d v="2025-01-07T00:00:00"/>
    <x v="4"/>
    <x v="2"/>
    <x v="12"/>
    <x v="2"/>
    <x v="3"/>
    <n v="15"/>
    <n v="240.05"/>
    <s v="Store C"/>
    <x v="1"/>
    <n v="0.05"/>
    <x v="3"/>
    <n v="3420.7124999999996"/>
    <n v="2160.4499999999998"/>
    <n v="1245.9524999999999"/>
    <n v="0.36423771363422092"/>
    <n v="3420.7125000000001"/>
    <s v="Credit Card"/>
    <s v="FREESHIP"/>
    <x v="0"/>
    <n v="0"/>
    <x v="0"/>
    <x v="800"/>
    <s v="Cust 6914"/>
    <n v="14.31"/>
    <d v="2025-01-07T00:00:00"/>
    <d v="2025-01-14T00:00:00"/>
    <s v="Ryan"/>
    <n v="7"/>
  </r>
  <r>
    <d v="2023-02-24T00:00:00"/>
    <x v="0"/>
    <x v="0"/>
    <x v="0"/>
    <x v="1"/>
    <x v="5"/>
    <n v="3"/>
    <n v="37.630000000000003"/>
    <s v="Store A"/>
    <x v="0"/>
    <n v="0.1"/>
    <x v="3"/>
    <n v="101.60100000000001"/>
    <n v="67.733999999999995"/>
    <n v="-9.8329999999999842"/>
    <n v="-9.6780543498587446E-2"/>
    <n v="101.601"/>
    <s v="Debit Card"/>
    <s v="FREESHIP"/>
    <x v="0"/>
    <n v="0"/>
    <x v="0"/>
    <x v="801"/>
    <s v="Cust 5737"/>
    <n v="43.7"/>
    <d v="2023-02-24T00:00:00"/>
    <d v="2023-03-03T00:00:00"/>
    <s v="Sophie"/>
    <n v="7"/>
  </r>
  <r>
    <d v="2023-10-19T00:00:00"/>
    <x v="5"/>
    <x v="0"/>
    <x v="19"/>
    <x v="0"/>
    <x v="3"/>
    <n v="13"/>
    <n v="393.1"/>
    <s v="Store B"/>
    <x v="0"/>
    <n v="0.1"/>
    <x v="1"/>
    <n v="4599.2700000000004"/>
    <n v="3066.1800000000003"/>
    <n v="1520.45"/>
    <n v="0.33058507110911078"/>
    <n v="4599.2700000000004"/>
    <s v="Online"/>
    <m/>
    <x v="1"/>
    <n v="0"/>
    <x v="0"/>
    <x v="802"/>
    <s v="Cust 5301"/>
    <n v="12.64"/>
    <d v="2023-10-19T00:00:00"/>
    <d v="2023-10-26T00:00:00"/>
    <s v="Eric"/>
    <n v="7"/>
  </r>
  <r>
    <d v="2024-06-17T00:00:00"/>
    <x v="3"/>
    <x v="1"/>
    <x v="23"/>
    <x v="2"/>
    <x v="3"/>
    <n v="10"/>
    <n v="83.86"/>
    <s v="Store A"/>
    <x v="0"/>
    <n v="0.15"/>
    <x v="1"/>
    <n v="712.81"/>
    <n v="503.15999999999997"/>
    <n v="168.53999999999996"/>
    <n v="0.23644449432527598"/>
    <n v="712.81"/>
    <s v="Credit Card"/>
    <m/>
    <x v="1"/>
    <n v="0"/>
    <x v="0"/>
    <x v="803"/>
    <s v="Cust 2524"/>
    <n v="41.11"/>
    <d v="2024-06-17T00:00:00"/>
    <d v="2024-06-21T00:00:00"/>
    <s v="Ryan"/>
    <n v="4"/>
  </r>
  <r>
    <d v="2023-06-21T00:00:00"/>
    <x v="3"/>
    <x v="0"/>
    <x v="4"/>
    <x v="3"/>
    <x v="2"/>
    <n v="10"/>
    <n v="110.07"/>
    <s v="Store B"/>
    <x v="0"/>
    <n v="0"/>
    <x v="2"/>
    <n v="1100.6999999999998"/>
    <n v="660.41999999999985"/>
    <n v="421.80999999999995"/>
    <n v="0.3832197692377578"/>
    <n v="1100.7"/>
    <s v="Credit Card"/>
    <m/>
    <x v="1"/>
    <n v="0"/>
    <x v="0"/>
    <x v="804"/>
    <s v="Cust 8480"/>
    <n v="18.47"/>
    <d v="2023-06-21T00:00:00"/>
    <d v="2023-06-29T00:00:00"/>
    <s v="Cameron"/>
    <n v="8"/>
  </r>
  <r>
    <d v="2024-08-30T00:00:00"/>
    <x v="10"/>
    <x v="1"/>
    <x v="29"/>
    <x v="0"/>
    <x v="1"/>
    <n v="6"/>
    <n v="288.98"/>
    <s v="Store C"/>
    <x v="0"/>
    <n v="0.15"/>
    <x v="4"/>
    <n v="1473.798"/>
    <n v="1040.328"/>
    <n v="394.84000000000003"/>
    <n v="0.26790645665145429"/>
    <n v="1473.798"/>
    <s v="Gift Card"/>
    <m/>
    <x v="1"/>
    <n v="0"/>
    <x v="0"/>
    <x v="805"/>
    <s v="Cust 2595"/>
    <n v="38.630000000000003"/>
    <d v="2024-08-30T00:00:00"/>
    <d v="2024-09-02T00:00:00"/>
    <s v="Eric"/>
    <n v="3"/>
  </r>
  <r>
    <d v="2025-01-03T00:00:00"/>
    <x v="4"/>
    <x v="2"/>
    <x v="12"/>
    <x v="3"/>
    <x v="2"/>
    <n v="10"/>
    <n v="451.14"/>
    <s v="Store A"/>
    <x v="1"/>
    <n v="0"/>
    <x v="5"/>
    <n v="4511.3999999999996"/>
    <n v="2706.8399999999997"/>
    <n v="1774.6"/>
    <n v="0.39335904597242544"/>
    <n v="4511.3999999999996"/>
    <s v="Gift Card"/>
    <s v="FREESHIP"/>
    <x v="0"/>
    <n v="0"/>
    <x v="0"/>
    <x v="806"/>
    <s v="Cust 7132"/>
    <n v="29.96"/>
    <d v="2025-01-03T00:00:00"/>
    <d v="2025-01-13T00:00:00"/>
    <s v="Cameron"/>
    <n v="10"/>
  </r>
  <r>
    <d v="2023-02-23T00:00:00"/>
    <x v="0"/>
    <x v="0"/>
    <x v="0"/>
    <x v="4"/>
    <x v="6"/>
    <n v="16"/>
    <n v="509.08"/>
    <s v="Store C"/>
    <x v="0"/>
    <n v="0"/>
    <x v="3"/>
    <n v="8145.28"/>
    <n v="4887.1679999999997"/>
    <n v="3220.5819999999999"/>
    <n v="0.39539242358764831"/>
    <n v="8145.28"/>
    <s v="Online"/>
    <s v="FREESHIP"/>
    <x v="0"/>
    <n v="0"/>
    <x v="0"/>
    <x v="807"/>
    <s v="Cust 4240"/>
    <n v="37.53"/>
    <d v="2023-02-23T00:00:00"/>
    <d v="2023-03-02T00:00:00"/>
    <s v="Wendy"/>
    <n v="7"/>
  </r>
  <r>
    <d v="2025-04-26T00:00:00"/>
    <x v="7"/>
    <x v="2"/>
    <x v="28"/>
    <x v="3"/>
    <x v="6"/>
    <n v="4"/>
    <n v="582.73"/>
    <s v="Store D"/>
    <x v="0"/>
    <n v="0.05"/>
    <x v="3"/>
    <n v="2214.3739999999998"/>
    <n v="1398.5519999999999"/>
    <n v="771.5619999999999"/>
    <n v="0.34843346245936774"/>
    <n v="2214.3739999999998"/>
    <s v="Cash"/>
    <s v="WINTER15"/>
    <x v="0"/>
    <n v="0"/>
    <x v="0"/>
    <x v="808"/>
    <s v="Cust 4644"/>
    <n v="44.26"/>
    <d v="2025-04-26T00:00:00"/>
    <d v="2025-04-29T00:00:00"/>
    <s v="Cameron"/>
    <n v="3"/>
  </r>
  <r>
    <d v="2023-06-08T00:00:00"/>
    <x v="3"/>
    <x v="0"/>
    <x v="4"/>
    <x v="1"/>
    <x v="1"/>
    <n v="9"/>
    <n v="115.24"/>
    <s v="Store B"/>
    <x v="0"/>
    <n v="0"/>
    <x v="1"/>
    <n v="1037.1599999999999"/>
    <n v="622.29599999999994"/>
    <n v="406.58399999999995"/>
    <n v="0.39201666088163833"/>
    <n v="1037.1600000000001"/>
    <s v="Credit Card"/>
    <s v="FREESHIP"/>
    <x v="0"/>
    <n v="0"/>
    <x v="0"/>
    <x v="809"/>
    <s v="Cust 5133"/>
    <n v="8.2799999999999994"/>
    <d v="2023-06-08T00:00:00"/>
    <d v="2023-06-14T00:00:00"/>
    <s v="Sophie"/>
    <n v="6"/>
  </r>
  <r>
    <d v="2023-03-16T00:00:00"/>
    <x v="6"/>
    <x v="0"/>
    <x v="17"/>
    <x v="2"/>
    <x v="4"/>
    <n v="14"/>
    <n v="565.45000000000005"/>
    <s v="Store D"/>
    <x v="0"/>
    <n v="0.1"/>
    <x v="0"/>
    <n v="7124.670000000001"/>
    <n v="4749.7800000000007"/>
    <n v="2350.4900000000002"/>
    <n v="0.32990861331121302"/>
    <n v="7124.670000000001"/>
    <s v="Online"/>
    <s v="WINTER15"/>
    <x v="0"/>
    <n v="0"/>
    <x v="0"/>
    <x v="810"/>
    <s v="Cust 1731"/>
    <n v="24.4"/>
    <d v="2023-03-16T00:00:00"/>
    <d v="2023-03-25T00:00:00"/>
    <s v="Ryan"/>
    <n v="9"/>
  </r>
  <r>
    <d v="2024-10-23T00:00:00"/>
    <x v="5"/>
    <x v="1"/>
    <x v="7"/>
    <x v="2"/>
    <x v="1"/>
    <n v="11"/>
    <n v="121.54"/>
    <s v="Store D"/>
    <x v="0"/>
    <n v="0"/>
    <x v="3"/>
    <n v="1336.94"/>
    <n v="802.1640000000001"/>
    <n v="518.15599999999995"/>
    <n v="0.38756862686433191"/>
    <n v="1336.94"/>
    <s v="Credit Card"/>
    <s v="SAVE10"/>
    <x v="0"/>
    <n v="0"/>
    <x v="0"/>
    <x v="811"/>
    <s v="Cust 3739"/>
    <n v="16.62"/>
    <d v="2024-10-23T00:00:00"/>
    <d v="2024-10-28T00:00:00"/>
    <s v="Ryan"/>
    <n v="5"/>
  </r>
  <r>
    <d v="2025-05-23T00:00:00"/>
    <x v="2"/>
    <x v="2"/>
    <x v="13"/>
    <x v="0"/>
    <x v="6"/>
    <n v="9"/>
    <n v="160.15"/>
    <s v="Store D"/>
    <x v="1"/>
    <n v="0.1"/>
    <x v="1"/>
    <n v="1297.2150000000001"/>
    <n v="864.81000000000006"/>
    <n v="402.7650000000001"/>
    <n v="0.31048438385310073"/>
    <n v="1297.2149999999999"/>
    <s v="Debit Card"/>
    <m/>
    <x v="1"/>
    <n v="1"/>
    <x v="1"/>
    <x v="812"/>
    <s v="Cust 3853"/>
    <n v="29.64"/>
    <d v="2025-05-23T00:00:00"/>
    <d v="2025-05-28T00:00:00"/>
    <s v="Eric"/>
    <n v="5"/>
  </r>
  <r>
    <d v="2023-05-06T00:00:00"/>
    <x v="2"/>
    <x v="0"/>
    <x v="2"/>
    <x v="0"/>
    <x v="2"/>
    <n v="14"/>
    <n v="175.66"/>
    <s v="Store B"/>
    <x v="0"/>
    <n v="0.05"/>
    <x v="5"/>
    <n v="2336.2779999999998"/>
    <n v="1475.5440000000001"/>
    <n v="834.61399999999969"/>
    <n v="0.35724087629982382"/>
    <n v="2336.2779999999998"/>
    <s v="Cash"/>
    <s v="SAVE10"/>
    <x v="0"/>
    <n v="0"/>
    <x v="0"/>
    <x v="813"/>
    <s v="Cust 6830"/>
    <n v="26.12"/>
    <d v="2023-05-06T00:00:00"/>
    <d v="2023-05-14T00:00:00"/>
    <s v="Eric"/>
    <n v="8"/>
  </r>
  <r>
    <d v="2024-08-15T00:00:00"/>
    <x v="10"/>
    <x v="1"/>
    <x v="29"/>
    <x v="1"/>
    <x v="5"/>
    <n v="3"/>
    <n v="437.97"/>
    <s v="Store C"/>
    <x v="0"/>
    <n v="0.05"/>
    <x v="0"/>
    <n v="1248.2145"/>
    <n v="788.346"/>
    <n v="436.57850000000002"/>
    <n v="0.34976240061303565"/>
    <n v="1248.2145"/>
    <s v="Cash"/>
    <s v="SAVE10"/>
    <x v="0"/>
    <n v="1"/>
    <x v="1"/>
    <x v="814"/>
    <s v="Cust 5351"/>
    <n v="23.29"/>
    <d v="2024-08-15T00:00:00"/>
    <d v="2024-08-22T00:00:00"/>
    <s v="Sophie"/>
    <n v="7"/>
  </r>
  <r>
    <d v="2023-08-23T00:00:00"/>
    <x v="10"/>
    <x v="0"/>
    <x v="18"/>
    <x v="1"/>
    <x v="6"/>
    <n v="12"/>
    <n v="411.59"/>
    <s v="Store B"/>
    <x v="0"/>
    <n v="0.15"/>
    <x v="4"/>
    <n v="4198.2179999999998"/>
    <n v="2963.4479999999999"/>
    <n v="1215.5999999999999"/>
    <n v="0.28955142396130928"/>
    <n v="4198.2179999999998"/>
    <s v="Cash"/>
    <s v="FREESHIP"/>
    <x v="0"/>
    <n v="0"/>
    <x v="0"/>
    <x v="815"/>
    <s v="Cust 5845"/>
    <n v="19.170000000000002"/>
    <d v="2023-08-23T00:00:00"/>
    <d v="2023-08-31T00:00:00"/>
    <s v="Sophie"/>
    <n v="8"/>
  </r>
  <r>
    <d v="2025-04-13T00:00:00"/>
    <x v="7"/>
    <x v="2"/>
    <x v="28"/>
    <x v="1"/>
    <x v="0"/>
    <n v="1"/>
    <n v="163.29"/>
    <s v="Store B"/>
    <x v="1"/>
    <n v="0"/>
    <x v="4"/>
    <n v="163.29"/>
    <n v="97.97399999999999"/>
    <n v="44.166000000000004"/>
    <n v="0.27047584052911999"/>
    <n v="163.29"/>
    <s v="Credit Card"/>
    <s v="WINTER15"/>
    <x v="0"/>
    <n v="0"/>
    <x v="0"/>
    <x v="816"/>
    <s v="Cust 7004"/>
    <n v="21.15"/>
    <d v="2025-04-13T00:00:00"/>
    <d v="2025-04-22T00:00:00"/>
    <s v="Sophie"/>
    <n v="9"/>
  </r>
  <r>
    <d v="2024-06-11T00:00:00"/>
    <x v="3"/>
    <x v="1"/>
    <x v="23"/>
    <x v="3"/>
    <x v="2"/>
    <n v="5"/>
    <n v="538.52"/>
    <s v="Store B"/>
    <x v="0"/>
    <n v="0.05"/>
    <x v="1"/>
    <n v="2557.9699999999998"/>
    <n v="1615.56"/>
    <n v="896.59999999999991"/>
    <n v="0.35051232031650098"/>
    <n v="2557.9699999999998"/>
    <s v="Gift Card"/>
    <m/>
    <x v="1"/>
    <n v="0"/>
    <x v="0"/>
    <x v="817"/>
    <s v="Cust 4095"/>
    <n v="45.81"/>
    <d v="2024-06-11T00:00:00"/>
    <d v="2024-06-17T00:00:00"/>
    <s v="Cameron"/>
    <n v="6"/>
  </r>
  <r>
    <d v="2024-04-29T00:00:00"/>
    <x v="7"/>
    <x v="1"/>
    <x v="9"/>
    <x v="1"/>
    <x v="1"/>
    <n v="11"/>
    <n v="255.95"/>
    <s v="Store C"/>
    <x v="0"/>
    <n v="0.1"/>
    <x v="1"/>
    <n v="2533.9049999999997"/>
    <n v="1689.27"/>
    <n v="822.64499999999975"/>
    <n v="0.3246550285034363"/>
    <n v="2533.9050000000002"/>
    <s v="Online"/>
    <m/>
    <x v="1"/>
    <n v="0"/>
    <x v="0"/>
    <x v="818"/>
    <s v="Cust 7833"/>
    <n v="21.99"/>
    <d v="2024-04-29T00:00:00"/>
    <d v="2024-05-04T00:00:00"/>
    <s v="Sophie"/>
    <n v="5"/>
  </r>
  <r>
    <d v="2023-03-27T00:00:00"/>
    <x v="6"/>
    <x v="0"/>
    <x v="17"/>
    <x v="1"/>
    <x v="2"/>
    <n v="7"/>
    <n v="290.22000000000003"/>
    <s v="Store A"/>
    <x v="1"/>
    <n v="0.1"/>
    <x v="1"/>
    <n v="1828.3860000000002"/>
    <n v="1218.924"/>
    <n v="576.31200000000024"/>
    <n v="0.31520258851249144"/>
    <n v="1828.386"/>
    <s v="Cash"/>
    <s v="WINTER15"/>
    <x v="0"/>
    <n v="0"/>
    <x v="0"/>
    <x v="819"/>
    <s v="Cust 5826"/>
    <n v="33.15"/>
    <d v="2023-03-27T00:00:00"/>
    <d v="2023-04-04T00:00:00"/>
    <s v="Sophie"/>
    <n v="8"/>
  </r>
  <r>
    <d v="2024-10-23T00:00:00"/>
    <x v="5"/>
    <x v="1"/>
    <x v="7"/>
    <x v="2"/>
    <x v="3"/>
    <n v="20"/>
    <n v="198.95"/>
    <s v="Store B"/>
    <x v="1"/>
    <n v="0.1"/>
    <x v="4"/>
    <n v="3581.1"/>
    <n v="2387.3999999999996"/>
    <n v="1188.5400000000002"/>
    <n v="0.33189243528524759"/>
    <n v="3581.1"/>
    <s v="Credit Card"/>
    <m/>
    <x v="1"/>
    <n v="1"/>
    <x v="1"/>
    <x v="820"/>
    <s v="Cust 9410"/>
    <n v="5.16"/>
    <d v="2024-10-23T00:00:00"/>
    <d v="2024-10-25T00:00:00"/>
    <s v="Ryan"/>
    <n v="2"/>
  </r>
  <r>
    <d v="2023-06-21T00:00:00"/>
    <x v="3"/>
    <x v="0"/>
    <x v="4"/>
    <x v="2"/>
    <x v="6"/>
    <n v="11"/>
    <n v="577.1"/>
    <s v="Store C"/>
    <x v="1"/>
    <n v="0.15"/>
    <x v="2"/>
    <n v="5395.8850000000002"/>
    <n v="3808.8599999999997"/>
    <n v="1573.8650000000005"/>
    <n v="0.29167875149303596"/>
    <n v="5395.8850000000002"/>
    <s v="Cash"/>
    <s v="SAVE10"/>
    <x v="0"/>
    <n v="0"/>
    <x v="0"/>
    <x v="821"/>
    <s v="Cust 9397"/>
    <n v="13.16"/>
    <d v="2023-06-21T00:00:00"/>
    <d v="2023-06-28T00:00:00"/>
    <s v="Ryan"/>
    <n v="7"/>
  </r>
  <r>
    <d v="2023-05-12T00:00:00"/>
    <x v="2"/>
    <x v="0"/>
    <x v="2"/>
    <x v="3"/>
    <x v="6"/>
    <n v="10"/>
    <n v="50.1"/>
    <s v="Store A"/>
    <x v="0"/>
    <n v="0.1"/>
    <x v="5"/>
    <n v="450.90000000000003"/>
    <n v="300.59999999999997"/>
    <n v="126.87000000000006"/>
    <n v="0.28137059214903537"/>
    <n v="450.9"/>
    <s v="Cash"/>
    <s v="FREESHIP"/>
    <x v="0"/>
    <n v="1"/>
    <x v="1"/>
    <x v="822"/>
    <s v="Cust 6665"/>
    <n v="23.43"/>
    <d v="2023-05-12T00:00:00"/>
    <d v="2023-05-19T00:00:00"/>
    <s v="Cameron"/>
    <n v="7"/>
  </r>
  <r>
    <d v="2024-10-20T00:00:00"/>
    <x v="5"/>
    <x v="1"/>
    <x v="7"/>
    <x v="3"/>
    <x v="6"/>
    <n v="19"/>
    <n v="554.5"/>
    <s v="Store B"/>
    <x v="1"/>
    <n v="0.15"/>
    <x v="3"/>
    <n v="8955.1749999999993"/>
    <n v="6321.3"/>
    <n v="2586.7149999999992"/>
    <n v="0.28885141831399158"/>
    <n v="8955.1749999999993"/>
    <s v="Online"/>
    <m/>
    <x v="1"/>
    <n v="1"/>
    <x v="1"/>
    <x v="823"/>
    <s v="Cust 2590"/>
    <n v="47.16"/>
    <d v="2024-10-20T00:00:00"/>
    <d v="2024-10-24T00:00:00"/>
    <s v="Cameron"/>
    <n v="4"/>
  </r>
  <r>
    <d v="2024-04-04T00:00:00"/>
    <x v="7"/>
    <x v="1"/>
    <x v="9"/>
    <x v="2"/>
    <x v="0"/>
    <n v="14"/>
    <n v="117.31"/>
    <s v="Store A"/>
    <x v="0"/>
    <n v="0"/>
    <x v="4"/>
    <n v="1642.3400000000001"/>
    <n v="985.404"/>
    <n v="615.69600000000014"/>
    <n v="0.37488948695154478"/>
    <n v="1642.34"/>
    <s v="Online"/>
    <s v="WINTER15"/>
    <x v="0"/>
    <n v="0"/>
    <x v="0"/>
    <x v="824"/>
    <s v="Cust 4599"/>
    <n v="41.24"/>
    <d v="2024-04-04T00:00:00"/>
    <d v="2024-04-07T00:00:00"/>
    <s v="Ryan"/>
    <n v="3"/>
  </r>
  <r>
    <d v="2025-01-12T00:00:00"/>
    <x v="4"/>
    <x v="2"/>
    <x v="12"/>
    <x v="3"/>
    <x v="5"/>
    <n v="3"/>
    <n v="193.98"/>
    <s v="Store A"/>
    <x v="1"/>
    <n v="0"/>
    <x v="5"/>
    <n v="581.93999999999994"/>
    <n v="349.16399999999999"/>
    <n v="205.24599999999995"/>
    <n v="0.35269271746228131"/>
    <n v="581.93999999999994"/>
    <s v="Credit Card"/>
    <s v="WINTER15"/>
    <x v="0"/>
    <n v="0"/>
    <x v="0"/>
    <x v="825"/>
    <s v="Cust 7166"/>
    <n v="27.53"/>
    <d v="2025-01-12T00:00:00"/>
    <d v="2025-01-16T00:00:00"/>
    <s v="Cameron"/>
    <n v="4"/>
  </r>
  <r>
    <d v="2023-07-24T00:00:00"/>
    <x v="8"/>
    <x v="0"/>
    <x v="11"/>
    <x v="1"/>
    <x v="1"/>
    <n v="20"/>
    <n v="386.86"/>
    <s v="Store A"/>
    <x v="0"/>
    <n v="0.05"/>
    <x v="3"/>
    <n v="7350.34"/>
    <n v="4642.32"/>
    <n v="2666.4600000000005"/>
    <n v="0.36276689241586108"/>
    <n v="7350.34"/>
    <s v="Online"/>
    <s v="WINTER15"/>
    <x v="0"/>
    <n v="0"/>
    <x v="0"/>
    <x v="826"/>
    <s v="Cust 6177"/>
    <n v="41.56"/>
    <d v="2023-07-24T00:00:00"/>
    <d v="2023-07-29T00:00:00"/>
    <s v="Sophie"/>
    <n v="5"/>
  </r>
  <r>
    <d v="2023-09-09T00:00:00"/>
    <x v="11"/>
    <x v="0"/>
    <x v="22"/>
    <x v="2"/>
    <x v="3"/>
    <n v="12"/>
    <n v="81.33"/>
    <s v="Store D"/>
    <x v="0"/>
    <n v="0"/>
    <x v="3"/>
    <n v="975.96"/>
    <n v="585.57599999999991"/>
    <n v="359.65400000000011"/>
    <n v="0.36851305381368099"/>
    <n v="975.96"/>
    <s v="Cash"/>
    <s v="SAVE10"/>
    <x v="0"/>
    <n v="1"/>
    <x v="1"/>
    <x v="827"/>
    <s v="Cust 6229"/>
    <n v="30.73"/>
    <d v="2023-09-09T00:00:00"/>
    <d v="2023-09-13T00:00:00"/>
    <s v="Ryan"/>
    <n v="4"/>
  </r>
  <r>
    <d v="2024-04-20T00:00:00"/>
    <x v="7"/>
    <x v="1"/>
    <x v="9"/>
    <x v="0"/>
    <x v="6"/>
    <n v="5"/>
    <n v="550.65"/>
    <s v="Store A"/>
    <x v="1"/>
    <n v="0.15"/>
    <x v="5"/>
    <n v="2340.2624999999998"/>
    <n v="1651.9499999999998"/>
    <n v="671.49249999999995"/>
    <n v="0.28693041913033263"/>
    <n v="2340.2624999999998"/>
    <s v="Gift Card"/>
    <m/>
    <x v="1"/>
    <n v="0"/>
    <x v="0"/>
    <x v="828"/>
    <s v="Cust 2899"/>
    <n v="16.82"/>
    <d v="2024-04-20T00:00:00"/>
    <d v="2024-04-27T00:00:00"/>
    <s v="Eric"/>
    <n v="7"/>
  </r>
  <r>
    <d v="2025-02-06T00:00:00"/>
    <x v="0"/>
    <x v="2"/>
    <x v="3"/>
    <x v="4"/>
    <x v="6"/>
    <n v="4"/>
    <n v="473.91"/>
    <s v="Store A"/>
    <x v="1"/>
    <n v="0.05"/>
    <x v="0"/>
    <n v="1800.8579999999999"/>
    <n v="1137.384"/>
    <n v="634.25399999999991"/>
    <n v="0.35219545350049808"/>
    <n v="1800.8579999999999"/>
    <s v="Credit Card"/>
    <s v="SAVE10"/>
    <x v="0"/>
    <n v="0"/>
    <x v="0"/>
    <x v="829"/>
    <s v="Cust 5322"/>
    <n v="29.22"/>
    <d v="2025-02-06T00:00:00"/>
    <d v="2025-02-14T00:00:00"/>
    <s v="Wendy"/>
    <n v="8"/>
  </r>
  <r>
    <d v="2023-06-18T00:00:00"/>
    <x v="3"/>
    <x v="0"/>
    <x v="4"/>
    <x v="4"/>
    <x v="5"/>
    <n v="19"/>
    <n v="25.22"/>
    <s v="Store C"/>
    <x v="0"/>
    <n v="0"/>
    <x v="5"/>
    <n v="479.17999999999995"/>
    <n v="287.50799999999998"/>
    <n v="160.36199999999997"/>
    <n v="0.33465920948286654"/>
    <n v="479.17999999999989"/>
    <s v="Credit Card"/>
    <m/>
    <x v="1"/>
    <n v="0"/>
    <x v="0"/>
    <x v="830"/>
    <s v="Cust 7063"/>
    <n v="31.31"/>
    <d v="2023-06-18T00:00:00"/>
    <d v="2023-06-22T00:00:00"/>
    <s v="Wendy"/>
    <n v="4"/>
  </r>
  <r>
    <d v="2024-11-01T00:00:00"/>
    <x v="9"/>
    <x v="1"/>
    <x v="20"/>
    <x v="2"/>
    <x v="1"/>
    <n v="2"/>
    <n v="437.04"/>
    <s v="Store C"/>
    <x v="0"/>
    <n v="0"/>
    <x v="2"/>
    <n v="874.08"/>
    <n v="524.44799999999998"/>
    <n v="312.26200000000006"/>
    <n v="0.357246476295076"/>
    <n v="874.08"/>
    <s v="Credit Card"/>
    <s v="SAVE10"/>
    <x v="0"/>
    <n v="1"/>
    <x v="1"/>
    <x v="831"/>
    <s v="Cust 7487"/>
    <n v="37.369999999999997"/>
    <d v="2024-11-01T00:00:00"/>
    <d v="2024-11-08T00:00:00"/>
    <s v="Ryan"/>
    <n v="7"/>
  </r>
  <r>
    <d v="2024-08-12T00:00:00"/>
    <x v="10"/>
    <x v="1"/>
    <x v="29"/>
    <x v="4"/>
    <x v="2"/>
    <n v="5"/>
    <n v="448.86"/>
    <s v="Store C"/>
    <x v="0"/>
    <n v="0.15"/>
    <x v="2"/>
    <n v="1907.6550000000002"/>
    <n v="1346.58"/>
    <n v="539.85500000000025"/>
    <n v="0.28299404242381365"/>
    <n v="1907.655"/>
    <s v="Credit Card"/>
    <s v="SAVE10"/>
    <x v="0"/>
    <n v="1"/>
    <x v="1"/>
    <x v="832"/>
    <s v="Cust 5481"/>
    <n v="21.22"/>
    <d v="2024-08-12T00:00:00"/>
    <d v="2024-08-21T00:00:00"/>
    <s v="Wendy"/>
    <n v="9"/>
  </r>
  <r>
    <d v="2025-04-08T00:00:00"/>
    <x v="7"/>
    <x v="2"/>
    <x v="28"/>
    <x v="3"/>
    <x v="1"/>
    <n v="14"/>
    <n v="299.94"/>
    <s v="Store D"/>
    <x v="1"/>
    <n v="0"/>
    <x v="3"/>
    <n v="4199.16"/>
    <n v="2519.4960000000001"/>
    <n v="1658.6239999999998"/>
    <n v="0.39498947408529322"/>
    <n v="4199.16"/>
    <s v="Gift Card"/>
    <s v="FREESHIP"/>
    <x v="0"/>
    <n v="0"/>
    <x v="0"/>
    <x v="833"/>
    <s v="Cust 3150"/>
    <n v="21.04"/>
    <d v="2025-04-08T00:00:00"/>
    <d v="2025-04-17T00:00:00"/>
    <s v="Cameron"/>
    <n v="9"/>
  </r>
  <r>
    <d v="2024-07-20T00:00:00"/>
    <x v="8"/>
    <x v="1"/>
    <x v="10"/>
    <x v="3"/>
    <x v="0"/>
    <n v="8"/>
    <n v="224.18"/>
    <s v="Store B"/>
    <x v="1"/>
    <n v="0.15"/>
    <x v="5"/>
    <n v="1524.424"/>
    <n v="1076.0640000000001"/>
    <n v="411.45999999999992"/>
    <n v="0.26991178307347558"/>
    <n v="1524.424"/>
    <s v="Debit Card"/>
    <m/>
    <x v="1"/>
    <n v="0"/>
    <x v="0"/>
    <x v="834"/>
    <s v="Cust 5099"/>
    <n v="36.9"/>
    <d v="2024-07-20T00:00:00"/>
    <d v="2024-07-26T00:00:00"/>
    <s v="Cameron"/>
    <n v="6"/>
  </r>
  <r>
    <d v="2023-02-17T00:00:00"/>
    <x v="0"/>
    <x v="0"/>
    <x v="0"/>
    <x v="4"/>
    <x v="2"/>
    <n v="6"/>
    <n v="327.69"/>
    <s v="Store D"/>
    <x v="0"/>
    <n v="0.05"/>
    <x v="4"/>
    <n v="1867.8329999999999"/>
    <n v="1179.684"/>
    <n v="665.80899999999986"/>
    <n v="0.35646066859296305"/>
    <n v="1867.8330000000001"/>
    <s v="Cash"/>
    <m/>
    <x v="1"/>
    <n v="0"/>
    <x v="0"/>
    <x v="835"/>
    <s v="Cust 6615"/>
    <n v="22.34"/>
    <d v="2023-02-17T00:00:00"/>
    <d v="2023-02-21T00:00:00"/>
    <s v="Wendy"/>
    <n v="4"/>
  </r>
  <r>
    <d v="2024-07-02T00:00:00"/>
    <x v="8"/>
    <x v="1"/>
    <x v="10"/>
    <x v="0"/>
    <x v="1"/>
    <n v="8"/>
    <n v="432.27"/>
    <s v="Store D"/>
    <x v="1"/>
    <n v="0.05"/>
    <x v="0"/>
    <n v="3285.2519999999995"/>
    <n v="2074.8959999999997"/>
    <n v="1189.7159999999997"/>
    <n v="0.3621384295633942"/>
    <n v="3285.251999999999"/>
    <s v="Cash"/>
    <s v="FREESHIP"/>
    <x v="0"/>
    <n v="1"/>
    <x v="1"/>
    <x v="836"/>
    <s v="Cust 6924"/>
    <n v="20.64"/>
    <d v="2024-07-02T00:00:00"/>
    <d v="2024-07-04T00:00:00"/>
    <s v="Eric"/>
    <n v="2"/>
  </r>
  <r>
    <d v="2025-04-01T00:00:00"/>
    <x v="7"/>
    <x v="2"/>
    <x v="28"/>
    <x v="2"/>
    <x v="4"/>
    <n v="4"/>
    <n v="249.98"/>
    <s v="Store C"/>
    <x v="1"/>
    <n v="0.15"/>
    <x v="0"/>
    <n v="849.9319999999999"/>
    <n v="599.952"/>
    <n v="200.89999999999992"/>
    <n v="0.23637185092454449"/>
    <n v="849.9319999999999"/>
    <s v="Debit Card"/>
    <s v="SAVE10"/>
    <x v="0"/>
    <n v="0"/>
    <x v="0"/>
    <x v="837"/>
    <s v="Cust 2411"/>
    <n v="49.08"/>
    <d v="2025-04-01T00:00:00"/>
    <d v="2025-04-04T00:00:00"/>
    <s v="Ryan"/>
    <n v="3"/>
  </r>
  <r>
    <d v="2025-06-02T00:00:00"/>
    <x v="3"/>
    <x v="2"/>
    <x v="16"/>
    <x v="1"/>
    <x v="6"/>
    <n v="14"/>
    <n v="194.31"/>
    <s v="Store C"/>
    <x v="0"/>
    <n v="0.15"/>
    <x v="2"/>
    <n v="2312.2890000000002"/>
    <n v="1632.204"/>
    <n v="664.78500000000031"/>
    <n v="0.28750082710249464"/>
    <n v="2312.2890000000002"/>
    <s v="Debit Card"/>
    <s v="FREESHIP"/>
    <x v="0"/>
    <n v="0"/>
    <x v="0"/>
    <x v="838"/>
    <s v="Cust 9648"/>
    <n v="15.3"/>
    <d v="2025-06-02T00:00:00"/>
    <d v="2025-06-09T00:00:00"/>
    <s v="Sophie"/>
    <n v="7"/>
  </r>
  <r>
    <d v="2024-11-21T00:00:00"/>
    <x v="9"/>
    <x v="1"/>
    <x v="20"/>
    <x v="4"/>
    <x v="1"/>
    <n v="5"/>
    <n v="69.290000000000006"/>
    <s v="Store C"/>
    <x v="0"/>
    <n v="0"/>
    <x v="3"/>
    <n v="346.45000000000005"/>
    <n v="207.87000000000003"/>
    <n v="117.75000000000001"/>
    <n v="0.33987588396594026"/>
    <n v="346.45"/>
    <s v="Credit Card"/>
    <m/>
    <x v="1"/>
    <n v="0"/>
    <x v="0"/>
    <x v="839"/>
    <s v="Cust 1974"/>
    <n v="20.83"/>
    <d v="2024-11-21T00:00:00"/>
    <d v="2024-11-29T00:00:00"/>
    <s v="Wendy"/>
    <n v="8"/>
  </r>
  <r>
    <d v="2024-01-10T00:00:00"/>
    <x v="4"/>
    <x v="1"/>
    <x v="24"/>
    <x v="1"/>
    <x v="6"/>
    <n v="15"/>
    <n v="306.91000000000003"/>
    <s v="Store A"/>
    <x v="1"/>
    <n v="0"/>
    <x v="3"/>
    <n v="4603.6500000000005"/>
    <n v="2762.19"/>
    <n v="1822.0800000000004"/>
    <n v="0.39579029682968953"/>
    <n v="4603.6500000000005"/>
    <s v="Cash"/>
    <s v="FREESHIP"/>
    <x v="0"/>
    <n v="1"/>
    <x v="1"/>
    <x v="840"/>
    <s v="Cust 9452"/>
    <n v="19.38"/>
    <d v="2024-01-10T00:00:00"/>
    <d v="2024-01-14T00:00:00"/>
    <s v="Sophie"/>
    <n v="4"/>
  </r>
  <r>
    <d v="2023-10-21T00:00:00"/>
    <x v="5"/>
    <x v="0"/>
    <x v="19"/>
    <x v="2"/>
    <x v="2"/>
    <n v="4"/>
    <n v="390.3"/>
    <s v="Store A"/>
    <x v="1"/>
    <n v="0.15"/>
    <x v="4"/>
    <n v="1327.02"/>
    <n v="936.72"/>
    <n v="346.73999999999995"/>
    <n v="0.26129221865533298"/>
    <n v="1327.02"/>
    <s v="Debit Card"/>
    <m/>
    <x v="1"/>
    <n v="0"/>
    <x v="0"/>
    <x v="841"/>
    <s v="Cust 4558"/>
    <n v="43.56"/>
    <d v="2023-10-21T00:00:00"/>
    <d v="2023-10-26T00:00:00"/>
    <s v="Ryan"/>
    <n v="5"/>
  </r>
  <r>
    <d v="2025-01-20T00:00:00"/>
    <x v="4"/>
    <x v="2"/>
    <x v="12"/>
    <x v="2"/>
    <x v="1"/>
    <n v="7"/>
    <n v="61.83"/>
    <s v="Store B"/>
    <x v="1"/>
    <n v="0"/>
    <x v="4"/>
    <n v="432.81"/>
    <n v="259.68599999999998"/>
    <n v="147.63400000000001"/>
    <n v="0.34110579700099353"/>
    <n v="432.81"/>
    <s v="Online"/>
    <s v="WINTER15"/>
    <x v="0"/>
    <n v="0"/>
    <x v="0"/>
    <x v="842"/>
    <s v="Cust 8811"/>
    <n v="25.49"/>
    <d v="2025-01-20T00:00:00"/>
    <d v="2025-01-22T00:00:00"/>
    <s v="Ryan"/>
    <n v="2"/>
  </r>
  <r>
    <d v="2024-11-09T00:00:00"/>
    <x v="9"/>
    <x v="1"/>
    <x v="20"/>
    <x v="4"/>
    <x v="4"/>
    <n v="7"/>
    <n v="83.32"/>
    <s v="Store D"/>
    <x v="0"/>
    <n v="0.05"/>
    <x v="3"/>
    <n v="554.07799999999997"/>
    <n v="349.94399999999996"/>
    <n v="180.73400000000001"/>
    <n v="0.32618873155043154"/>
    <n v="554.07799999999997"/>
    <s v="Cash"/>
    <s v="FREESHIP"/>
    <x v="0"/>
    <n v="0"/>
    <x v="0"/>
    <x v="843"/>
    <s v="Cust 7788"/>
    <n v="23.4"/>
    <d v="2024-11-09T00:00:00"/>
    <d v="2024-11-17T00:00:00"/>
    <s v="Wendy"/>
    <n v="8"/>
  </r>
  <r>
    <d v="2024-04-03T00:00:00"/>
    <x v="7"/>
    <x v="1"/>
    <x v="9"/>
    <x v="4"/>
    <x v="4"/>
    <n v="4"/>
    <n v="563.05999999999995"/>
    <s v="Store D"/>
    <x v="1"/>
    <n v="0.05"/>
    <x v="5"/>
    <n v="2139.6279999999997"/>
    <n v="1351.3439999999998"/>
    <n v="768.78399999999988"/>
    <n v="0.35930731884234079"/>
    <n v="2139.6280000000002"/>
    <s v="Cash"/>
    <s v="WINTER15"/>
    <x v="0"/>
    <n v="0"/>
    <x v="0"/>
    <x v="844"/>
    <s v="Cust 2788"/>
    <n v="19.5"/>
    <d v="2024-04-03T00:00:00"/>
    <d v="2024-04-07T00:00:00"/>
    <s v="Wendy"/>
    <n v="4"/>
  </r>
  <r>
    <d v="2024-01-06T00:00:00"/>
    <x v="4"/>
    <x v="1"/>
    <x v="24"/>
    <x v="2"/>
    <x v="1"/>
    <n v="13"/>
    <n v="256.35000000000002"/>
    <s v="Store D"/>
    <x v="0"/>
    <n v="0.15"/>
    <x v="1"/>
    <n v="2832.6675"/>
    <n v="1999.53"/>
    <n v="807.09750000000008"/>
    <n v="0.28492489852762459"/>
    <n v="2832.6675"/>
    <s v="Cash"/>
    <s v="SAVE10"/>
    <x v="0"/>
    <n v="0"/>
    <x v="0"/>
    <x v="845"/>
    <s v="Cust 6621"/>
    <n v="26.04"/>
    <d v="2024-01-06T00:00:00"/>
    <d v="2024-01-08T00:00:00"/>
    <s v="Ryan"/>
    <n v="2"/>
  </r>
  <r>
    <d v="2023-08-02T00:00:00"/>
    <x v="10"/>
    <x v="0"/>
    <x v="18"/>
    <x v="3"/>
    <x v="6"/>
    <n v="9"/>
    <n v="303.26"/>
    <s v="Store A"/>
    <x v="0"/>
    <n v="0.05"/>
    <x v="4"/>
    <n v="2592.873"/>
    <n v="1637.6039999999998"/>
    <n v="938.25900000000024"/>
    <n v="0.36186076217385127"/>
    <n v="2592.873"/>
    <s v="Debit Card"/>
    <s v="FREESHIP"/>
    <x v="0"/>
    <n v="0"/>
    <x v="0"/>
    <x v="846"/>
    <s v="Cust 8575"/>
    <n v="17.010000000000002"/>
    <d v="2023-08-02T00:00:00"/>
    <d v="2023-08-05T00:00:00"/>
    <s v="Cameron"/>
    <n v="3"/>
  </r>
  <r>
    <d v="2023-11-26T00:00:00"/>
    <x v="9"/>
    <x v="0"/>
    <x v="15"/>
    <x v="2"/>
    <x v="3"/>
    <n v="9"/>
    <n v="440.48"/>
    <s v="Store A"/>
    <x v="1"/>
    <n v="0.15"/>
    <x v="4"/>
    <n v="3369.672"/>
    <n v="2378.5920000000001"/>
    <n v="958.13999999999987"/>
    <n v="0.28434221490993777"/>
    <n v="3369.672"/>
    <s v="Gift Card"/>
    <s v="WINTER15"/>
    <x v="0"/>
    <n v="0"/>
    <x v="0"/>
    <x v="847"/>
    <s v="Cust 8799"/>
    <n v="32.94"/>
    <d v="2023-11-26T00:00:00"/>
    <d v="2023-12-01T00:00:00"/>
    <s v="Ryan"/>
    <n v="5"/>
  </r>
  <r>
    <d v="2025-04-20T00:00:00"/>
    <x v="7"/>
    <x v="2"/>
    <x v="28"/>
    <x v="0"/>
    <x v="2"/>
    <n v="17"/>
    <n v="469.25"/>
    <s v="Store B"/>
    <x v="0"/>
    <n v="0.05"/>
    <x v="5"/>
    <n v="7578.3874999999998"/>
    <n v="4786.3500000000004"/>
    <n v="2746.2774999999992"/>
    <n v="0.36238282880098166"/>
    <n v="7578.3874999999998"/>
    <s v="Credit Card"/>
    <m/>
    <x v="1"/>
    <n v="0"/>
    <x v="0"/>
    <x v="848"/>
    <s v="Cust 1699"/>
    <n v="45.76"/>
    <d v="2025-04-20T00:00:00"/>
    <d v="2025-04-26T00:00:00"/>
    <s v="Eric"/>
    <n v="6"/>
  </r>
  <r>
    <d v="2023-12-29T00:00:00"/>
    <x v="1"/>
    <x v="0"/>
    <x v="27"/>
    <x v="1"/>
    <x v="3"/>
    <n v="18"/>
    <n v="491.76"/>
    <s v="Store A"/>
    <x v="0"/>
    <n v="0.15"/>
    <x v="0"/>
    <n v="7523.9279999999999"/>
    <n v="5311.0079999999998"/>
    <n v="2175.4300000000003"/>
    <n v="0.28913487742041127"/>
    <n v="7523.9279999999999"/>
    <s v="Credit Card"/>
    <s v="SAVE10"/>
    <x v="0"/>
    <n v="0"/>
    <x v="0"/>
    <x v="849"/>
    <s v="Cust 5606"/>
    <n v="37.49"/>
    <d v="2023-12-29T00:00:00"/>
    <d v="2024-01-05T00:00:00"/>
    <s v="Sophie"/>
    <n v="7"/>
  </r>
  <r>
    <d v="2025-01-08T00:00:00"/>
    <x v="4"/>
    <x v="2"/>
    <x v="12"/>
    <x v="3"/>
    <x v="3"/>
    <n v="19"/>
    <n v="465.27"/>
    <s v="Store C"/>
    <x v="1"/>
    <n v="0.05"/>
    <x v="4"/>
    <n v="8398.1234999999997"/>
    <n v="5304.0779999999995"/>
    <n v="3049.0955000000004"/>
    <n v="0.36306866647055147"/>
    <n v="8398.1234999999997"/>
    <s v="Credit Card"/>
    <m/>
    <x v="1"/>
    <n v="0"/>
    <x v="0"/>
    <x v="850"/>
    <s v="Cust 4933"/>
    <n v="44.95"/>
    <d v="2025-01-08T00:00:00"/>
    <d v="2025-01-10T00:00:00"/>
    <s v="Cameron"/>
    <n v="2"/>
  </r>
  <r>
    <d v="2024-05-06T00:00:00"/>
    <x v="2"/>
    <x v="1"/>
    <x v="14"/>
    <x v="0"/>
    <x v="3"/>
    <n v="18"/>
    <n v="343.68"/>
    <s v="Store B"/>
    <x v="1"/>
    <n v="0"/>
    <x v="0"/>
    <n v="6186.24"/>
    <n v="3711.7440000000001"/>
    <n v="2454.1259999999997"/>
    <n v="0.39670720825574174"/>
    <n v="6186.24"/>
    <s v="Gift Card"/>
    <s v="SAVE10"/>
    <x v="0"/>
    <n v="0"/>
    <x v="0"/>
    <x v="851"/>
    <s v="Cust 9517"/>
    <n v="20.37"/>
    <d v="2024-05-06T00:00:00"/>
    <d v="2024-05-14T00:00:00"/>
    <s v="Eric"/>
    <n v="8"/>
  </r>
  <r>
    <d v="2024-09-15T00:00:00"/>
    <x v="11"/>
    <x v="1"/>
    <x v="26"/>
    <x v="2"/>
    <x v="2"/>
    <n v="14"/>
    <n v="472.51"/>
    <s v="Store D"/>
    <x v="0"/>
    <n v="0.05"/>
    <x v="5"/>
    <n v="6284.3829999999989"/>
    <n v="3969.0839999999998"/>
    <n v="2301.7589999999991"/>
    <n v="0.36626650539917754"/>
    <n v="6284.3829999999989"/>
    <s v="Gift Card"/>
    <m/>
    <x v="1"/>
    <n v="0"/>
    <x v="0"/>
    <x v="852"/>
    <s v="Cust 6740"/>
    <n v="13.54"/>
    <d v="2024-09-15T00:00:00"/>
    <d v="2024-09-20T00:00:00"/>
    <s v="Ryan"/>
    <n v="5"/>
  </r>
  <r>
    <d v="2023-02-07T00:00:00"/>
    <x v="0"/>
    <x v="0"/>
    <x v="0"/>
    <x v="4"/>
    <x v="0"/>
    <n v="20"/>
    <n v="142.52000000000001"/>
    <s v="Store A"/>
    <x v="1"/>
    <n v="0.1"/>
    <x v="0"/>
    <n v="2565.36"/>
    <n v="1710.24"/>
    <n v="824.45000000000016"/>
    <n v="0.32137789627966451"/>
    <n v="2565.36"/>
    <s v="Cash"/>
    <s v="FREESHIP"/>
    <x v="0"/>
    <n v="0"/>
    <x v="0"/>
    <x v="853"/>
    <s v="Cust 1301"/>
    <n v="30.67"/>
    <d v="2023-02-07T00:00:00"/>
    <d v="2023-02-12T00:00:00"/>
    <s v="Wendy"/>
    <n v="5"/>
  </r>
  <r>
    <d v="2023-03-01T00:00:00"/>
    <x v="6"/>
    <x v="0"/>
    <x v="17"/>
    <x v="0"/>
    <x v="1"/>
    <n v="1"/>
    <n v="31.42"/>
    <s v="Store B"/>
    <x v="1"/>
    <n v="0.05"/>
    <x v="5"/>
    <n v="29.849"/>
    <n v="18.852"/>
    <n v="-0.35299999999999976"/>
    <n v="-1.1826191832222176E-2"/>
    <n v="29.849"/>
    <s v="Credit Card"/>
    <s v="SAVE10"/>
    <x v="0"/>
    <n v="0"/>
    <x v="0"/>
    <x v="854"/>
    <s v="Cust 1736"/>
    <n v="11.35"/>
    <d v="2023-03-01T00:00:00"/>
    <d v="2023-03-09T00:00:00"/>
    <s v="Eric"/>
    <n v="8"/>
  </r>
  <r>
    <d v="2024-05-08T00:00:00"/>
    <x v="2"/>
    <x v="1"/>
    <x v="14"/>
    <x v="2"/>
    <x v="5"/>
    <n v="17"/>
    <n v="572.29"/>
    <s v="Store D"/>
    <x v="1"/>
    <n v="0.15"/>
    <x v="0"/>
    <n v="8269.5905000000002"/>
    <n v="5837.3579999999993"/>
    <n v="2387.2425000000012"/>
    <n v="0.28867723256671551"/>
    <n v="8269.5905000000002"/>
    <s v="Online"/>
    <s v="SAVE10"/>
    <x v="0"/>
    <n v="1"/>
    <x v="1"/>
    <x v="855"/>
    <s v="Cust 6864"/>
    <n v="44.99"/>
    <d v="2024-05-08T00:00:00"/>
    <d v="2024-05-12T00:00:00"/>
    <s v="Ryan"/>
    <n v="4"/>
  </r>
  <r>
    <d v="2024-06-06T00:00:00"/>
    <x v="3"/>
    <x v="1"/>
    <x v="23"/>
    <x v="0"/>
    <x v="2"/>
    <n v="18"/>
    <n v="333.6"/>
    <s v="Store A"/>
    <x v="1"/>
    <n v="0.1"/>
    <x v="3"/>
    <n v="5404.3200000000006"/>
    <n v="3602.88"/>
    <n v="1767.6500000000005"/>
    <n v="0.3270809278503124"/>
    <n v="5404.3200000000006"/>
    <s v="Debit Card"/>
    <s v="FREESHIP"/>
    <x v="0"/>
    <n v="1"/>
    <x v="1"/>
    <x v="856"/>
    <s v="Cust 5207"/>
    <n v="33.79"/>
    <d v="2024-06-06T00:00:00"/>
    <d v="2024-06-08T00:00:00"/>
    <s v="Eric"/>
    <n v="2"/>
  </r>
  <r>
    <d v="2023-04-29T00:00:00"/>
    <x v="7"/>
    <x v="0"/>
    <x v="21"/>
    <x v="2"/>
    <x v="3"/>
    <n v="9"/>
    <n v="90.87"/>
    <s v="Store D"/>
    <x v="1"/>
    <n v="0.15"/>
    <x v="3"/>
    <n v="695.15549999999996"/>
    <n v="490.69799999999998"/>
    <n v="177.89749999999998"/>
    <n v="0.2559103682557356"/>
    <n v="695.15549999999996"/>
    <s v="Debit Card"/>
    <s v="WINTER15"/>
    <x v="0"/>
    <n v="0"/>
    <x v="0"/>
    <x v="857"/>
    <s v="Cust 6525"/>
    <n v="26.56"/>
    <d v="2023-04-29T00:00:00"/>
    <d v="2023-05-08T00:00:00"/>
    <s v="Ryan"/>
    <n v="9"/>
  </r>
  <r>
    <d v="2023-09-20T00:00:00"/>
    <x v="11"/>
    <x v="0"/>
    <x v="22"/>
    <x v="3"/>
    <x v="5"/>
    <n v="9"/>
    <n v="588.59"/>
    <s v="Store D"/>
    <x v="0"/>
    <n v="0.05"/>
    <x v="4"/>
    <n v="5032.4445000000005"/>
    <n v="3178.386"/>
    <n v="1811.7585000000006"/>
    <n v="0.36001559480685785"/>
    <n v="5032.4445000000014"/>
    <s v="Online"/>
    <m/>
    <x v="1"/>
    <n v="0"/>
    <x v="0"/>
    <x v="858"/>
    <s v="Cust 8298"/>
    <n v="42.3"/>
    <d v="2023-09-20T00:00:00"/>
    <d v="2023-09-22T00:00:00"/>
    <s v="Cameron"/>
    <n v="2"/>
  </r>
  <r>
    <d v="2024-11-08T00:00:00"/>
    <x v="9"/>
    <x v="1"/>
    <x v="20"/>
    <x v="1"/>
    <x v="3"/>
    <n v="18"/>
    <n v="153.28"/>
    <s v="Store B"/>
    <x v="1"/>
    <n v="0.05"/>
    <x v="2"/>
    <n v="2621.0879999999997"/>
    <n v="1655.424"/>
    <n v="931.95399999999972"/>
    <n v="0.35555998119864723"/>
    <n v="2621.0880000000002"/>
    <s v="Online"/>
    <s v="WINTER15"/>
    <x v="0"/>
    <n v="1"/>
    <x v="1"/>
    <x v="859"/>
    <s v="Cust 8204"/>
    <n v="33.71"/>
    <d v="2024-11-08T00:00:00"/>
    <d v="2024-11-13T00:00:00"/>
    <s v="Sophie"/>
    <n v="5"/>
  </r>
  <r>
    <d v="2023-03-22T00:00:00"/>
    <x v="6"/>
    <x v="0"/>
    <x v="17"/>
    <x v="2"/>
    <x v="6"/>
    <n v="17"/>
    <n v="194.97"/>
    <s v="Store A"/>
    <x v="1"/>
    <n v="0.15"/>
    <x v="3"/>
    <n v="2817.3164999999999"/>
    <n v="1988.694"/>
    <n v="823.03249999999991"/>
    <n v="0.29213348943932993"/>
    <n v="2817.3164999999999"/>
    <s v="Gift Card"/>
    <s v="SAVE10"/>
    <x v="0"/>
    <n v="1"/>
    <x v="1"/>
    <x v="860"/>
    <s v="Cust 4035"/>
    <n v="5.59"/>
    <d v="2023-03-22T00:00:00"/>
    <d v="2023-03-30T00:00:00"/>
    <s v="Ryan"/>
    <n v="8"/>
  </r>
  <r>
    <d v="2023-09-05T00:00:00"/>
    <x v="11"/>
    <x v="0"/>
    <x v="22"/>
    <x v="0"/>
    <x v="4"/>
    <n v="5"/>
    <n v="367.61"/>
    <s v="Store C"/>
    <x v="1"/>
    <n v="0"/>
    <x v="1"/>
    <n v="1838.0500000000002"/>
    <n v="1102.83"/>
    <n v="715.6700000000003"/>
    <n v="0.38936372786376877"/>
    <n v="1838.05"/>
    <s v="Credit Card"/>
    <s v="SAVE10"/>
    <x v="0"/>
    <n v="0"/>
    <x v="0"/>
    <x v="861"/>
    <s v="Cust 1654"/>
    <n v="19.55"/>
    <d v="2023-09-05T00:00:00"/>
    <d v="2023-09-13T00:00:00"/>
    <s v="Eric"/>
    <n v="8"/>
  </r>
  <r>
    <d v="2023-02-26T00:00:00"/>
    <x v="0"/>
    <x v="0"/>
    <x v="0"/>
    <x v="0"/>
    <x v="0"/>
    <n v="17"/>
    <n v="575.5"/>
    <s v="Store D"/>
    <x v="1"/>
    <n v="0.05"/>
    <x v="1"/>
    <n v="9294.3249999999989"/>
    <n v="5870.1"/>
    <n v="3410.8049999999985"/>
    <n v="0.36697716079435555"/>
    <n v="9294.3249999999989"/>
    <s v="Debit Card"/>
    <s v="FREESHIP"/>
    <x v="0"/>
    <n v="0"/>
    <x v="0"/>
    <x v="862"/>
    <s v="Cust 1823"/>
    <n v="13.42"/>
    <d v="2023-02-26T00:00:00"/>
    <d v="2023-03-05T00:00:00"/>
    <s v="Eric"/>
    <n v="7"/>
  </r>
  <r>
    <d v="2024-11-26T00:00:00"/>
    <x v="9"/>
    <x v="1"/>
    <x v="20"/>
    <x v="4"/>
    <x v="3"/>
    <n v="3"/>
    <n v="229.45"/>
    <s v="Store D"/>
    <x v="1"/>
    <n v="0.15"/>
    <x v="5"/>
    <n v="585.09749999999985"/>
    <n v="413.01"/>
    <n v="152.27749999999986"/>
    <n v="0.26026004212973036"/>
    <n v="585.09749999999985"/>
    <s v="Debit Card"/>
    <s v="WINTER15"/>
    <x v="0"/>
    <n v="1"/>
    <x v="1"/>
    <x v="863"/>
    <s v="Cust 1423"/>
    <n v="19.809999999999999"/>
    <d v="2024-11-26T00:00:00"/>
    <d v="2024-11-29T00:00:00"/>
    <s v="Wendy"/>
    <n v="3"/>
  </r>
  <r>
    <d v="2024-10-14T00:00:00"/>
    <x v="5"/>
    <x v="1"/>
    <x v="7"/>
    <x v="3"/>
    <x v="3"/>
    <n v="3"/>
    <n v="391.63"/>
    <s v="Store C"/>
    <x v="1"/>
    <n v="0"/>
    <x v="2"/>
    <n v="1174.8899999999999"/>
    <n v="704.93399999999997"/>
    <n v="444.59599999999989"/>
    <n v="0.37841500055324323"/>
    <n v="1174.8900000000001"/>
    <s v="Debit Card"/>
    <m/>
    <x v="1"/>
    <n v="1"/>
    <x v="1"/>
    <x v="864"/>
    <s v="Cust 7282"/>
    <n v="25.36"/>
    <d v="2024-10-14T00:00:00"/>
    <d v="2024-10-17T00:00:00"/>
    <s v="Cameron"/>
    <n v="3"/>
  </r>
  <r>
    <d v="2023-05-29T00:00:00"/>
    <x v="2"/>
    <x v="0"/>
    <x v="2"/>
    <x v="3"/>
    <x v="0"/>
    <n v="15"/>
    <n v="67.349999999999994"/>
    <s v="Store D"/>
    <x v="0"/>
    <n v="0.1"/>
    <x v="4"/>
    <n v="909.22499999999991"/>
    <n v="606.15"/>
    <n v="278.22499999999991"/>
    <n v="0.30600236465121389"/>
    <n v="909.22499999999991"/>
    <s v="Online"/>
    <s v="FREESHIP"/>
    <x v="0"/>
    <n v="0"/>
    <x v="0"/>
    <x v="865"/>
    <s v="Cust 8437"/>
    <n v="24.85"/>
    <d v="2023-05-29T00:00:00"/>
    <d v="2023-06-03T00:00:00"/>
    <s v="Cameron"/>
    <n v="5"/>
  </r>
  <r>
    <d v="2024-03-22T00:00:00"/>
    <x v="6"/>
    <x v="1"/>
    <x v="25"/>
    <x v="3"/>
    <x v="0"/>
    <n v="6"/>
    <n v="453.86"/>
    <s v="Store B"/>
    <x v="1"/>
    <n v="0.15"/>
    <x v="1"/>
    <n v="2314.6859999999997"/>
    <n v="1633.8959999999997"/>
    <n v="635.46999999999991"/>
    <n v="0.27453831750829272"/>
    <n v="2314.6860000000001"/>
    <s v="Credit Card"/>
    <m/>
    <x v="1"/>
    <n v="0"/>
    <x v="0"/>
    <x v="866"/>
    <s v="Cust 9508"/>
    <n v="45.32"/>
    <d v="2024-03-22T00:00:00"/>
    <d v="2024-03-31T00:00:00"/>
    <s v="Cameron"/>
    <n v="9"/>
  </r>
  <r>
    <d v="2023-04-22T00:00:00"/>
    <x v="7"/>
    <x v="0"/>
    <x v="21"/>
    <x v="1"/>
    <x v="5"/>
    <n v="19"/>
    <n v="537.70000000000005"/>
    <s v="Store D"/>
    <x v="0"/>
    <n v="0"/>
    <x v="5"/>
    <n v="10216.300000000001"/>
    <n v="6129.78"/>
    <n v="4040.6900000000014"/>
    <n v="0.39551403149868358"/>
    <n v="10216.299999999999"/>
    <s v="Online"/>
    <s v="SAVE10"/>
    <x v="0"/>
    <n v="0"/>
    <x v="0"/>
    <x v="867"/>
    <s v="Cust 1186"/>
    <n v="45.83"/>
    <d v="2023-04-22T00:00:00"/>
    <d v="2023-05-02T00:00:00"/>
    <s v="Sophie"/>
    <n v="10"/>
  </r>
  <r>
    <d v="2025-06-06T00:00:00"/>
    <x v="3"/>
    <x v="2"/>
    <x v="16"/>
    <x v="2"/>
    <x v="1"/>
    <n v="5"/>
    <n v="32.56"/>
    <s v="Store C"/>
    <x v="1"/>
    <n v="0.05"/>
    <x v="4"/>
    <n v="154.66"/>
    <n v="97.68"/>
    <n v="10.249999999999993"/>
    <n v="6.6274408379671496E-2"/>
    <n v="154.66"/>
    <s v="Cash"/>
    <s v="FREESHIP"/>
    <x v="0"/>
    <n v="0"/>
    <x v="0"/>
    <x v="868"/>
    <s v="Cust 4362"/>
    <n v="46.73"/>
    <d v="2025-06-06T00:00:00"/>
    <d v="2025-06-12T00:00:00"/>
    <s v="Ryan"/>
    <n v="6"/>
  </r>
  <r>
    <d v="2023-01-25T00:00:00"/>
    <x v="4"/>
    <x v="0"/>
    <x v="6"/>
    <x v="3"/>
    <x v="0"/>
    <n v="2"/>
    <n v="196.7"/>
    <s v="Store A"/>
    <x v="1"/>
    <n v="0"/>
    <x v="2"/>
    <n v="393.4"/>
    <n v="236.03999999999996"/>
    <n v="121.52000000000001"/>
    <n v="0.30889679715302498"/>
    <n v="393.4"/>
    <s v="Online"/>
    <s v="FREESHIP"/>
    <x v="0"/>
    <n v="0"/>
    <x v="0"/>
    <x v="869"/>
    <s v="Cust 9388"/>
    <n v="35.840000000000003"/>
    <d v="2023-01-25T00:00:00"/>
    <d v="2023-01-29T00:00:00"/>
    <s v="Cameron"/>
    <n v="4"/>
  </r>
  <r>
    <d v="2023-09-08T00:00:00"/>
    <x v="11"/>
    <x v="0"/>
    <x v="22"/>
    <x v="1"/>
    <x v="1"/>
    <n v="12"/>
    <n v="369.45"/>
    <s v="Store D"/>
    <x v="0"/>
    <n v="0.1"/>
    <x v="2"/>
    <n v="3990.06"/>
    <n v="2660.04"/>
    <n v="1285.26"/>
    <n v="0.32211545691042243"/>
    <n v="3990.06"/>
    <s v="Credit Card"/>
    <s v="WINTER15"/>
    <x v="0"/>
    <n v="1"/>
    <x v="1"/>
    <x v="870"/>
    <s v="Cust 4015"/>
    <n v="44.76"/>
    <d v="2023-09-08T00:00:00"/>
    <d v="2023-09-10T00:00:00"/>
    <s v="Sophie"/>
    <n v="2"/>
  </r>
  <r>
    <d v="2024-10-04T00:00:00"/>
    <x v="5"/>
    <x v="1"/>
    <x v="7"/>
    <x v="0"/>
    <x v="5"/>
    <n v="12"/>
    <n v="181.96"/>
    <s v="Store D"/>
    <x v="1"/>
    <n v="0.15"/>
    <x v="0"/>
    <n v="1855.992"/>
    <n v="1310.1120000000001"/>
    <n v="520.81999999999994"/>
    <n v="0.28061543368721414"/>
    <n v="1855.992"/>
    <s v="Gift Card"/>
    <s v="WINTER15"/>
    <x v="0"/>
    <n v="0"/>
    <x v="0"/>
    <x v="871"/>
    <s v="Cust 6428"/>
    <n v="25.06"/>
    <d v="2024-10-04T00:00:00"/>
    <d v="2024-10-11T00:00:00"/>
    <s v="Eric"/>
    <n v="7"/>
  </r>
  <r>
    <d v="2025-04-06T00:00:00"/>
    <x v="7"/>
    <x v="2"/>
    <x v="28"/>
    <x v="0"/>
    <x v="2"/>
    <n v="3"/>
    <n v="32.07"/>
    <s v="Store D"/>
    <x v="1"/>
    <n v="0.15"/>
    <x v="1"/>
    <n v="81.778500000000008"/>
    <n v="57.725999999999999"/>
    <n v="-19.127499999999991"/>
    <n v="-0.23389399414271464"/>
    <n v="81.778500000000008"/>
    <s v="Online"/>
    <s v="WINTER15"/>
    <x v="0"/>
    <n v="1"/>
    <x v="1"/>
    <x v="872"/>
    <s v="Cust 2570"/>
    <n v="43.18"/>
    <d v="2025-04-06T00:00:00"/>
    <d v="2025-04-08T00:00:00"/>
    <s v="Eric"/>
    <n v="2"/>
  </r>
  <r>
    <d v="2024-08-25T00:00:00"/>
    <x v="10"/>
    <x v="1"/>
    <x v="29"/>
    <x v="0"/>
    <x v="0"/>
    <n v="15"/>
    <n v="39.93"/>
    <s v="Store A"/>
    <x v="1"/>
    <n v="0.15"/>
    <x v="4"/>
    <n v="509.10750000000002"/>
    <n v="359.37"/>
    <n v="116.29750000000001"/>
    <n v="0.22843407335385946"/>
    <n v="509.10750000000002"/>
    <s v="Debit Card"/>
    <s v="WINTER15"/>
    <x v="0"/>
    <n v="0"/>
    <x v="0"/>
    <x v="873"/>
    <s v="Cust 5132"/>
    <n v="33.44"/>
    <d v="2024-08-25T00:00:00"/>
    <d v="2024-08-29T00:00:00"/>
    <s v="Eric"/>
    <n v="4"/>
  </r>
  <r>
    <d v="2024-03-06T00:00:00"/>
    <x v="6"/>
    <x v="1"/>
    <x v="25"/>
    <x v="2"/>
    <x v="1"/>
    <n v="7"/>
    <n v="374.43"/>
    <s v="Store A"/>
    <x v="1"/>
    <n v="0.15"/>
    <x v="3"/>
    <n v="2227.8585000000003"/>
    <n v="1572.606"/>
    <n v="626.28250000000025"/>
    <n v="0.28111412820877096"/>
    <n v="2227.8584999999998"/>
    <s v="Cash"/>
    <s v="SAVE10"/>
    <x v="0"/>
    <n v="0"/>
    <x v="0"/>
    <x v="874"/>
    <s v="Cust 4929"/>
    <n v="28.97"/>
    <d v="2024-03-06T00:00:00"/>
    <d v="2024-03-12T00:00:00"/>
    <s v="Ryan"/>
    <n v="6"/>
  </r>
  <r>
    <d v="2023-03-23T00:00:00"/>
    <x v="6"/>
    <x v="0"/>
    <x v="17"/>
    <x v="0"/>
    <x v="6"/>
    <n v="2"/>
    <n v="101.87"/>
    <s v="Store C"/>
    <x v="0"/>
    <n v="0"/>
    <x v="4"/>
    <n v="203.74"/>
    <n v="122.244"/>
    <n v="52.866000000000014"/>
    <n v="0.25947776577991566"/>
    <n v="203.74"/>
    <s v="Cash"/>
    <s v="FREESHIP"/>
    <x v="0"/>
    <n v="0"/>
    <x v="0"/>
    <x v="875"/>
    <s v="Cust 4018"/>
    <n v="28.63"/>
    <d v="2023-03-23T00:00:00"/>
    <d v="2023-03-26T00:00:00"/>
    <s v="Eric"/>
    <n v="3"/>
  </r>
  <r>
    <d v="2024-01-13T00:00:00"/>
    <x v="4"/>
    <x v="1"/>
    <x v="24"/>
    <x v="3"/>
    <x v="5"/>
    <n v="13"/>
    <n v="343.45"/>
    <s v="Store D"/>
    <x v="0"/>
    <n v="0.05"/>
    <x v="1"/>
    <n v="4241.6074999999992"/>
    <n v="2678.91"/>
    <n v="1535.4374999999993"/>
    <n v="0.36199424392756746"/>
    <n v="4241.6074999999992"/>
    <s v="Gift Card"/>
    <s v="SAVE10"/>
    <x v="0"/>
    <n v="0"/>
    <x v="0"/>
    <x v="876"/>
    <s v="Cust 8069"/>
    <n v="27.26"/>
    <d v="2024-01-13T00:00:00"/>
    <d v="2024-01-17T00:00:00"/>
    <s v="Cameron"/>
    <n v="4"/>
  </r>
  <r>
    <d v="2023-07-18T00:00:00"/>
    <x v="8"/>
    <x v="0"/>
    <x v="11"/>
    <x v="3"/>
    <x v="6"/>
    <n v="15"/>
    <n v="144.11000000000001"/>
    <s v="Store C"/>
    <x v="1"/>
    <n v="0"/>
    <x v="2"/>
    <n v="2161.65"/>
    <n v="1296.9900000000002"/>
    <n v="836.14999999999986"/>
    <n v="0.38681100085582765"/>
    <n v="2161.65"/>
    <s v="Gift Card"/>
    <m/>
    <x v="1"/>
    <n v="0"/>
    <x v="0"/>
    <x v="877"/>
    <s v="Cust 6741"/>
    <n v="28.51"/>
    <d v="2023-07-18T00:00:00"/>
    <d v="2023-07-24T00:00:00"/>
    <s v="Cameron"/>
    <n v="6"/>
  </r>
  <r>
    <d v="2025-02-23T00:00:00"/>
    <x v="0"/>
    <x v="2"/>
    <x v="3"/>
    <x v="4"/>
    <x v="3"/>
    <n v="18"/>
    <n v="403.68"/>
    <s v="Store A"/>
    <x v="1"/>
    <n v="0.15"/>
    <x v="3"/>
    <n v="6176.3040000000001"/>
    <n v="4359.7439999999997"/>
    <n v="1803.4700000000005"/>
    <n v="0.29199825656250089"/>
    <n v="6176.3040000000001"/>
    <s v="Cash"/>
    <s v="FREESHIP"/>
    <x v="0"/>
    <n v="0"/>
    <x v="0"/>
    <x v="878"/>
    <s v="Cust 8050"/>
    <n v="13.09"/>
    <d v="2025-02-23T00:00:00"/>
    <d v="2025-03-04T00:00:00"/>
    <s v="Wendy"/>
    <n v="9"/>
  </r>
  <r>
    <d v="2023-02-22T00:00:00"/>
    <x v="0"/>
    <x v="0"/>
    <x v="0"/>
    <x v="0"/>
    <x v="6"/>
    <n v="14"/>
    <n v="346.57"/>
    <s v="Store B"/>
    <x v="1"/>
    <n v="0.1"/>
    <x v="3"/>
    <n v="4366.7820000000002"/>
    <n v="2911.1879999999996"/>
    <n v="1418.7640000000006"/>
    <n v="0.32489920495229679"/>
    <n v="4366.7820000000002"/>
    <s v="Debit Card"/>
    <s v="FREESHIP"/>
    <x v="0"/>
    <n v="0"/>
    <x v="0"/>
    <x v="879"/>
    <s v="Cust 2434"/>
    <n v="36.83"/>
    <d v="2023-02-22T00:00:00"/>
    <d v="2023-03-02T00:00:00"/>
    <s v="Eric"/>
    <n v="8"/>
  </r>
  <r>
    <d v="2024-10-18T00:00:00"/>
    <x v="5"/>
    <x v="1"/>
    <x v="7"/>
    <x v="2"/>
    <x v="6"/>
    <n v="7"/>
    <n v="392.79"/>
    <s v="Store C"/>
    <x v="0"/>
    <n v="0"/>
    <x v="0"/>
    <n v="2749.53"/>
    <n v="1649.7180000000001"/>
    <n v="1053.9620000000002"/>
    <n v="0.38332442271951939"/>
    <n v="2749.53"/>
    <s v="Gift Card"/>
    <s v="WINTER15"/>
    <x v="0"/>
    <n v="0"/>
    <x v="0"/>
    <x v="880"/>
    <s v="Cust 9089"/>
    <n v="45.85"/>
    <d v="2024-10-18T00:00:00"/>
    <d v="2024-10-28T00:00:00"/>
    <s v="Ryan"/>
    <n v="10"/>
  </r>
  <r>
    <d v="2023-10-26T00:00:00"/>
    <x v="5"/>
    <x v="0"/>
    <x v="19"/>
    <x v="4"/>
    <x v="6"/>
    <n v="16"/>
    <n v="70.83"/>
    <s v="Store B"/>
    <x v="0"/>
    <n v="0.05"/>
    <x v="3"/>
    <n v="1076.616"/>
    <n v="679.96799999999996"/>
    <n v="391.59800000000001"/>
    <n v="0.36373042941958883"/>
    <n v="1076.616"/>
    <s v="Gift Card"/>
    <m/>
    <x v="1"/>
    <n v="0"/>
    <x v="0"/>
    <x v="881"/>
    <s v="Cust 1091"/>
    <n v="5.05"/>
    <d v="2023-10-26T00:00:00"/>
    <d v="2023-10-31T00:00:00"/>
    <s v="Wendy"/>
    <n v="5"/>
  </r>
  <r>
    <d v="2023-01-10T00:00:00"/>
    <x v="4"/>
    <x v="0"/>
    <x v="6"/>
    <x v="3"/>
    <x v="4"/>
    <n v="20"/>
    <n v="274.37"/>
    <s v="Store B"/>
    <x v="1"/>
    <n v="0.1"/>
    <x v="0"/>
    <n v="4938.66"/>
    <n v="3292.4399999999996"/>
    <n v="1633.9400000000003"/>
    <n v="0.33084682889690731"/>
    <n v="4938.66"/>
    <s v="Gift Card"/>
    <s v="WINTER15"/>
    <x v="0"/>
    <n v="0"/>
    <x v="0"/>
    <x v="882"/>
    <s v="Cust 6138"/>
    <n v="12.28"/>
    <d v="2023-01-10T00:00:00"/>
    <d v="2023-01-14T00:00:00"/>
    <s v="Cameron"/>
    <n v="4"/>
  </r>
  <r>
    <d v="2024-03-19T00:00:00"/>
    <x v="6"/>
    <x v="1"/>
    <x v="25"/>
    <x v="3"/>
    <x v="2"/>
    <n v="10"/>
    <n v="19.73"/>
    <s v="Store D"/>
    <x v="1"/>
    <n v="0.1"/>
    <x v="3"/>
    <n v="177.57000000000002"/>
    <n v="118.38"/>
    <n v="43.130000000000024"/>
    <n v="0.2428901278369095"/>
    <n v="177.57"/>
    <s v="Debit Card"/>
    <m/>
    <x v="1"/>
    <n v="0"/>
    <x v="0"/>
    <x v="883"/>
    <s v="Cust 6326"/>
    <n v="16.059999999999999"/>
    <d v="2024-03-19T00:00:00"/>
    <d v="2024-03-22T00:00:00"/>
    <s v="Cameron"/>
    <n v="3"/>
  </r>
  <r>
    <d v="2023-12-20T00:00:00"/>
    <x v="1"/>
    <x v="0"/>
    <x v="27"/>
    <x v="3"/>
    <x v="6"/>
    <n v="10"/>
    <n v="465.72"/>
    <s v="Store B"/>
    <x v="0"/>
    <n v="0.05"/>
    <x v="1"/>
    <n v="4424.34"/>
    <n v="2794.32"/>
    <n v="1601.8799999999999"/>
    <n v="0.36206078194713787"/>
    <n v="4424.34"/>
    <s v="Online"/>
    <s v="FREESHIP"/>
    <x v="0"/>
    <n v="0"/>
    <x v="0"/>
    <x v="884"/>
    <s v="Cust 1327"/>
    <n v="28.14"/>
    <d v="2023-12-20T00:00:00"/>
    <d v="2023-12-26T00:00:00"/>
    <s v="Cameron"/>
    <n v="6"/>
  </r>
  <r>
    <d v="2024-12-09T00:00:00"/>
    <x v="1"/>
    <x v="1"/>
    <x v="1"/>
    <x v="3"/>
    <x v="4"/>
    <n v="19"/>
    <n v="62.07"/>
    <s v="Store D"/>
    <x v="1"/>
    <n v="0.1"/>
    <x v="4"/>
    <n v="1061.3969999999999"/>
    <n v="707.59799999999996"/>
    <n v="338.94899999999996"/>
    <n v="0.31934233844640597"/>
    <n v="1061.3969999999999"/>
    <s v="Debit Card"/>
    <s v="FREESHIP"/>
    <x v="0"/>
    <n v="0"/>
    <x v="0"/>
    <x v="885"/>
    <s v="Cust 8602"/>
    <n v="14.85"/>
    <d v="2024-12-09T00:00:00"/>
    <d v="2024-12-19T00:00:00"/>
    <s v="Cameron"/>
    <n v="10"/>
  </r>
  <r>
    <d v="2023-05-10T00:00:00"/>
    <x v="2"/>
    <x v="0"/>
    <x v="2"/>
    <x v="3"/>
    <x v="5"/>
    <n v="11"/>
    <n v="529.20000000000005"/>
    <s v="Store A"/>
    <x v="0"/>
    <n v="0.05"/>
    <x v="5"/>
    <n v="5530.14"/>
    <n v="3492.7200000000003"/>
    <n v="2020.64"/>
    <n v="0.36538677140180897"/>
    <n v="5530.14"/>
    <s v="Credit Card"/>
    <m/>
    <x v="1"/>
    <n v="1"/>
    <x v="1"/>
    <x v="886"/>
    <s v="Cust 9131"/>
    <n v="16.78"/>
    <d v="2023-05-10T00:00:00"/>
    <d v="2023-05-20T00:00:00"/>
    <s v="Cameron"/>
    <n v="10"/>
  </r>
  <r>
    <d v="2023-10-18T00:00:00"/>
    <x v="5"/>
    <x v="0"/>
    <x v="19"/>
    <x v="1"/>
    <x v="4"/>
    <n v="7"/>
    <n v="387.31"/>
    <s v="Store A"/>
    <x v="1"/>
    <n v="0.1"/>
    <x v="5"/>
    <n v="2440.0530000000003"/>
    <n v="1626.702"/>
    <n v="798.59100000000035"/>
    <n v="0.32728428439874063"/>
    <n v="2440.0529999999999"/>
    <s v="Cash"/>
    <s v="WINTER15"/>
    <x v="0"/>
    <n v="0"/>
    <x v="0"/>
    <x v="887"/>
    <s v="Cust 6716"/>
    <n v="14.76"/>
    <d v="2023-10-18T00:00:00"/>
    <d v="2023-10-21T00:00:00"/>
    <s v="Sophie"/>
    <n v="3"/>
  </r>
  <r>
    <d v="2024-12-03T00:00:00"/>
    <x v="1"/>
    <x v="1"/>
    <x v="1"/>
    <x v="1"/>
    <x v="1"/>
    <n v="1"/>
    <n v="152.75"/>
    <s v="Store A"/>
    <x v="0"/>
    <n v="0"/>
    <x v="5"/>
    <n v="152.75"/>
    <n v="91.649999999999991"/>
    <n v="51.490000000000009"/>
    <n v="0.3370867430441899"/>
    <n v="152.75"/>
    <s v="Credit Card"/>
    <s v="FREESHIP"/>
    <x v="0"/>
    <n v="1"/>
    <x v="1"/>
    <x v="888"/>
    <s v="Cust 2071"/>
    <n v="9.61"/>
    <d v="2024-12-03T00:00:00"/>
    <d v="2024-12-06T00:00:00"/>
    <s v="Sophie"/>
    <n v="3"/>
  </r>
  <r>
    <d v="2024-10-10T00:00:00"/>
    <x v="5"/>
    <x v="1"/>
    <x v="7"/>
    <x v="1"/>
    <x v="3"/>
    <n v="8"/>
    <n v="72.48"/>
    <s v="Store A"/>
    <x v="0"/>
    <n v="0.1"/>
    <x v="3"/>
    <n v="521.85599999999999"/>
    <n v="347.904"/>
    <n v="147.03199999999998"/>
    <n v="0.28174822173166542"/>
    <n v="521.85599999999999"/>
    <s v="Debit Card"/>
    <m/>
    <x v="1"/>
    <n v="1"/>
    <x v="1"/>
    <x v="889"/>
    <s v="Cust 4472"/>
    <n v="26.92"/>
    <d v="2024-10-10T00:00:00"/>
    <d v="2024-10-17T00:00:00"/>
    <s v="Sophie"/>
    <n v="7"/>
  </r>
  <r>
    <d v="2024-06-03T00:00:00"/>
    <x v="3"/>
    <x v="1"/>
    <x v="23"/>
    <x v="0"/>
    <x v="1"/>
    <n v="4"/>
    <n v="194.09"/>
    <s v="Store D"/>
    <x v="0"/>
    <n v="0.1"/>
    <x v="0"/>
    <n v="698.72400000000005"/>
    <n v="465.81599999999997"/>
    <n v="206.55800000000008"/>
    <n v="0.29562173333104352"/>
    <n v="698.72400000000005"/>
    <s v="Credit Card"/>
    <s v="WINTER15"/>
    <x v="0"/>
    <n v="0"/>
    <x v="0"/>
    <x v="890"/>
    <s v="Cust 3899"/>
    <n v="26.35"/>
    <d v="2024-06-03T00:00:00"/>
    <d v="2024-06-07T00:00:00"/>
    <s v="Eric"/>
    <n v="4"/>
  </r>
  <r>
    <d v="2025-03-26T00:00:00"/>
    <x v="6"/>
    <x v="2"/>
    <x v="8"/>
    <x v="1"/>
    <x v="1"/>
    <n v="3"/>
    <n v="159.30000000000001"/>
    <s v="Store B"/>
    <x v="0"/>
    <n v="0.05"/>
    <x v="0"/>
    <n v="454.005"/>
    <n v="286.74"/>
    <n v="121.92499999999998"/>
    <n v="0.26855431107586919"/>
    <n v="454.005"/>
    <s v="Credit Card"/>
    <s v="SAVE10"/>
    <x v="0"/>
    <n v="1"/>
    <x v="1"/>
    <x v="891"/>
    <s v="Cust 9467"/>
    <n v="45.34"/>
    <d v="2025-03-26T00:00:00"/>
    <d v="2025-03-29T00:00:00"/>
    <s v="Sophie"/>
    <n v="3"/>
  </r>
  <r>
    <d v="2024-04-26T00:00:00"/>
    <x v="7"/>
    <x v="1"/>
    <x v="9"/>
    <x v="2"/>
    <x v="4"/>
    <n v="4"/>
    <n v="303.37"/>
    <s v="Store A"/>
    <x v="1"/>
    <n v="0.1"/>
    <x v="3"/>
    <n v="1092.1320000000001"/>
    <n v="728.08799999999997"/>
    <n v="333.8540000000001"/>
    <n v="0.30569015466994842"/>
    <n v="1092.1320000000001"/>
    <s v="Gift Card"/>
    <s v="WINTER15"/>
    <x v="0"/>
    <n v="0"/>
    <x v="0"/>
    <x v="892"/>
    <s v="Cust 3824"/>
    <n v="30.19"/>
    <d v="2024-04-26T00:00:00"/>
    <d v="2024-05-01T00:00:00"/>
    <s v="Ryan"/>
    <n v="5"/>
  </r>
  <r>
    <d v="2023-05-05T00:00:00"/>
    <x v="2"/>
    <x v="0"/>
    <x v="2"/>
    <x v="4"/>
    <x v="3"/>
    <n v="16"/>
    <n v="541.96"/>
    <s v="Store C"/>
    <x v="1"/>
    <n v="0.1"/>
    <x v="0"/>
    <n v="7804.2240000000011"/>
    <n v="5202.8159999999998"/>
    <n v="2591.4780000000014"/>
    <n v="0.33206094545722947"/>
    <n v="7804.2240000000011"/>
    <s v="Cash"/>
    <s v="SAVE10"/>
    <x v="0"/>
    <n v="1"/>
    <x v="1"/>
    <x v="893"/>
    <s v="Cust 3511"/>
    <n v="9.93"/>
    <d v="2023-05-05T00:00:00"/>
    <d v="2023-05-13T00:00:00"/>
    <s v="Wendy"/>
    <n v="8"/>
  </r>
  <r>
    <d v="2023-09-23T00:00:00"/>
    <x v="11"/>
    <x v="0"/>
    <x v="22"/>
    <x v="4"/>
    <x v="2"/>
    <n v="7"/>
    <n v="41.57"/>
    <s v="Store D"/>
    <x v="1"/>
    <n v="0"/>
    <x v="3"/>
    <n v="290.99"/>
    <n v="174.59399999999999"/>
    <n v="99.806000000000012"/>
    <n v="0.34298773153716627"/>
    <n v="290.99"/>
    <s v="Online"/>
    <m/>
    <x v="1"/>
    <n v="0"/>
    <x v="0"/>
    <x v="894"/>
    <s v="Cust 3356"/>
    <n v="16.59"/>
    <d v="2023-09-23T00:00:00"/>
    <d v="2023-09-29T00:00:00"/>
    <s v="Wendy"/>
    <n v="6"/>
  </r>
  <r>
    <d v="2025-03-08T00:00:00"/>
    <x v="6"/>
    <x v="2"/>
    <x v="8"/>
    <x v="1"/>
    <x v="4"/>
    <n v="16"/>
    <n v="217.74"/>
    <s v="Store A"/>
    <x v="0"/>
    <n v="0.15"/>
    <x v="2"/>
    <n v="2961.2640000000001"/>
    <n v="2090.3040000000001"/>
    <n v="845.85"/>
    <n v="0.28563815992089864"/>
    <n v="2961.2640000000001"/>
    <s v="Cash"/>
    <s v="FREESHIP"/>
    <x v="0"/>
    <n v="1"/>
    <x v="1"/>
    <x v="895"/>
    <s v="Cust 2840"/>
    <n v="25.11"/>
    <d v="2025-03-08T00:00:00"/>
    <d v="2025-03-15T00:00:00"/>
    <s v="Sophie"/>
    <n v="7"/>
  </r>
  <r>
    <d v="2023-01-17T00:00:00"/>
    <x v="4"/>
    <x v="0"/>
    <x v="6"/>
    <x v="2"/>
    <x v="6"/>
    <n v="15"/>
    <n v="19.170000000000002"/>
    <s v="Store A"/>
    <x v="0"/>
    <n v="0"/>
    <x v="3"/>
    <n v="287.55"/>
    <n v="172.53"/>
    <n v="66.09"/>
    <n v="0.22983828899321856"/>
    <n v="287.55"/>
    <s v="Gift Card"/>
    <s v="FREESHIP"/>
    <x v="0"/>
    <n v="1"/>
    <x v="1"/>
    <x v="896"/>
    <s v="Cust 3811"/>
    <n v="48.93"/>
    <d v="2023-01-17T00:00:00"/>
    <d v="2023-01-27T00:00:00"/>
    <s v="Ryan"/>
    <n v="10"/>
  </r>
  <r>
    <d v="2023-04-29T00:00:00"/>
    <x v="7"/>
    <x v="0"/>
    <x v="21"/>
    <x v="3"/>
    <x v="4"/>
    <n v="15"/>
    <n v="293.33999999999997"/>
    <s v="Store D"/>
    <x v="1"/>
    <n v="0.1"/>
    <x v="0"/>
    <n v="3960.0899999999997"/>
    <n v="2640.06"/>
    <n v="1298.9999999999998"/>
    <n v="0.32802284796557651"/>
    <n v="3960.09"/>
    <s v="Credit Card"/>
    <s v="WINTER15"/>
    <x v="0"/>
    <n v="0"/>
    <x v="0"/>
    <x v="897"/>
    <s v="Cust 9960"/>
    <n v="21.03"/>
    <d v="2023-04-29T00:00:00"/>
    <d v="2023-05-01T00:00:00"/>
    <s v="Cameron"/>
    <n v="2"/>
  </r>
  <r>
    <d v="2025-02-16T00:00:00"/>
    <x v="0"/>
    <x v="2"/>
    <x v="3"/>
    <x v="1"/>
    <x v="6"/>
    <n v="18"/>
    <n v="204.58"/>
    <s v="Store C"/>
    <x v="1"/>
    <n v="0.1"/>
    <x v="4"/>
    <n v="3314.1959999999999"/>
    <n v="2209.4639999999999"/>
    <n v="1088.692"/>
    <n v="0.32849354715291434"/>
    <n v="3314.1959999999999"/>
    <s v="Cash"/>
    <m/>
    <x v="1"/>
    <n v="0"/>
    <x v="0"/>
    <x v="898"/>
    <s v="Cust 5906"/>
    <n v="16.04"/>
    <d v="2025-02-16T00:00:00"/>
    <d v="2025-02-22T00:00:00"/>
    <s v="Sophie"/>
    <n v="6"/>
  </r>
  <r>
    <d v="2023-06-05T00:00:00"/>
    <x v="3"/>
    <x v="0"/>
    <x v="4"/>
    <x v="0"/>
    <x v="6"/>
    <n v="15"/>
    <n v="324.58"/>
    <s v="Store A"/>
    <x v="1"/>
    <n v="0.15"/>
    <x v="4"/>
    <n v="4138.3949999999995"/>
    <n v="2921.22"/>
    <n v="1192.6049999999998"/>
    <n v="0.28818056275440113"/>
    <n v="4138.3950000000004"/>
    <s v="Debit Card"/>
    <m/>
    <x v="1"/>
    <n v="0"/>
    <x v="0"/>
    <x v="899"/>
    <s v="Cust 6579"/>
    <n v="24.57"/>
    <d v="2023-06-05T00:00:00"/>
    <d v="2023-06-09T00:00:00"/>
    <s v="Eric"/>
    <n v="4"/>
  </r>
  <r>
    <d v="2023-08-28T00:00:00"/>
    <x v="10"/>
    <x v="0"/>
    <x v="18"/>
    <x v="1"/>
    <x v="1"/>
    <n v="11"/>
    <n v="393.61"/>
    <s v="Store D"/>
    <x v="0"/>
    <n v="0.05"/>
    <x v="2"/>
    <n v="4113.2245000000003"/>
    <n v="2597.826"/>
    <n v="1482.8285000000003"/>
    <n v="0.36050269077216673"/>
    <n v="4113.2245000000003"/>
    <s v="Debit Card"/>
    <s v="WINTER15"/>
    <x v="0"/>
    <n v="0"/>
    <x v="0"/>
    <x v="900"/>
    <s v="Cust 1756"/>
    <n v="32.57"/>
    <d v="2023-08-28T00:00:00"/>
    <d v="2023-09-06T00:00:00"/>
    <s v="Sophie"/>
    <n v="9"/>
  </r>
  <r>
    <d v="2023-08-01T00:00:00"/>
    <x v="10"/>
    <x v="0"/>
    <x v="18"/>
    <x v="2"/>
    <x v="6"/>
    <n v="8"/>
    <n v="141.28"/>
    <s v="Store D"/>
    <x v="0"/>
    <n v="0.05"/>
    <x v="2"/>
    <n v="1073.7280000000001"/>
    <n v="678.14400000000001"/>
    <n v="366.89400000000006"/>
    <n v="0.34170106395660732"/>
    <n v="1073.7280000000001"/>
    <s v="Online"/>
    <s v="FREESHIP"/>
    <x v="0"/>
    <n v="0"/>
    <x v="0"/>
    <x v="901"/>
    <s v="Cust 8150"/>
    <n v="28.69"/>
    <d v="2023-08-01T00:00:00"/>
    <d v="2023-08-10T00:00:00"/>
    <s v="Ryan"/>
    <n v="9"/>
  </r>
  <r>
    <d v="2025-02-12T00:00:00"/>
    <x v="0"/>
    <x v="2"/>
    <x v="3"/>
    <x v="4"/>
    <x v="1"/>
    <n v="13"/>
    <n v="227.64"/>
    <s v="Store C"/>
    <x v="1"/>
    <n v="0.15"/>
    <x v="2"/>
    <n v="2515.4219999999996"/>
    <n v="1775.5919999999996"/>
    <n v="693.16"/>
    <n v="0.27556410017881694"/>
    <n v="2515.422"/>
    <s v="Cash"/>
    <s v="FREESHIP"/>
    <x v="0"/>
    <n v="1"/>
    <x v="1"/>
    <x v="902"/>
    <s v="Cust 8999"/>
    <n v="46.67"/>
    <d v="2025-02-12T00:00:00"/>
    <d v="2025-02-20T00:00:00"/>
    <s v="Wendy"/>
    <n v="8"/>
  </r>
  <r>
    <d v="2023-07-03T00:00:00"/>
    <x v="8"/>
    <x v="0"/>
    <x v="11"/>
    <x v="3"/>
    <x v="0"/>
    <n v="19"/>
    <n v="341.07"/>
    <s v="Store C"/>
    <x v="1"/>
    <n v="0.1"/>
    <x v="3"/>
    <n v="5832.2970000000005"/>
    <n v="3888.1979999999999"/>
    <n v="1896.3490000000006"/>
    <n v="0.32514616453860296"/>
    <n v="5832.2969999999996"/>
    <s v="Cash"/>
    <s v="WINTER15"/>
    <x v="0"/>
    <n v="0"/>
    <x v="0"/>
    <x v="903"/>
    <s v="Cust 4277"/>
    <n v="47.75"/>
    <d v="2023-07-03T00:00:00"/>
    <d v="2023-07-06T00:00:00"/>
    <s v="Cameron"/>
    <n v="3"/>
  </r>
  <r>
    <d v="2025-05-09T00:00:00"/>
    <x v="2"/>
    <x v="2"/>
    <x v="13"/>
    <x v="3"/>
    <x v="1"/>
    <n v="20"/>
    <n v="324.55"/>
    <s v="Store B"/>
    <x v="0"/>
    <n v="0.05"/>
    <x v="0"/>
    <n v="6166.45"/>
    <n v="3894.6"/>
    <n v="2250.64"/>
    <n v="0.36498147232200051"/>
    <n v="6166.45"/>
    <s v="Credit Card"/>
    <s v="WINTER15"/>
    <x v="0"/>
    <n v="1"/>
    <x v="1"/>
    <x v="904"/>
    <s v="Cust 8751"/>
    <n v="21.21"/>
    <d v="2025-05-09T00:00:00"/>
    <d v="2025-05-13T00:00:00"/>
    <s v="Cameron"/>
    <n v="4"/>
  </r>
  <r>
    <d v="2024-05-05T00:00:00"/>
    <x v="2"/>
    <x v="1"/>
    <x v="14"/>
    <x v="4"/>
    <x v="2"/>
    <n v="16"/>
    <n v="301.07"/>
    <s v="Store B"/>
    <x v="1"/>
    <n v="0.1"/>
    <x v="3"/>
    <n v="4335.4080000000004"/>
    <n v="2890.2719999999999"/>
    <n v="1439.5560000000005"/>
    <n v="0.33204625723807318"/>
    <n v="4335.4080000000004"/>
    <s v="Gift Card"/>
    <s v="WINTER15"/>
    <x v="0"/>
    <n v="0"/>
    <x v="0"/>
    <x v="905"/>
    <s v="Cust 2482"/>
    <n v="5.58"/>
    <d v="2024-05-05T00:00:00"/>
    <d v="2024-05-14T00:00:00"/>
    <s v="Wendy"/>
    <n v="9"/>
  </r>
  <r>
    <d v="2024-01-08T00:00:00"/>
    <x v="4"/>
    <x v="1"/>
    <x v="24"/>
    <x v="1"/>
    <x v="4"/>
    <n v="13"/>
    <n v="285.27999999999997"/>
    <s v="Store D"/>
    <x v="1"/>
    <n v="0"/>
    <x v="0"/>
    <n v="3708.6399999999994"/>
    <n v="2225.1839999999997"/>
    <n v="1452.2559999999996"/>
    <n v="0.39158721256309587"/>
    <n v="3708.639999999999"/>
    <s v="Gift Card"/>
    <s v="SAVE10"/>
    <x v="0"/>
    <n v="0"/>
    <x v="0"/>
    <x v="906"/>
    <s v="Cust 4078"/>
    <n v="31.2"/>
    <d v="2024-01-08T00:00:00"/>
    <d v="2024-01-15T00:00:00"/>
    <s v="Sophie"/>
    <n v="7"/>
  </r>
  <r>
    <d v="2025-01-13T00:00:00"/>
    <x v="4"/>
    <x v="2"/>
    <x v="12"/>
    <x v="1"/>
    <x v="1"/>
    <n v="15"/>
    <n v="18.04"/>
    <s v="Store C"/>
    <x v="0"/>
    <n v="0"/>
    <x v="0"/>
    <n v="270.59999999999997"/>
    <n v="162.35999999999999"/>
    <n v="93.889999999999986"/>
    <n v="0.34696969696969698"/>
    <n v="270.60000000000002"/>
    <s v="Credit Card"/>
    <s v="SAVE10"/>
    <x v="0"/>
    <n v="1"/>
    <x v="1"/>
    <x v="907"/>
    <s v="Cust 9091"/>
    <n v="14.35"/>
    <d v="2025-01-13T00:00:00"/>
    <d v="2025-01-17T00:00:00"/>
    <s v="Sophie"/>
    <n v="4"/>
  </r>
  <r>
    <d v="2025-06-12T00:00:00"/>
    <x v="3"/>
    <x v="2"/>
    <x v="16"/>
    <x v="0"/>
    <x v="6"/>
    <n v="11"/>
    <n v="495.44"/>
    <s v="Store A"/>
    <x v="0"/>
    <n v="0"/>
    <x v="5"/>
    <n v="5449.84"/>
    <n v="3269.904"/>
    <n v="2135.1660000000002"/>
    <n v="0.39178507992895206"/>
    <n v="5449.84"/>
    <s v="Gift Card"/>
    <s v="FREESHIP"/>
    <x v="0"/>
    <n v="0"/>
    <x v="0"/>
    <x v="908"/>
    <s v="Cust 8706"/>
    <n v="44.77"/>
    <d v="2025-06-12T00:00:00"/>
    <d v="2025-06-18T00:00:00"/>
    <s v="Eric"/>
    <n v="6"/>
  </r>
  <r>
    <d v="2025-04-03T00:00:00"/>
    <x v="7"/>
    <x v="2"/>
    <x v="28"/>
    <x v="2"/>
    <x v="0"/>
    <n v="12"/>
    <n v="276.42"/>
    <s v="Store C"/>
    <x v="1"/>
    <n v="0.15"/>
    <x v="3"/>
    <n v="2819.4839999999999"/>
    <n v="1990.2240000000002"/>
    <n v="798.68999999999971"/>
    <n v="0.28327523759666651"/>
    <n v="2819.4839999999999"/>
    <s v="Online"/>
    <m/>
    <x v="1"/>
    <n v="0"/>
    <x v="0"/>
    <x v="909"/>
    <s v="Cust 5042"/>
    <n v="30.57"/>
    <d v="2025-04-03T00:00:00"/>
    <d v="2025-04-12T00:00:00"/>
    <s v="Ryan"/>
    <n v="9"/>
  </r>
  <r>
    <d v="2023-01-26T00:00:00"/>
    <x v="4"/>
    <x v="0"/>
    <x v="6"/>
    <x v="3"/>
    <x v="2"/>
    <n v="7"/>
    <n v="228.32"/>
    <s v="Store C"/>
    <x v="0"/>
    <n v="0.15"/>
    <x v="0"/>
    <n v="1358.5039999999999"/>
    <n v="958.94399999999996"/>
    <n v="377.39999999999992"/>
    <n v="0.2778055861447592"/>
    <n v="1358.5039999999999"/>
    <s v="Debit Card"/>
    <s v="FREESHIP"/>
    <x v="0"/>
    <n v="0"/>
    <x v="0"/>
    <x v="910"/>
    <s v="Cust 3319"/>
    <n v="22.16"/>
    <d v="2023-01-26T00:00:00"/>
    <d v="2023-01-30T00:00:00"/>
    <s v="Cameron"/>
    <n v="4"/>
  </r>
  <r>
    <d v="2023-01-07T00:00:00"/>
    <x v="4"/>
    <x v="0"/>
    <x v="6"/>
    <x v="3"/>
    <x v="4"/>
    <n v="1"/>
    <n v="498.19"/>
    <s v="Store A"/>
    <x v="0"/>
    <n v="0.1"/>
    <x v="5"/>
    <n v="448.37099999999998"/>
    <n v="298.91399999999999"/>
    <n v="123.907"/>
    <n v="0.27634927325808317"/>
    <n v="448.37099999999998"/>
    <s v="Gift Card"/>
    <s v="SAVE10"/>
    <x v="0"/>
    <n v="0"/>
    <x v="0"/>
    <x v="911"/>
    <s v="Cust 4139"/>
    <n v="25.55"/>
    <d v="2023-01-07T00:00:00"/>
    <d v="2023-01-11T00:00:00"/>
    <s v="Cameron"/>
    <n v="4"/>
  </r>
  <r>
    <d v="2025-01-15T00:00:00"/>
    <x v="4"/>
    <x v="2"/>
    <x v="12"/>
    <x v="2"/>
    <x v="2"/>
    <n v="18"/>
    <n v="375.83"/>
    <s v="Store C"/>
    <x v="1"/>
    <n v="0.1"/>
    <x v="3"/>
    <n v="6088.4459999999999"/>
    <n v="4058.9639999999999"/>
    <n v="2014.3519999999999"/>
    <n v="0.33084829856419845"/>
    <n v="6088.4459999999999"/>
    <s v="Gift Card"/>
    <m/>
    <x v="1"/>
    <n v="0"/>
    <x v="0"/>
    <x v="912"/>
    <s v="Cust 6993"/>
    <n v="15.13"/>
    <d v="2025-01-15T00:00:00"/>
    <d v="2025-01-23T00:00:00"/>
    <s v="Ryan"/>
    <n v="8"/>
  </r>
  <r>
    <d v="2024-11-30T00:00:00"/>
    <x v="9"/>
    <x v="1"/>
    <x v="20"/>
    <x v="0"/>
    <x v="3"/>
    <n v="18"/>
    <n v="130.36000000000001"/>
    <s v="Store B"/>
    <x v="0"/>
    <n v="0"/>
    <x v="4"/>
    <n v="2346.4800000000005"/>
    <n v="1407.8880000000001"/>
    <n v="903.9920000000003"/>
    <n v="0.38525450888138835"/>
    <n v="2346.48"/>
    <s v="Debit Card"/>
    <s v="SAVE10"/>
    <x v="0"/>
    <n v="0"/>
    <x v="0"/>
    <x v="913"/>
    <s v="Cust 8397"/>
    <n v="34.6"/>
    <d v="2024-11-30T00:00:00"/>
    <d v="2024-12-05T00:00:00"/>
    <s v="Eric"/>
    <n v="5"/>
  </r>
  <r>
    <d v="2024-02-26T00:00:00"/>
    <x v="0"/>
    <x v="1"/>
    <x v="5"/>
    <x v="0"/>
    <x v="4"/>
    <n v="13"/>
    <n v="585.88"/>
    <s v="Store B"/>
    <x v="1"/>
    <n v="0.15"/>
    <x v="3"/>
    <n v="6473.9739999999993"/>
    <n v="4569.8639999999996"/>
    <n v="1861.9299999999996"/>
    <n v="0.28760232895590865"/>
    <n v="6473.9739999999993"/>
    <s v="Credit Card"/>
    <s v="WINTER15"/>
    <x v="0"/>
    <n v="0"/>
    <x v="0"/>
    <x v="914"/>
    <s v="Cust 3082"/>
    <n v="42.18"/>
    <d v="2024-02-26T00:00:00"/>
    <d v="2024-03-07T00:00:00"/>
    <s v="Eric"/>
    <n v="10"/>
  </r>
  <r>
    <d v="2025-06-11T00:00:00"/>
    <x v="3"/>
    <x v="2"/>
    <x v="16"/>
    <x v="2"/>
    <x v="2"/>
    <n v="19"/>
    <n v="278.04000000000002"/>
    <s v="Store B"/>
    <x v="1"/>
    <n v="0.05"/>
    <x v="5"/>
    <n v="5018.6220000000003"/>
    <n v="3169.6560000000004"/>
    <n v="1832.5659999999998"/>
    <n v="0.36515322333501105"/>
    <n v="5018.6220000000003"/>
    <s v="Credit Card"/>
    <s v="SAVE10"/>
    <x v="0"/>
    <n v="0"/>
    <x v="0"/>
    <x v="915"/>
    <s v="Cust 1156"/>
    <n v="16.399999999999999"/>
    <d v="2025-06-11T00:00:00"/>
    <d v="2025-06-15T00:00:00"/>
    <s v="Ryan"/>
    <n v="4"/>
  </r>
  <r>
    <d v="2023-11-29T00:00:00"/>
    <x v="9"/>
    <x v="0"/>
    <x v="15"/>
    <x v="3"/>
    <x v="1"/>
    <n v="11"/>
    <n v="267.91000000000003"/>
    <s v="Store B"/>
    <x v="1"/>
    <n v="0"/>
    <x v="0"/>
    <n v="2947.01"/>
    <n v="1768.2060000000001"/>
    <n v="1166.7540000000001"/>
    <n v="0.3959111099046152"/>
    <n v="2947.01"/>
    <s v="Debit Card"/>
    <m/>
    <x v="1"/>
    <n v="0"/>
    <x v="0"/>
    <x v="916"/>
    <s v="Cust 4720"/>
    <n v="12.05"/>
    <d v="2023-11-29T00:00:00"/>
    <d v="2023-12-04T00:00:00"/>
    <s v="Cameron"/>
    <n v="5"/>
  </r>
  <r>
    <d v="2024-06-27T00:00:00"/>
    <x v="3"/>
    <x v="1"/>
    <x v="23"/>
    <x v="1"/>
    <x v="3"/>
    <n v="12"/>
    <n v="369.54"/>
    <s v="Store B"/>
    <x v="1"/>
    <n v="0.05"/>
    <x v="4"/>
    <n v="4212.7560000000003"/>
    <n v="2660.6880000000001"/>
    <n v="1512.9080000000001"/>
    <n v="0.35912547510465831"/>
    <n v="4212.7560000000003"/>
    <s v="Debit Card"/>
    <s v="WINTER15"/>
    <x v="0"/>
    <n v="1"/>
    <x v="1"/>
    <x v="917"/>
    <s v="Cust 7034"/>
    <n v="39.159999999999997"/>
    <d v="2024-06-27T00:00:00"/>
    <d v="2024-07-05T00:00:00"/>
    <s v="Sophie"/>
    <n v="8"/>
  </r>
  <r>
    <d v="2024-05-20T00:00:00"/>
    <x v="2"/>
    <x v="1"/>
    <x v="14"/>
    <x v="1"/>
    <x v="4"/>
    <n v="13"/>
    <n v="284.3"/>
    <s v="Store A"/>
    <x v="0"/>
    <n v="0.05"/>
    <x v="5"/>
    <n v="3511.105"/>
    <n v="2217.54"/>
    <n v="1244.835"/>
    <n v="0.35454223100704763"/>
    <n v="3511.105"/>
    <s v="Online"/>
    <s v="WINTER15"/>
    <x v="0"/>
    <n v="0"/>
    <x v="0"/>
    <x v="918"/>
    <s v="Cust 7218"/>
    <n v="48.73"/>
    <d v="2024-05-20T00:00:00"/>
    <d v="2024-05-27T00:00:00"/>
    <s v="Sophie"/>
    <n v="7"/>
  </r>
  <r>
    <d v="2023-06-17T00:00:00"/>
    <x v="3"/>
    <x v="0"/>
    <x v="4"/>
    <x v="4"/>
    <x v="3"/>
    <n v="12"/>
    <n v="427.1"/>
    <s v="Store C"/>
    <x v="1"/>
    <n v="0"/>
    <x v="3"/>
    <n v="5125.2000000000007"/>
    <n v="3075.12"/>
    <n v="2041.9700000000009"/>
    <n v="0.39841762272691811"/>
    <n v="5125.2000000000007"/>
    <s v="Gift Card"/>
    <s v="WINTER15"/>
    <x v="0"/>
    <n v="1"/>
    <x v="1"/>
    <x v="919"/>
    <s v="Cust 2651"/>
    <n v="8.11"/>
    <d v="2023-06-17T00:00:00"/>
    <d v="2023-06-22T00:00:00"/>
    <s v="Wendy"/>
    <n v="5"/>
  </r>
  <r>
    <d v="2024-11-06T00:00:00"/>
    <x v="9"/>
    <x v="1"/>
    <x v="20"/>
    <x v="0"/>
    <x v="4"/>
    <n v="11"/>
    <n v="200.3"/>
    <s v="Store D"/>
    <x v="1"/>
    <n v="0.1"/>
    <x v="0"/>
    <n v="1982.9700000000003"/>
    <n v="1321.98"/>
    <n v="612.72000000000025"/>
    <n v="0.30899105886624617"/>
    <n v="1982.97"/>
    <s v="Debit Card"/>
    <s v="WINTER15"/>
    <x v="0"/>
    <n v="1"/>
    <x v="1"/>
    <x v="920"/>
    <s v="Cust 1252"/>
    <n v="48.27"/>
    <d v="2024-11-06T00:00:00"/>
    <d v="2024-11-13T00:00:00"/>
    <s v="Eric"/>
    <n v="7"/>
  </r>
  <r>
    <d v="2025-02-12T00:00:00"/>
    <x v="0"/>
    <x v="2"/>
    <x v="3"/>
    <x v="2"/>
    <x v="6"/>
    <n v="4"/>
    <n v="75.8"/>
    <s v="Store C"/>
    <x v="1"/>
    <n v="0.15"/>
    <x v="3"/>
    <n v="257.71999999999997"/>
    <n v="181.92"/>
    <n v="63.579999999999984"/>
    <n v="0.24670184696569916"/>
    <n v="257.72000000000003"/>
    <s v="Credit Card"/>
    <s v="SAVE10"/>
    <x v="0"/>
    <n v="0"/>
    <x v="0"/>
    <x v="921"/>
    <s v="Cust 6679"/>
    <n v="12.22"/>
    <d v="2025-02-12T00:00:00"/>
    <d v="2025-02-20T00:00:00"/>
    <s v="Ryan"/>
    <n v="8"/>
  </r>
  <r>
    <d v="2025-04-09T00:00:00"/>
    <x v="7"/>
    <x v="2"/>
    <x v="28"/>
    <x v="2"/>
    <x v="4"/>
    <n v="4"/>
    <n v="518.42999999999995"/>
    <s v="Store A"/>
    <x v="0"/>
    <n v="0"/>
    <x v="1"/>
    <n v="2073.7199999999998"/>
    <n v="1244.2319999999997"/>
    <n v="798.62800000000004"/>
    <n v="0.38511853094921211"/>
    <n v="2073.7199999999998"/>
    <s v="Online"/>
    <s v="SAVE10"/>
    <x v="0"/>
    <n v="0"/>
    <x v="0"/>
    <x v="922"/>
    <s v="Cust 1656"/>
    <n v="30.86"/>
    <d v="2025-04-09T00:00:00"/>
    <d v="2025-04-14T00:00:00"/>
    <s v="Ryan"/>
    <n v="5"/>
  </r>
  <r>
    <d v="2024-08-18T00:00:00"/>
    <x v="10"/>
    <x v="1"/>
    <x v="29"/>
    <x v="2"/>
    <x v="5"/>
    <n v="19"/>
    <n v="181.18"/>
    <s v="Store A"/>
    <x v="0"/>
    <n v="0.05"/>
    <x v="3"/>
    <n v="3270.299"/>
    <n v="2065.4519999999998"/>
    <n v="1192.8070000000002"/>
    <n v="0.36473943208250997"/>
    <n v="3270.299"/>
    <s v="Credit Card"/>
    <s v="FREESHIP"/>
    <x v="0"/>
    <n v="0"/>
    <x v="0"/>
    <x v="923"/>
    <s v="Cust 9361"/>
    <n v="12.04"/>
    <d v="2024-08-18T00:00:00"/>
    <d v="2024-08-26T00:00:00"/>
    <s v="Ryan"/>
    <n v="8"/>
  </r>
  <r>
    <d v="2023-02-20T00:00:00"/>
    <x v="0"/>
    <x v="0"/>
    <x v="0"/>
    <x v="3"/>
    <x v="0"/>
    <n v="3"/>
    <n v="197.17"/>
    <s v="Store A"/>
    <x v="0"/>
    <n v="0.05"/>
    <x v="2"/>
    <n v="561.93449999999996"/>
    <n v="354.90599999999995"/>
    <n v="176.73850000000002"/>
    <n v="0.31451797318014829"/>
    <n v="561.93449999999996"/>
    <s v="Gift Card"/>
    <s v="FREESHIP"/>
    <x v="0"/>
    <n v="1"/>
    <x v="1"/>
    <x v="924"/>
    <s v="Cust 4270"/>
    <n v="30.29"/>
    <d v="2023-02-20T00:00:00"/>
    <d v="2023-02-23T00:00:00"/>
    <s v="Cameron"/>
    <n v="3"/>
  </r>
  <r>
    <d v="2025-04-28T00:00:00"/>
    <x v="7"/>
    <x v="2"/>
    <x v="28"/>
    <x v="2"/>
    <x v="0"/>
    <n v="6"/>
    <n v="81.96"/>
    <s v="Store D"/>
    <x v="0"/>
    <n v="0.05"/>
    <x v="4"/>
    <n v="467.17199999999997"/>
    <n v="295.05599999999998"/>
    <n v="145.68599999999998"/>
    <n v="0.3118466003955716"/>
    <n v="467.17200000000003"/>
    <s v="Credit Card"/>
    <s v="WINTER15"/>
    <x v="0"/>
    <n v="0"/>
    <x v="0"/>
    <x v="925"/>
    <s v="Cust 3049"/>
    <n v="26.43"/>
    <d v="2025-04-28T00:00:00"/>
    <d v="2025-05-08T00:00:00"/>
    <s v="Ryan"/>
    <n v="10"/>
  </r>
  <r>
    <d v="2023-08-10T00:00:00"/>
    <x v="10"/>
    <x v="0"/>
    <x v="18"/>
    <x v="3"/>
    <x v="6"/>
    <n v="3"/>
    <n v="59.78"/>
    <s v="Store C"/>
    <x v="1"/>
    <n v="0"/>
    <x v="0"/>
    <n v="179.34"/>
    <n v="107.60400000000001"/>
    <n v="24.755999999999993"/>
    <n v="0.13803947808631645"/>
    <n v="179.34"/>
    <s v="Online"/>
    <s v="SAVE10"/>
    <x v="0"/>
    <n v="0"/>
    <x v="0"/>
    <x v="926"/>
    <s v="Cust 6415"/>
    <n v="46.98"/>
    <d v="2023-08-10T00:00:00"/>
    <d v="2023-08-13T00:00:00"/>
    <s v="Cameron"/>
    <n v="3"/>
  </r>
  <r>
    <d v="2024-06-24T00:00:00"/>
    <x v="3"/>
    <x v="1"/>
    <x v="23"/>
    <x v="2"/>
    <x v="5"/>
    <n v="12"/>
    <n v="211.66"/>
    <s v="Store A"/>
    <x v="0"/>
    <n v="0.1"/>
    <x v="3"/>
    <n v="2285.9280000000003"/>
    <n v="1523.952"/>
    <n v="751.61600000000033"/>
    <n v="0.32880125708246288"/>
    <n v="2285.9279999999999"/>
    <s v="Credit Card"/>
    <s v="SAVE10"/>
    <x v="0"/>
    <n v="0"/>
    <x v="0"/>
    <x v="927"/>
    <s v="Cust 9856"/>
    <n v="10.36"/>
    <d v="2024-06-24T00:00:00"/>
    <d v="2024-06-29T00:00:00"/>
    <s v="Ryan"/>
    <n v="5"/>
  </r>
  <r>
    <d v="2023-08-06T00:00:00"/>
    <x v="10"/>
    <x v="0"/>
    <x v="18"/>
    <x v="3"/>
    <x v="6"/>
    <n v="13"/>
    <n v="69.97"/>
    <s v="Store A"/>
    <x v="0"/>
    <n v="0.05"/>
    <x v="1"/>
    <n v="864.12950000000001"/>
    <n v="545.76599999999996"/>
    <n v="290.70350000000002"/>
    <n v="0.33641196140161866"/>
    <n v="864.12950000000001"/>
    <s v="Debit Card"/>
    <m/>
    <x v="1"/>
    <n v="0"/>
    <x v="0"/>
    <x v="928"/>
    <s v="Cust 3106"/>
    <n v="27.66"/>
    <d v="2023-08-06T00:00:00"/>
    <d v="2023-08-12T00:00:00"/>
    <s v="Cameron"/>
    <n v="6"/>
  </r>
  <r>
    <d v="2024-11-26T00:00:00"/>
    <x v="9"/>
    <x v="1"/>
    <x v="20"/>
    <x v="0"/>
    <x v="5"/>
    <n v="7"/>
    <n v="438.33"/>
    <s v="Store C"/>
    <x v="1"/>
    <n v="0.1"/>
    <x v="2"/>
    <n v="2761.4789999999998"/>
    <n v="1840.9859999999999"/>
    <n v="908.92299999999989"/>
    <n v="0.32914354952545355"/>
    <n v="2761.4789999999998"/>
    <s v="Cash"/>
    <m/>
    <x v="1"/>
    <n v="1"/>
    <x v="1"/>
    <x v="929"/>
    <s v="Cust 3259"/>
    <n v="11.57"/>
    <d v="2024-11-26T00:00:00"/>
    <d v="2024-11-30T00:00:00"/>
    <s v="Eric"/>
    <n v="4"/>
  </r>
  <r>
    <d v="2025-02-06T00:00:00"/>
    <x v="0"/>
    <x v="2"/>
    <x v="3"/>
    <x v="0"/>
    <x v="0"/>
    <n v="7"/>
    <n v="241.81"/>
    <s v="Store C"/>
    <x v="0"/>
    <n v="0.1"/>
    <x v="1"/>
    <n v="1523.403"/>
    <n v="1015.6019999999999"/>
    <n v="474.86100000000016"/>
    <n v="0.31171068981746797"/>
    <n v="1523.403"/>
    <s v="Debit Card"/>
    <s v="FREESHIP"/>
    <x v="0"/>
    <n v="0"/>
    <x v="0"/>
    <x v="930"/>
    <s v="Cust 7107"/>
    <n v="32.94"/>
    <d v="2025-02-06T00:00:00"/>
    <d v="2025-02-10T00:00:00"/>
    <s v="Eric"/>
    <n v="4"/>
  </r>
  <r>
    <d v="2025-03-20T00:00:00"/>
    <x v="6"/>
    <x v="2"/>
    <x v="8"/>
    <x v="0"/>
    <x v="2"/>
    <n v="3"/>
    <n v="466.64"/>
    <s v="Store A"/>
    <x v="1"/>
    <n v="0.15"/>
    <x v="5"/>
    <n v="1189.932"/>
    <n v="839.952"/>
    <n v="319.65000000000003"/>
    <n v="0.26862879559504244"/>
    <n v="1189.932"/>
    <s v="Online"/>
    <s v="FREESHIP"/>
    <x v="0"/>
    <n v="0"/>
    <x v="0"/>
    <x v="931"/>
    <s v="Cust 7542"/>
    <n v="30.33"/>
    <d v="2025-03-20T00:00:00"/>
    <d v="2025-03-26T00:00:00"/>
    <s v="Eric"/>
    <n v="6"/>
  </r>
  <r>
    <d v="2024-09-10T00:00:00"/>
    <x v="11"/>
    <x v="1"/>
    <x v="26"/>
    <x v="1"/>
    <x v="4"/>
    <n v="9"/>
    <n v="472.84"/>
    <s v="Store D"/>
    <x v="1"/>
    <n v="0.05"/>
    <x v="1"/>
    <n v="4042.7819999999992"/>
    <n v="2553.3359999999993"/>
    <n v="1441.3159999999998"/>
    <n v="0.35651588435884002"/>
    <n v="4042.7819999999988"/>
    <s v="Credit Card"/>
    <s v="WINTER15"/>
    <x v="0"/>
    <n v="0"/>
    <x v="0"/>
    <x v="932"/>
    <s v="Cust 6330"/>
    <n v="48.13"/>
    <d v="2024-09-10T00:00:00"/>
    <d v="2024-09-12T00:00:00"/>
    <s v="Sophie"/>
    <n v="2"/>
  </r>
  <r>
    <d v="2025-02-20T00:00:00"/>
    <x v="0"/>
    <x v="2"/>
    <x v="3"/>
    <x v="1"/>
    <x v="3"/>
    <n v="19"/>
    <n v="586.49"/>
    <s v="Store A"/>
    <x v="0"/>
    <n v="0.1"/>
    <x v="0"/>
    <n v="10028.978999999999"/>
    <n v="6685.9859999999999"/>
    <n v="3323.1429999999996"/>
    <n v="0.33135406904331932"/>
    <n v="10028.978999999999"/>
    <s v="Cash"/>
    <s v="SAVE10"/>
    <x v="0"/>
    <n v="0"/>
    <x v="0"/>
    <x v="933"/>
    <s v="Cust 1469"/>
    <n v="19.850000000000001"/>
    <d v="2025-02-20T00:00:00"/>
    <d v="2025-03-02T00:00:00"/>
    <s v="Sophie"/>
    <n v="10"/>
  </r>
  <r>
    <d v="2023-01-20T00:00:00"/>
    <x v="4"/>
    <x v="0"/>
    <x v="6"/>
    <x v="0"/>
    <x v="3"/>
    <n v="15"/>
    <n v="462.85"/>
    <s v="Store A"/>
    <x v="1"/>
    <n v="0.15"/>
    <x v="4"/>
    <n v="5901.3374999999996"/>
    <n v="4165.6499999999996"/>
    <n v="1689.5675000000001"/>
    <n v="0.28630246956728034"/>
    <n v="5901.3374999999996"/>
    <s v="Credit Card"/>
    <m/>
    <x v="1"/>
    <n v="0"/>
    <x v="0"/>
    <x v="934"/>
    <s v="Cust 3698"/>
    <n v="46.12"/>
    <d v="2023-01-20T00:00:00"/>
    <d v="2023-01-26T00:00:00"/>
    <s v="Eric"/>
    <n v="6"/>
  </r>
  <r>
    <d v="2024-03-03T00:00:00"/>
    <x v="6"/>
    <x v="1"/>
    <x v="25"/>
    <x v="0"/>
    <x v="0"/>
    <n v="1"/>
    <n v="176.17"/>
    <s v="Store C"/>
    <x v="1"/>
    <n v="0.05"/>
    <x v="1"/>
    <n v="167.36149999999998"/>
    <n v="105.70199999999998"/>
    <n v="25.889499999999991"/>
    <n v="0.15469208868228351"/>
    <n v="167.36150000000001"/>
    <s v="Debit Card"/>
    <m/>
    <x v="1"/>
    <n v="1"/>
    <x v="1"/>
    <x v="935"/>
    <s v="Cust 9833"/>
    <n v="35.770000000000003"/>
    <d v="2024-03-03T00:00:00"/>
    <d v="2024-03-06T00:00:00"/>
    <s v="Eric"/>
    <n v="3"/>
  </r>
  <r>
    <d v="2023-11-27T00:00:00"/>
    <x v="9"/>
    <x v="0"/>
    <x v="15"/>
    <x v="4"/>
    <x v="6"/>
    <n v="1"/>
    <n v="71.239999999999995"/>
    <s v="Store A"/>
    <x v="1"/>
    <n v="0.1"/>
    <x v="3"/>
    <n v="64.116"/>
    <n v="42.743999999999993"/>
    <n v="-22.317999999999991"/>
    <n v="-0.34808784078857058"/>
    <n v="64.116"/>
    <s v="Debit Card"/>
    <m/>
    <x v="1"/>
    <n v="1"/>
    <x v="1"/>
    <x v="936"/>
    <s v="Cust 1074"/>
    <n v="43.69"/>
    <d v="2023-11-27T00:00:00"/>
    <d v="2023-12-03T00:00:00"/>
    <s v="Wendy"/>
    <n v="6"/>
  </r>
  <r>
    <d v="2024-11-10T00:00:00"/>
    <x v="9"/>
    <x v="1"/>
    <x v="20"/>
    <x v="0"/>
    <x v="0"/>
    <n v="6"/>
    <n v="62.43"/>
    <s v="Store A"/>
    <x v="0"/>
    <n v="0"/>
    <x v="4"/>
    <n v="374.58"/>
    <n v="224.74799999999999"/>
    <n v="131.982"/>
    <n v="0.35234662822361046"/>
    <n v="374.58"/>
    <s v="Gift Card"/>
    <s v="WINTER15"/>
    <x v="0"/>
    <n v="0"/>
    <x v="0"/>
    <x v="937"/>
    <s v="Cust 7891"/>
    <n v="17.850000000000001"/>
    <d v="2024-11-10T00:00:00"/>
    <d v="2024-11-18T00:00:00"/>
    <s v="Eric"/>
    <n v="8"/>
  </r>
  <r>
    <d v="2025-02-04T00:00:00"/>
    <x v="0"/>
    <x v="2"/>
    <x v="3"/>
    <x v="3"/>
    <x v="5"/>
    <n v="7"/>
    <n v="569.89"/>
    <s v="Store D"/>
    <x v="0"/>
    <n v="0.1"/>
    <x v="1"/>
    <n v="3590.3070000000002"/>
    <n v="2393.5379999999996"/>
    <n v="1169.9590000000007"/>
    <n v="0.32586600533046356"/>
    <n v="3590.3069999999998"/>
    <s v="Cash"/>
    <s v="SAVE10"/>
    <x v="0"/>
    <n v="0"/>
    <x v="0"/>
    <x v="938"/>
    <s v="Cust 3373"/>
    <n v="26.81"/>
    <d v="2025-02-04T00:00:00"/>
    <d v="2025-02-08T00:00:00"/>
    <s v="Cameron"/>
    <n v="4"/>
  </r>
  <r>
    <d v="2024-02-21T00:00:00"/>
    <x v="0"/>
    <x v="1"/>
    <x v="5"/>
    <x v="0"/>
    <x v="2"/>
    <n v="5"/>
    <n v="34.06"/>
    <s v="Store D"/>
    <x v="0"/>
    <n v="0.05"/>
    <x v="4"/>
    <n v="161.785"/>
    <n v="102.18"/>
    <n v="39.884999999999991"/>
    <n v="0.24653088976110266"/>
    <n v="161.785"/>
    <s v="Gift Card"/>
    <m/>
    <x v="1"/>
    <n v="0"/>
    <x v="0"/>
    <x v="939"/>
    <s v="Cust 9045"/>
    <n v="19.72"/>
    <d v="2024-02-21T00:00:00"/>
    <d v="2024-03-02T00:00:00"/>
    <s v="Eric"/>
    <n v="10"/>
  </r>
  <r>
    <d v="2023-03-24T00:00:00"/>
    <x v="6"/>
    <x v="0"/>
    <x v="17"/>
    <x v="0"/>
    <x v="2"/>
    <n v="17"/>
    <n v="502.6"/>
    <s v="Store A"/>
    <x v="0"/>
    <n v="0.1"/>
    <x v="2"/>
    <n v="7689.7800000000007"/>
    <n v="5126.5200000000004"/>
    <n v="2547.88"/>
    <n v="0.33133327611453123"/>
    <n v="7689.7800000000007"/>
    <s v="Cash"/>
    <m/>
    <x v="1"/>
    <n v="0"/>
    <x v="0"/>
    <x v="940"/>
    <s v="Cust 9197"/>
    <n v="15.38"/>
    <d v="2023-03-24T00:00:00"/>
    <d v="2023-03-29T00:00:00"/>
    <s v="Eric"/>
    <n v="5"/>
  </r>
  <r>
    <d v="2024-05-05T00:00:00"/>
    <x v="2"/>
    <x v="1"/>
    <x v="14"/>
    <x v="1"/>
    <x v="6"/>
    <n v="3"/>
    <n v="89.72"/>
    <s v="Store D"/>
    <x v="0"/>
    <n v="0.1"/>
    <x v="1"/>
    <n v="242.24399999999997"/>
    <n v="161.49600000000001"/>
    <n v="48.07799999999996"/>
    <n v="0.19846931193342235"/>
    <n v="242.244"/>
    <s v="Gift Card"/>
    <s v="WINTER15"/>
    <x v="0"/>
    <n v="0"/>
    <x v="0"/>
    <x v="941"/>
    <s v="Cust 6920"/>
    <n v="32.67"/>
    <d v="2024-05-05T00:00:00"/>
    <d v="2024-05-13T00:00:00"/>
    <s v="Sophie"/>
    <n v="8"/>
  </r>
  <r>
    <d v="2024-10-04T00:00:00"/>
    <x v="5"/>
    <x v="1"/>
    <x v="7"/>
    <x v="1"/>
    <x v="0"/>
    <n v="18"/>
    <n v="403.53"/>
    <s v="Store D"/>
    <x v="0"/>
    <n v="0.1"/>
    <x v="1"/>
    <n v="6537.1859999999997"/>
    <n v="4358.1239999999998"/>
    <n v="2143.3319999999999"/>
    <n v="0.32786767884530132"/>
    <n v="6537.1859999999997"/>
    <s v="Online"/>
    <m/>
    <x v="1"/>
    <n v="0"/>
    <x v="0"/>
    <x v="942"/>
    <s v="Cust 9652"/>
    <n v="35.729999999999997"/>
    <d v="2024-10-04T00:00:00"/>
    <d v="2024-10-07T00:00:00"/>
    <s v="Sophie"/>
    <n v="3"/>
  </r>
  <r>
    <d v="2025-01-04T00:00:00"/>
    <x v="4"/>
    <x v="2"/>
    <x v="12"/>
    <x v="1"/>
    <x v="3"/>
    <n v="2"/>
    <n v="194.97"/>
    <s v="Store A"/>
    <x v="1"/>
    <n v="0"/>
    <x v="4"/>
    <n v="389.94"/>
    <n v="233.964"/>
    <n v="146.08600000000001"/>
    <n v="0.37463712366005031"/>
    <n v="389.94"/>
    <s v="Credit Card"/>
    <s v="SAVE10"/>
    <x v="0"/>
    <n v="0"/>
    <x v="0"/>
    <x v="943"/>
    <s v="Cust 4189"/>
    <n v="9.89"/>
    <d v="2025-01-04T00:00:00"/>
    <d v="2025-01-14T00:00:00"/>
    <s v="Sophie"/>
    <n v="10"/>
  </r>
  <r>
    <d v="2024-12-23T00:00:00"/>
    <x v="1"/>
    <x v="1"/>
    <x v="1"/>
    <x v="3"/>
    <x v="6"/>
    <n v="12"/>
    <n v="171.91"/>
    <s v="Store B"/>
    <x v="1"/>
    <n v="0.05"/>
    <x v="0"/>
    <n v="1959.7739999999999"/>
    <n v="1237.752"/>
    <n v="687.66199999999992"/>
    <n v="0.35088841876665366"/>
    <n v="1959.7739999999999"/>
    <s v="Credit Card"/>
    <s v="WINTER15"/>
    <x v="0"/>
    <n v="0"/>
    <x v="0"/>
    <x v="944"/>
    <s v="Cust 6267"/>
    <n v="34.36"/>
    <d v="2024-12-23T00:00:00"/>
    <d v="2025-01-02T00:00:00"/>
    <s v="Cameron"/>
    <n v="10"/>
  </r>
  <r>
    <d v="2023-01-29T00:00:00"/>
    <x v="4"/>
    <x v="0"/>
    <x v="6"/>
    <x v="3"/>
    <x v="0"/>
    <n v="17"/>
    <n v="535.88"/>
    <s v="Store A"/>
    <x v="0"/>
    <n v="0.05"/>
    <x v="5"/>
    <n v="8654.4619999999995"/>
    <n v="5465.9759999999997"/>
    <n v="3162.366"/>
    <n v="0.36540295630161646"/>
    <n v="8654.4619999999995"/>
    <s v="Gift Card"/>
    <m/>
    <x v="1"/>
    <n v="0"/>
    <x v="0"/>
    <x v="945"/>
    <s v="Cust 7753"/>
    <n v="26.12"/>
    <d v="2023-01-29T00:00:00"/>
    <d v="2023-02-08T00:00:00"/>
    <s v="Cameron"/>
    <n v="10"/>
  </r>
  <r>
    <d v="2024-08-11T00:00:00"/>
    <x v="10"/>
    <x v="1"/>
    <x v="29"/>
    <x v="4"/>
    <x v="3"/>
    <n v="12"/>
    <n v="248.13"/>
    <s v="Store A"/>
    <x v="1"/>
    <n v="0.05"/>
    <x v="1"/>
    <n v="2828.6819999999998"/>
    <n v="1786.5359999999998"/>
    <n v="1016.116"/>
    <n v="0.35921888710006994"/>
    <n v="2828.6819999999998"/>
    <s v="Cash"/>
    <s v="FREESHIP"/>
    <x v="0"/>
    <n v="0"/>
    <x v="0"/>
    <x v="946"/>
    <s v="Cust 2789"/>
    <n v="26.03"/>
    <d v="2024-08-11T00:00:00"/>
    <d v="2024-08-17T00:00:00"/>
    <s v="Wendy"/>
    <n v="6"/>
  </r>
  <r>
    <d v="2023-11-25T00:00:00"/>
    <x v="9"/>
    <x v="0"/>
    <x v="15"/>
    <x v="2"/>
    <x v="1"/>
    <n v="2"/>
    <n v="482.1"/>
    <s v="Store C"/>
    <x v="1"/>
    <n v="0"/>
    <x v="3"/>
    <n v="964.2"/>
    <n v="578.52"/>
    <n v="340.33000000000004"/>
    <n v="0.35296618958722259"/>
    <n v="964.2"/>
    <s v="Online"/>
    <s v="FREESHIP"/>
    <x v="0"/>
    <n v="0"/>
    <x v="0"/>
    <x v="947"/>
    <s v="Cust 3527"/>
    <n v="45.35"/>
    <d v="2023-11-25T00:00:00"/>
    <d v="2023-11-30T00:00:00"/>
    <s v="Ryan"/>
    <n v="5"/>
  </r>
  <r>
    <d v="2025-03-04T00:00:00"/>
    <x v="6"/>
    <x v="2"/>
    <x v="8"/>
    <x v="2"/>
    <x v="4"/>
    <n v="18"/>
    <n v="382.01"/>
    <s v="Store D"/>
    <x v="0"/>
    <n v="0.1"/>
    <x v="1"/>
    <n v="6188.5620000000008"/>
    <n v="4125.7079999999996"/>
    <n v="2026.3040000000012"/>
    <n v="0.32742727632041191"/>
    <n v="6188.5620000000008"/>
    <s v="Online"/>
    <s v="SAVE10"/>
    <x v="0"/>
    <n v="0"/>
    <x v="0"/>
    <x v="948"/>
    <s v="Cust 9538"/>
    <n v="36.549999999999997"/>
    <d v="2025-03-04T00:00:00"/>
    <d v="2025-03-08T00:00:00"/>
    <s v="Ryan"/>
    <n v="4"/>
  </r>
  <r>
    <d v="2025-02-21T00:00:00"/>
    <x v="0"/>
    <x v="2"/>
    <x v="3"/>
    <x v="2"/>
    <x v="1"/>
    <n v="13"/>
    <n v="135.97999999999999"/>
    <s v="Store C"/>
    <x v="0"/>
    <n v="0"/>
    <x v="2"/>
    <n v="1767.7399999999998"/>
    <n v="1060.644"/>
    <n v="678.74599999999975"/>
    <n v="0.38396257368164993"/>
    <n v="1767.74"/>
    <s v="Online"/>
    <s v="WINTER15"/>
    <x v="0"/>
    <n v="0"/>
    <x v="0"/>
    <x v="949"/>
    <s v="Cust 7195"/>
    <n v="28.35"/>
    <d v="2025-02-21T00:00:00"/>
    <d v="2025-03-01T00:00:00"/>
    <s v="Ryan"/>
    <n v="8"/>
  </r>
  <r>
    <d v="2025-02-26T00:00:00"/>
    <x v="0"/>
    <x v="2"/>
    <x v="3"/>
    <x v="0"/>
    <x v="2"/>
    <n v="9"/>
    <n v="562.54"/>
    <s v="Store A"/>
    <x v="0"/>
    <n v="0"/>
    <x v="1"/>
    <n v="5062.8599999999997"/>
    <n v="3037.7159999999994"/>
    <n v="1994.8740000000003"/>
    <n v="0.39402116590227665"/>
    <n v="5062.8599999999997"/>
    <s v="Credit Card"/>
    <s v="FREESHIP"/>
    <x v="0"/>
    <n v="0"/>
    <x v="0"/>
    <x v="950"/>
    <s v="Cust 8929"/>
    <n v="30.27"/>
    <d v="2025-02-26T00:00:00"/>
    <d v="2025-02-28T00:00:00"/>
    <s v="Eric"/>
    <n v="2"/>
  </r>
  <r>
    <d v="2024-03-29T00:00:00"/>
    <x v="6"/>
    <x v="1"/>
    <x v="25"/>
    <x v="0"/>
    <x v="4"/>
    <n v="6"/>
    <n v="509.48"/>
    <s v="Store B"/>
    <x v="0"/>
    <n v="0"/>
    <x v="1"/>
    <n v="3056.88"/>
    <n v="1834.1279999999999"/>
    <n v="1186.8320000000001"/>
    <n v="0.38824945696265473"/>
    <n v="3056.88"/>
    <s v="Debit Card"/>
    <s v="WINTER15"/>
    <x v="0"/>
    <n v="0"/>
    <x v="0"/>
    <x v="951"/>
    <s v="Cust 8931"/>
    <n v="35.92"/>
    <d v="2024-03-29T00:00:00"/>
    <d v="2024-04-06T00:00:00"/>
    <s v="Eric"/>
    <n v="8"/>
  </r>
  <r>
    <d v="2025-05-28T00:00:00"/>
    <x v="2"/>
    <x v="2"/>
    <x v="13"/>
    <x v="4"/>
    <x v="2"/>
    <n v="3"/>
    <n v="470.09"/>
    <s v="Store B"/>
    <x v="0"/>
    <n v="0"/>
    <x v="0"/>
    <n v="1410.27"/>
    <n v="846.16199999999992"/>
    <n v="525.8180000000001"/>
    <n v="0.37284917072617307"/>
    <n v="1410.27"/>
    <s v="Gift Card"/>
    <m/>
    <x v="1"/>
    <n v="0"/>
    <x v="0"/>
    <x v="952"/>
    <s v="Cust 1424"/>
    <n v="38.29"/>
    <d v="2025-05-28T00:00:00"/>
    <d v="2025-06-01T00:00:00"/>
    <s v="Wendy"/>
    <n v="4"/>
  </r>
  <r>
    <d v="2024-05-24T00:00:00"/>
    <x v="2"/>
    <x v="1"/>
    <x v="14"/>
    <x v="4"/>
    <x v="6"/>
    <n v="10"/>
    <n v="280.8"/>
    <s v="Store C"/>
    <x v="1"/>
    <n v="0"/>
    <x v="1"/>
    <n v="2808"/>
    <n v="1684.8"/>
    <n v="1073.22"/>
    <n v="0.38220085470085469"/>
    <n v="2808"/>
    <s v="Credit Card"/>
    <s v="SAVE10"/>
    <x v="0"/>
    <n v="0"/>
    <x v="0"/>
    <x v="953"/>
    <s v="Cust 6723"/>
    <n v="49.98"/>
    <d v="2024-05-24T00:00:00"/>
    <d v="2024-05-30T00:00:00"/>
    <s v="Wendy"/>
    <n v="6"/>
  </r>
  <r>
    <d v="2023-05-12T00:00:00"/>
    <x v="2"/>
    <x v="0"/>
    <x v="2"/>
    <x v="1"/>
    <x v="3"/>
    <n v="9"/>
    <n v="251.43"/>
    <s v="Store C"/>
    <x v="1"/>
    <n v="0.1"/>
    <x v="2"/>
    <n v="2036.5829999999999"/>
    <n v="1357.722"/>
    <n v="656.29099999999983"/>
    <n v="0.32225104501019591"/>
    <n v="2036.5830000000001"/>
    <s v="Credit Card"/>
    <m/>
    <x v="1"/>
    <n v="0"/>
    <x v="0"/>
    <x v="954"/>
    <s v="Cust 8850"/>
    <n v="22.57"/>
    <d v="2023-05-12T00:00:00"/>
    <d v="2023-05-17T00:00:00"/>
    <s v="Sophie"/>
    <n v="5"/>
  </r>
  <r>
    <d v="2023-10-11T00:00:00"/>
    <x v="5"/>
    <x v="0"/>
    <x v="19"/>
    <x v="1"/>
    <x v="1"/>
    <n v="4"/>
    <n v="408.28"/>
    <s v="Store A"/>
    <x v="1"/>
    <n v="0.15"/>
    <x v="1"/>
    <n v="1388.1519999999998"/>
    <n v="979.87199999999984"/>
    <n v="402.9"/>
    <n v="0.2902419907906339"/>
    <n v="1388.152"/>
    <s v="Cash"/>
    <s v="WINTER15"/>
    <x v="0"/>
    <n v="0"/>
    <x v="0"/>
    <x v="955"/>
    <s v="Cust 1722"/>
    <n v="5.38"/>
    <d v="2023-10-11T00:00:00"/>
    <d v="2023-10-15T00:00:00"/>
    <s v="Sophie"/>
    <n v="4"/>
  </r>
  <r>
    <d v="2024-01-25T00:00:00"/>
    <x v="4"/>
    <x v="1"/>
    <x v="24"/>
    <x v="2"/>
    <x v="6"/>
    <n v="2"/>
    <n v="27.43"/>
    <s v="Store B"/>
    <x v="1"/>
    <n v="0.15"/>
    <x v="2"/>
    <n v="46.631"/>
    <n v="32.915999999999997"/>
    <n v="7.5650000000000031"/>
    <n v="0.16223113379511489"/>
    <n v="46.631"/>
    <s v="Online"/>
    <s v="WINTER15"/>
    <x v="0"/>
    <n v="0"/>
    <x v="0"/>
    <x v="956"/>
    <s v="Cust 1211"/>
    <n v="6.15"/>
    <d v="2024-01-25T00:00:00"/>
    <d v="2024-02-01T00:00:00"/>
    <s v="Ryan"/>
    <n v="7"/>
  </r>
  <r>
    <d v="2023-02-03T00:00:00"/>
    <x v="0"/>
    <x v="0"/>
    <x v="0"/>
    <x v="0"/>
    <x v="1"/>
    <n v="11"/>
    <n v="321.72000000000003"/>
    <s v="Store A"/>
    <x v="1"/>
    <n v="0.1"/>
    <x v="3"/>
    <n v="3185.0280000000002"/>
    <n v="2123.3520000000003"/>
    <n v="1043.7359999999999"/>
    <n v="0.3277007297895026"/>
    <n v="3185.0279999999998"/>
    <s v="Online"/>
    <s v="WINTER15"/>
    <x v="0"/>
    <n v="1"/>
    <x v="1"/>
    <x v="957"/>
    <s v="Cust 9384"/>
    <n v="17.940000000000001"/>
    <d v="2023-02-03T00:00:00"/>
    <d v="2023-02-06T00:00:00"/>
    <s v="Eric"/>
    <n v="3"/>
  </r>
  <r>
    <d v="2024-07-08T00:00:00"/>
    <x v="8"/>
    <x v="1"/>
    <x v="10"/>
    <x v="2"/>
    <x v="2"/>
    <n v="5"/>
    <n v="186.32"/>
    <s v="Store A"/>
    <x v="0"/>
    <n v="0.1"/>
    <x v="3"/>
    <n v="838.43999999999994"/>
    <n v="558.95999999999992"/>
    <n v="262.39000000000004"/>
    <n v="0.31295024092362012"/>
    <n v="838.43999999999994"/>
    <s v="Gift Card"/>
    <s v="WINTER15"/>
    <x v="0"/>
    <n v="0"/>
    <x v="0"/>
    <x v="958"/>
    <s v="Cust 3809"/>
    <n v="17.09"/>
    <d v="2024-07-08T00:00:00"/>
    <d v="2024-07-14T00:00:00"/>
    <s v="Ryan"/>
    <n v="6"/>
  </r>
  <r>
    <d v="2025-05-31T00:00:00"/>
    <x v="2"/>
    <x v="2"/>
    <x v="13"/>
    <x v="1"/>
    <x v="4"/>
    <n v="3"/>
    <n v="390.28"/>
    <s v="Store B"/>
    <x v="1"/>
    <n v="0"/>
    <x v="2"/>
    <n v="1170.8399999999999"/>
    <n v="702.50399999999991"/>
    <n v="423.11599999999999"/>
    <n v="0.36137815585391686"/>
    <n v="1170.8399999999999"/>
    <s v="Online"/>
    <s v="WINTER15"/>
    <x v="0"/>
    <n v="1"/>
    <x v="1"/>
    <x v="959"/>
    <s v="Cust 9338"/>
    <n v="45.22"/>
    <d v="2025-05-31T00:00:00"/>
    <d v="2025-06-10T00:00:00"/>
    <s v="Sophie"/>
    <n v="10"/>
  </r>
  <r>
    <d v="2023-11-09T00:00:00"/>
    <x v="9"/>
    <x v="0"/>
    <x v="15"/>
    <x v="1"/>
    <x v="4"/>
    <n v="13"/>
    <n v="174.9"/>
    <s v="Store A"/>
    <x v="0"/>
    <n v="0.15"/>
    <x v="3"/>
    <n v="1932.6450000000002"/>
    <n v="1364.22"/>
    <n v="537.16500000000019"/>
    <n v="0.27794292278199056"/>
    <n v="1932.645"/>
    <s v="Online"/>
    <s v="WINTER15"/>
    <x v="0"/>
    <n v="0"/>
    <x v="0"/>
    <x v="960"/>
    <s v="Cust 1822"/>
    <n v="31.26"/>
    <d v="2023-11-09T00:00:00"/>
    <d v="2023-11-12T00:00:00"/>
    <s v="Sophie"/>
    <n v="3"/>
  </r>
  <r>
    <d v="2023-07-06T00:00:00"/>
    <x v="8"/>
    <x v="0"/>
    <x v="11"/>
    <x v="2"/>
    <x v="3"/>
    <n v="8"/>
    <n v="419.13"/>
    <s v="Store A"/>
    <x v="1"/>
    <n v="0.1"/>
    <x v="1"/>
    <n v="3017.7359999999999"/>
    <n v="2011.8239999999998"/>
    <n v="994.89200000000005"/>
    <n v="0.32968158911183754"/>
    <n v="3017.7359999999999"/>
    <s v="Online"/>
    <m/>
    <x v="1"/>
    <n v="1"/>
    <x v="1"/>
    <x v="961"/>
    <s v="Cust 8260"/>
    <n v="11.02"/>
    <d v="2023-07-06T00:00:00"/>
    <d v="2023-07-10T00:00:00"/>
    <s v="Ryan"/>
    <n v="4"/>
  </r>
  <r>
    <d v="2023-07-14T00:00:00"/>
    <x v="8"/>
    <x v="0"/>
    <x v="11"/>
    <x v="2"/>
    <x v="3"/>
    <n v="12"/>
    <n v="116.96"/>
    <s v="Store D"/>
    <x v="0"/>
    <n v="0"/>
    <x v="1"/>
    <n v="1403.52"/>
    <n v="842.11199999999985"/>
    <n v="539.36800000000017"/>
    <n v="0.38429662562699513"/>
    <n v="1403.52"/>
    <s v="Gift Card"/>
    <s v="WINTER15"/>
    <x v="0"/>
    <n v="0"/>
    <x v="0"/>
    <x v="962"/>
    <s v="Cust 7088"/>
    <n v="22.04"/>
    <d v="2023-07-14T00:00:00"/>
    <d v="2023-07-22T00:00:00"/>
    <s v="Ryan"/>
    <n v="8"/>
  </r>
  <r>
    <d v="2023-11-13T00:00:00"/>
    <x v="9"/>
    <x v="0"/>
    <x v="15"/>
    <x v="4"/>
    <x v="3"/>
    <n v="11"/>
    <n v="323.72000000000003"/>
    <s v="Store A"/>
    <x v="0"/>
    <n v="0.1"/>
    <x v="5"/>
    <n v="3204.828"/>
    <n v="2136.5520000000001"/>
    <n v="1060.7559999999999"/>
    <n v="0.33098687355452455"/>
    <n v="3204.828"/>
    <s v="Gift Card"/>
    <s v="WINTER15"/>
    <x v="0"/>
    <n v="0"/>
    <x v="0"/>
    <x v="963"/>
    <s v="Cust 4969"/>
    <n v="7.52"/>
    <d v="2023-11-13T00:00:00"/>
    <d v="2023-11-15T00:00:00"/>
    <s v="Wendy"/>
    <n v="2"/>
  </r>
  <r>
    <d v="2025-02-02T00:00:00"/>
    <x v="0"/>
    <x v="2"/>
    <x v="3"/>
    <x v="4"/>
    <x v="5"/>
    <n v="11"/>
    <n v="155.49"/>
    <s v="Store D"/>
    <x v="1"/>
    <n v="0.05"/>
    <x v="2"/>
    <n v="1624.8705"/>
    <n v="1026.2339999999999"/>
    <n v="551.62650000000008"/>
    <n v="0.33948951624144824"/>
    <n v="1624.8705"/>
    <s v="Cash"/>
    <m/>
    <x v="1"/>
    <n v="0"/>
    <x v="0"/>
    <x v="964"/>
    <s v="Cust 9046"/>
    <n v="47.01"/>
    <d v="2025-02-02T00:00:00"/>
    <d v="2025-02-12T00:00:00"/>
    <s v="Wendy"/>
    <n v="10"/>
  </r>
  <r>
    <d v="2024-05-06T00:00:00"/>
    <x v="2"/>
    <x v="1"/>
    <x v="14"/>
    <x v="1"/>
    <x v="6"/>
    <n v="20"/>
    <n v="270.2"/>
    <s v="Store A"/>
    <x v="0"/>
    <n v="0"/>
    <x v="4"/>
    <n v="5404"/>
    <n v="3242.3999999999996"/>
    <n v="2154.8000000000002"/>
    <n v="0.39874167283493711"/>
    <n v="5404"/>
    <s v="Credit Card"/>
    <s v="WINTER15"/>
    <x v="0"/>
    <n v="0"/>
    <x v="0"/>
    <x v="965"/>
    <s v="Cust 6859"/>
    <n v="6.8"/>
    <d v="2024-05-06T00:00:00"/>
    <d v="2024-05-15T00:00:00"/>
    <s v="Sophie"/>
    <n v="9"/>
  </r>
  <r>
    <d v="2024-10-17T00:00:00"/>
    <x v="5"/>
    <x v="1"/>
    <x v="7"/>
    <x v="1"/>
    <x v="6"/>
    <n v="15"/>
    <n v="482.08"/>
    <s v="Store D"/>
    <x v="1"/>
    <n v="0.1"/>
    <x v="0"/>
    <n v="6508.08"/>
    <n v="4338.72"/>
    <n v="2156.0099999999998"/>
    <n v="0.33128203709849907"/>
    <n v="6508.08"/>
    <s v="Debit Card"/>
    <s v="FREESHIP"/>
    <x v="0"/>
    <n v="1"/>
    <x v="1"/>
    <x v="966"/>
    <s v="Cust 2800"/>
    <n v="13.35"/>
    <d v="2024-10-17T00:00:00"/>
    <d v="2024-10-19T00:00:00"/>
    <s v="Sophie"/>
    <n v="2"/>
  </r>
  <r>
    <d v="2025-01-29T00:00:00"/>
    <x v="4"/>
    <x v="2"/>
    <x v="12"/>
    <x v="2"/>
    <x v="0"/>
    <n v="11"/>
    <n v="431.51"/>
    <s v="Store C"/>
    <x v="0"/>
    <n v="0.1"/>
    <x v="3"/>
    <n v="4271.9489999999996"/>
    <n v="2847.9659999999999"/>
    <n v="1401.1529999999998"/>
    <n v="0.32798916841001613"/>
    <n v="4271.9489999999996"/>
    <s v="Debit Card"/>
    <s v="SAVE10"/>
    <x v="0"/>
    <n v="0"/>
    <x v="0"/>
    <x v="967"/>
    <s v="Cust 1146"/>
    <n v="22.83"/>
    <d v="2025-01-29T00:00:00"/>
    <d v="2025-02-05T00:00:00"/>
    <s v="Ryan"/>
    <n v="7"/>
  </r>
  <r>
    <d v="2025-03-23T00:00:00"/>
    <x v="6"/>
    <x v="2"/>
    <x v="8"/>
    <x v="3"/>
    <x v="3"/>
    <n v="5"/>
    <n v="302.76"/>
    <s v="Store D"/>
    <x v="0"/>
    <n v="0"/>
    <x v="3"/>
    <n v="1513.8"/>
    <n v="908.27999999999986"/>
    <n v="558.83000000000015"/>
    <n v="0.3691570881226055"/>
    <n v="1513.8"/>
    <s v="Gift Card"/>
    <s v="FREESHIP"/>
    <x v="0"/>
    <n v="1"/>
    <x v="1"/>
    <x v="968"/>
    <s v="Cust 6447"/>
    <n v="46.69"/>
    <d v="2025-03-23T00:00:00"/>
    <d v="2025-03-29T00:00:00"/>
    <s v="Cameron"/>
    <n v="6"/>
  </r>
  <r>
    <d v="2024-04-11T00:00:00"/>
    <x v="7"/>
    <x v="1"/>
    <x v="9"/>
    <x v="4"/>
    <x v="3"/>
    <n v="19"/>
    <n v="344.92"/>
    <s v="Store C"/>
    <x v="0"/>
    <n v="0"/>
    <x v="0"/>
    <n v="6553.4800000000005"/>
    <n v="3932.0879999999997"/>
    <n v="2614.4820000000009"/>
    <n v="0.39894559836911087"/>
    <n v="6553.48"/>
    <s v="Cash"/>
    <s v="WINTER15"/>
    <x v="0"/>
    <n v="0"/>
    <x v="0"/>
    <x v="969"/>
    <s v="Cust 8519"/>
    <n v="6.91"/>
    <d v="2024-04-11T00:00:00"/>
    <d v="2024-04-20T00:00:00"/>
    <s v="Wendy"/>
    <n v="9"/>
  </r>
  <r>
    <d v="2024-05-03T00:00:00"/>
    <x v="2"/>
    <x v="1"/>
    <x v="14"/>
    <x v="3"/>
    <x v="3"/>
    <n v="7"/>
    <n v="511.46"/>
    <s v="Store C"/>
    <x v="1"/>
    <n v="0.1"/>
    <x v="0"/>
    <n v="3222.1979999999999"/>
    <n v="2148.1319999999996"/>
    <n v="1054.8660000000002"/>
    <n v="0.32737466785095148"/>
    <n v="3222.1979999999999"/>
    <s v="Cash"/>
    <s v="FREESHIP"/>
    <x v="0"/>
    <n v="0"/>
    <x v="0"/>
    <x v="970"/>
    <s v="Cust 3422"/>
    <n v="19.2"/>
    <d v="2024-05-03T00:00:00"/>
    <d v="2024-05-12T00:00:00"/>
    <s v="Cameron"/>
    <n v="9"/>
  </r>
  <r>
    <d v="2024-10-14T00:00:00"/>
    <x v="5"/>
    <x v="1"/>
    <x v="7"/>
    <x v="0"/>
    <x v="4"/>
    <n v="7"/>
    <n v="150.6"/>
    <s v="Store A"/>
    <x v="0"/>
    <n v="0.15"/>
    <x v="5"/>
    <n v="896.07"/>
    <n v="632.52"/>
    <n v="248.03000000000006"/>
    <n v="0.27679757161828877"/>
    <n v="896.07"/>
    <s v="Cash"/>
    <s v="WINTER15"/>
    <x v="0"/>
    <n v="1"/>
    <x v="1"/>
    <x v="971"/>
    <s v="Cust 9638"/>
    <n v="15.52"/>
    <d v="2024-10-14T00:00:00"/>
    <d v="2024-10-21T00:00:00"/>
    <s v="Eric"/>
    <n v="7"/>
  </r>
  <r>
    <d v="2024-02-08T00:00:00"/>
    <x v="0"/>
    <x v="1"/>
    <x v="5"/>
    <x v="4"/>
    <x v="1"/>
    <n v="8"/>
    <n v="158.02000000000001"/>
    <s v="Store C"/>
    <x v="0"/>
    <n v="0.15"/>
    <x v="4"/>
    <n v="1074.5360000000001"/>
    <n v="758.49599999999998"/>
    <n v="268.61000000000007"/>
    <n v="0.24997766477809963"/>
    <n v="1074.5360000000001"/>
    <s v="Credit Card"/>
    <s v="FREESHIP"/>
    <x v="0"/>
    <n v="0"/>
    <x v="0"/>
    <x v="972"/>
    <s v="Cust 6438"/>
    <n v="47.43"/>
    <d v="2024-02-08T00:00:00"/>
    <d v="2024-02-13T00:00:00"/>
    <s v="Wendy"/>
    <n v="5"/>
  </r>
  <r>
    <d v="2023-05-10T00:00:00"/>
    <x v="2"/>
    <x v="0"/>
    <x v="2"/>
    <x v="3"/>
    <x v="5"/>
    <n v="2"/>
    <n v="536.17999999999995"/>
    <s v="Store B"/>
    <x v="1"/>
    <n v="0.1"/>
    <x v="2"/>
    <n v="965.12399999999991"/>
    <n v="643.41599999999994"/>
    <n v="286.95799999999997"/>
    <n v="0.2973275972828362"/>
    <n v="965.12399999999991"/>
    <s v="Credit Card"/>
    <s v="FREESHIP"/>
    <x v="0"/>
    <n v="0"/>
    <x v="0"/>
    <x v="973"/>
    <s v="Cust 1724"/>
    <n v="34.75"/>
    <d v="2023-05-10T00:00:00"/>
    <d v="2023-05-13T00:00:00"/>
    <s v="Cameron"/>
    <n v="3"/>
  </r>
  <r>
    <d v="2023-03-03T00:00:00"/>
    <x v="6"/>
    <x v="0"/>
    <x v="17"/>
    <x v="2"/>
    <x v="3"/>
    <n v="16"/>
    <n v="571.26"/>
    <s v="Store C"/>
    <x v="0"/>
    <n v="0.15"/>
    <x v="5"/>
    <n v="7769.1359999999995"/>
    <n v="5484.0959999999995"/>
    <n v="2278.91"/>
    <n v="0.29332862753335764"/>
    <n v="7769.1360000000004"/>
    <s v="Gift Card"/>
    <s v="SAVE10"/>
    <x v="0"/>
    <n v="0"/>
    <x v="0"/>
    <x v="974"/>
    <s v="Cust 7808"/>
    <n v="6.13"/>
    <d v="2023-03-03T00:00:00"/>
    <d v="2023-03-12T00:00:00"/>
    <s v="Ryan"/>
    <n v="9"/>
  </r>
  <r>
    <d v="2025-05-21T00:00:00"/>
    <x v="2"/>
    <x v="2"/>
    <x v="13"/>
    <x v="3"/>
    <x v="5"/>
    <n v="12"/>
    <n v="134.41999999999999"/>
    <s v="Store D"/>
    <x v="1"/>
    <n v="0.1"/>
    <x v="4"/>
    <n v="1451.7360000000001"/>
    <n v="967.82399999999984"/>
    <n v="449.93200000000024"/>
    <n v="0.30992687375666111"/>
    <n v="1451.7360000000001"/>
    <s v="Gift Card"/>
    <s v="FREESHIP"/>
    <x v="0"/>
    <n v="0"/>
    <x v="0"/>
    <x v="975"/>
    <s v="Cust 3045"/>
    <n v="33.979999999999997"/>
    <d v="2025-05-21T00:00:00"/>
    <d v="2025-05-27T00:00:00"/>
    <s v="Cameron"/>
    <n v="6"/>
  </r>
  <r>
    <d v="2025-04-30T00:00:00"/>
    <x v="7"/>
    <x v="2"/>
    <x v="28"/>
    <x v="3"/>
    <x v="0"/>
    <n v="5"/>
    <n v="563.70000000000005"/>
    <s v="Store A"/>
    <x v="1"/>
    <n v="0"/>
    <x v="5"/>
    <n v="2818.5"/>
    <n v="1691.1000000000001"/>
    <n v="1098.1199999999999"/>
    <n v="0.38961149547631713"/>
    <n v="2818.5"/>
    <s v="Online"/>
    <s v="SAVE10"/>
    <x v="0"/>
    <n v="0"/>
    <x v="0"/>
    <x v="976"/>
    <s v="Cust 7348"/>
    <n v="29.28"/>
    <d v="2025-04-30T00:00:00"/>
    <d v="2025-05-07T00:00:00"/>
    <s v="Cameron"/>
    <n v="7"/>
  </r>
  <r>
    <d v="2023-04-02T00:00:00"/>
    <x v="7"/>
    <x v="0"/>
    <x v="21"/>
    <x v="2"/>
    <x v="1"/>
    <n v="11"/>
    <n v="546.57000000000005"/>
    <s v="Store D"/>
    <x v="1"/>
    <n v="0.15"/>
    <x v="5"/>
    <n v="5110.4295000000002"/>
    <n v="3607.3620000000001"/>
    <n v="1478.2975000000001"/>
    <n v="0.28927069632797009"/>
    <n v="5110.4295000000002"/>
    <s v="Credit Card"/>
    <s v="SAVE10"/>
    <x v="0"/>
    <n v="1"/>
    <x v="1"/>
    <x v="977"/>
    <s v="Cust 5666"/>
    <n v="24.77"/>
    <d v="2023-04-02T00:00:00"/>
    <d v="2023-04-04T00:00:00"/>
    <s v="Ryan"/>
    <n v="2"/>
  </r>
  <r>
    <d v="2024-08-26T00:00:00"/>
    <x v="10"/>
    <x v="1"/>
    <x v="29"/>
    <x v="2"/>
    <x v="4"/>
    <n v="9"/>
    <n v="364.88"/>
    <s v="Store C"/>
    <x v="0"/>
    <n v="0.05"/>
    <x v="5"/>
    <n v="3119.7239999999997"/>
    <n v="1970.3519999999999"/>
    <n v="1109.1119999999999"/>
    <n v="0.35551606488266269"/>
    <n v="3119.7240000000002"/>
    <s v="Cash"/>
    <s v="SAVE10"/>
    <x v="0"/>
    <n v="0"/>
    <x v="0"/>
    <x v="978"/>
    <s v="Cust 4002"/>
    <n v="40.26"/>
    <d v="2024-08-26T00:00:00"/>
    <d v="2024-09-05T00:00:00"/>
    <s v="Ryan"/>
    <n v="10"/>
  </r>
  <r>
    <d v="2023-11-10T00:00:00"/>
    <x v="9"/>
    <x v="0"/>
    <x v="15"/>
    <x v="1"/>
    <x v="4"/>
    <n v="7"/>
    <n v="368.27"/>
    <s v="Store C"/>
    <x v="0"/>
    <n v="0.15"/>
    <x v="3"/>
    <n v="2191.2064999999998"/>
    <n v="1546.7339999999999"/>
    <n v="615.49249999999984"/>
    <n v="0.28089205649946725"/>
    <n v="2191.2064999999998"/>
    <s v="Online"/>
    <s v="WINTER15"/>
    <x v="0"/>
    <n v="0"/>
    <x v="0"/>
    <x v="979"/>
    <s v="Cust 6675"/>
    <n v="28.98"/>
    <d v="2023-11-10T00:00:00"/>
    <d v="2023-11-20T00:00:00"/>
    <s v="Sophie"/>
    <n v="10"/>
  </r>
  <r>
    <d v="2025-01-27T00:00:00"/>
    <x v="4"/>
    <x v="2"/>
    <x v="12"/>
    <x v="3"/>
    <x v="6"/>
    <n v="20"/>
    <n v="537.28"/>
    <s v="Store C"/>
    <x v="0"/>
    <n v="0"/>
    <x v="2"/>
    <n v="10745.599999999999"/>
    <n v="6447.36"/>
    <n v="4282.6399999999985"/>
    <n v="0.39854824300178671"/>
    <n v="10745.6"/>
    <s v="Online"/>
    <m/>
    <x v="1"/>
    <n v="1"/>
    <x v="1"/>
    <x v="980"/>
    <s v="Cust 5462"/>
    <n v="15.6"/>
    <d v="2025-01-27T00:00:00"/>
    <d v="2025-02-02T00:00:00"/>
    <s v="Cameron"/>
    <n v="6"/>
  </r>
  <r>
    <d v="2024-04-26T00:00:00"/>
    <x v="7"/>
    <x v="1"/>
    <x v="9"/>
    <x v="1"/>
    <x v="1"/>
    <n v="3"/>
    <n v="103.09"/>
    <s v="Store D"/>
    <x v="0"/>
    <n v="0"/>
    <x v="3"/>
    <n v="309.27"/>
    <n v="185.56200000000001"/>
    <n v="77.237999999999971"/>
    <n v="0.24974294305946251"/>
    <n v="309.27"/>
    <s v="Gift Card"/>
    <s v="SAVE10"/>
    <x v="0"/>
    <n v="1"/>
    <x v="1"/>
    <x v="981"/>
    <s v="Cust 3471"/>
    <n v="46.47"/>
    <d v="2024-04-26T00:00:00"/>
    <d v="2024-04-30T00:00:00"/>
    <s v="Sophie"/>
    <n v="4"/>
  </r>
  <r>
    <d v="2023-11-27T00:00:00"/>
    <x v="9"/>
    <x v="0"/>
    <x v="15"/>
    <x v="0"/>
    <x v="5"/>
    <n v="9"/>
    <n v="97.56"/>
    <s v="Store A"/>
    <x v="0"/>
    <n v="0"/>
    <x v="1"/>
    <n v="878.04"/>
    <n v="526.82400000000007"/>
    <n v="302.37599999999986"/>
    <n v="0.34437611042777078"/>
    <n v="878.04"/>
    <s v="Online"/>
    <m/>
    <x v="1"/>
    <n v="0"/>
    <x v="0"/>
    <x v="982"/>
    <s v="Cust 1603"/>
    <n v="48.84"/>
    <d v="2023-11-27T00:00:00"/>
    <d v="2023-12-01T00:00:00"/>
    <s v="Eric"/>
    <n v="4"/>
  </r>
  <r>
    <d v="2023-03-30T00:00:00"/>
    <x v="6"/>
    <x v="0"/>
    <x v="17"/>
    <x v="3"/>
    <x v="5"/>
    <n v="10"/>
    <n v="338.75"/>
    <s v="Store A"/>
    <x v="0"/>
    <n v="0.15"/>
    <x v="3"/>
    <n v="2879.375"/>
    <n v="2032.5"/>
    <n v="810.31500000000005"/>
    <n v="0.28142044714564796"/>
    <n v="2879.375"/>
    <s v="Cash"/>
    <s v="WINTER15"/>
    <x v="0"/>
    <n v="1"/>
    <x v="1"/>
    <x v="983"/>
    <s v="Cust 7758"/>
    <n v="36.56"/>
    <d v="2023-03-30T00:00:00"/>
    <d v="2023-04-06T00:00:00"/>
    <s v="Cameron"/>
    <n v="7"/>
  </r>
  <r>
    <d v="2024-03-04T00:00:00"/>
    <x v="6"/>
    <x v="1"/>
    <x v="25"/>
    <x v="2"/>
    <x v="2"/>
    <n v="2"/>
    <n v="239.04"/>
    <s v="Store A"/>
    <x v="0"/>
    <n v="0"/>
    <x v="5"/>
    <n v="478.08"/>
    <n v="286.84799999999996"/>
    <n v="147.39200000000002"/>
    <n v="0.30829986613119148"/>
    <n v="478.08"/>
    <s v="Debit Card"/>
    <s v="SAVE10"/>
    <x v="0"/>
    <n v="1"/>
    <x v="1"/>
    <x v="984"/>
    <s v="Cust 3396"/>
    <n v="43.84"/>
    <d v="2024-03-04T00:00:00"/>
    <d v="2024-03-11T00:00:00"/>
    <s v="Ryan"/>
    <n v="7"/>
  </r>
  <r>
    <d v="2023-07-11T00:00:00"/>
    <x v="8"/>
    <x v="0"/>
    <x v="11"/>
    <x v="1"/>
    <x v="0"/>
    <n v="14"/>
    <n v="362.44"/>
    <s v="Store C"/>
    <x v="0"/>
    <n v="0.1"/>
    <x v="5"/>
    <n v="4566.7439999999997"/>
    <n v="3044.4960000000001"/>
    <n v="1485.5179999999996"/>
    <n v="0.32529040384133634"/>
    <n v="4566.7439999999997"/>
    <s v="Cash"/>
    <s v="WINTER15"/>
    <x v="0"/>
    <n v="0"/>
    <x v="0"/>
    <x v="985"/>
    <s v="Cust 4797"/>
    <n v="36.729999999999997"/>
    <d v="2023-07-11T00:00:00"/>
    <d v="2023-07-15T00:00:00"/>
    <s v="Sophie"/>
    <n v="4"/>
  </r>
  <r>
    <d v="2024-09-20T00:00:00"/>
    <x v="11"/>
    <x v="1"/>
    <x v="26"/>
    <x v="4"/>
    <x v="4"/>
    <n v="6"/>
    <n v="551.13"/>
    <s v="Store D"/>
    <x v="1"/>
    <n v="0"/>
    <x v="3"/>
    <n v="3306.7799999999997"/>
    <n v="1984.068"/>
    <n v="1308.0419999999997"/>
    <n v="0.39556366011648786"/>
    <n v="3306.78"/>
    <s v="Gift Card"/>
    <s v="FREESHIP"/>
    <x v="0"/>
    <n v="0"/>
    <x v="0"/>
    <x v="986"/>
    <s v="Cust 1113"/>
    <n v="14.67"/>
    <d v="2024-09-20T00:00:00"/>
    <d v="2024-09-29T00:00:00"/>
    <s v="Wendy"/>
    <n v="9"/>
  </r>
  <r>
    <d v="2025-02-18T00:00:00"/>
    <x v="0"/>
    <x v="2"/>
    <x v="3"/>
    <x v="4"/>
    <x v="0"/>
    <n v="1"/>
    <n v="82.06"/>
    <s v="Store D"/>
    <x v="1"/>
    <n v="0.1"/>
    <x v="0"/>
    <n v="73.853999999999999"/>
    <n v="49.235999999999997"/>
    <n v="13.508000000000003"/>
    <n v="0.18290140005957703"/>
    <n v="73.853999999999999"/>
    <s v="Credit Card"/>
    <s v="FREESHIP"/>
    <x v="0"/>
    <n v="0"/>
    <x v="0"/>
    <x v="987"/>
    <s v="Cust 8843"/>
    <n v="11.11"/>
    <d v="2025-02-18T00:00:00"/>
    <d v="2025-02-24T00:00:00"/>
    <s v="Wendy"/>
    <n v="6"/>
  </r>
  <r>
    <d v="2024-07-16T00:00:00"/>
    <x v="8"/>
    <x v="1"/>
    <x v="10"/>
    <x v="0"/>
    <x v="5"/>
    <n v="7"/>
    <n v="498.46"/>
    <s v="Store C"/>
    <x v="0"/>
    <n v="0.15"/>
    <x v="3"/>
    <n v="2965.8369999999995"/>
    <n v="2093.5319999999997"/>
    <n v="829.58499999999981"/>
    <n v="0.2797136187861976"/>
    <n v="2965.837"/>
    <s v="Gift Card"/>
    <m/>
    <x v="1"/>
    <n v="0"/>
    <x v="0"/>
    <x v="988"/>
    <s v="Cust 7505"/>
    <n v="42.72"/>
    <d v="2024-07-16T00:00:00"/>
    <d v="2024-07-20T00:00:00"/>
    <s v="Eric"/>
    <n v="4"/>
  </r>
  <r>
    <d v="2023-11-23T00:00:00"/>
    <x v="9"/>
    <x v="0"/>
    <x v="15"/>
    <x v="0"/>
    <x v="3"/>
    <n v="2"/>
    <n v="253.41"/>
    <s v="Store D"/>
    <x v="1"/>
    <n v="0.1"/>
    <x v="2"/>
    <n v="456.13799999999998"/>
    <n v="304.09199999999998"/>
    <n v="102.40599999999999"/>
    <n v="0.22450661861103438"/>
    <n v="456.13799999999998"/>
    <s v="Cash"/>
    <s v="FREESHIP"/>
    <x v="0"/>
    <n v="0"/>
    <x v="0"/>
    <x v="989"/>
    <s v="Cust 9490"/>
    <n v="49.64"/>
    <d v="2023-11-23T00:00:00"/>
    <d v="2023-11-25T00:00:00"/>
    <s v="Eric"/>
    <n v="2"/>
  </r>
  <r>
    <d v="2023-09-07T00:00:00"/>
    <x v="11"/>
    <x v="0"/>
    <x v="22"/>
    <x v="1"/>
    <x v="1"/>
    <n v="16"/>
    <n v="144.07"/>
    <s v="Store D"/>
    <x v="0"/>
    <n v="0.1"/>
    <x v="0"/>
    <n v="2074.6080000000002"/>
    <n v="1383.0719999999999"/>
    <n v="684.20600000000024"/>
    <n v="0.3298001357364862"/>
    <n v="2074.6080000000002"/>
    <s v="Debit Card"/>
    <s v="FREESHIP"/>
    <x v="0"/>
    <n v="0"/>
    <x v="0"/>
    <x v="990"/>
    <s v="Cust 8631"/>
    <n v="7.33"/>
    <d v="2023-09-07T00:00:00"/>
    <d v="2023-09-09T00:00:00"/>
    <s v="Sophie"/>
    <n v="2"/>
  </r>
  <r>
    <d v="2024-02-01T00:00:00"/>
    <x v="0"/>
    <x v="1"/>
    <x v="5"/>
    <x v="4"/>
    <x v="4"/>
    <n v="11"/>
    <n v="201.09"/>
    <s v="Store C"/>
    <x v="1"/>
    <n v="0.15"/>
    <x v="3"/>
    <n v="1880.1915000000001"/>
    <n v="1327.194"/>
    <n v="504.57750000000016"/>
    <n v="0.26836495112332981"/>
    <n v="1880.1914999999999"/>
    <s v="Cash"/>
    <m/>
    <x v="1"/>
    <n v="1"/>
    <x v="1"/>
    <x v="991"/>
    <s v="Cust 6986"/>
    <n v="48.42"/>
    <d v="2024-02-01T00:00:00"/>
    <d v="2024-02-04T00:00:00"/>
    <s v="Wendy"/>
    <n v="3"/>
  </r>
  <r>
    <d v="2025-05-08T00:00:00"/>
    <x v="2"/>
    <x v="2"/>
    <x v="13"/>
    <x v="1"/>
    <x v="3"/>
    <n v="11"/>
    <n v="585.45000000000005"/>
    <s v="Store D"/>
    <x v="0"/>
    <n v="0.1"/>
    <x v="1"/>
    <n v="5795.9550000000008"/>
    <n v="3863.9700000000003"/>
    <n v="1895.3950000000007"/>
    <n v="0.32702030985402758"/>
    <n v="5795.9550000000008"/>
    <s v="Credit Card"/>
    <s v="WINTER15"/>
    <x v="0"/>
    <n v="0"/>
    <x v="0"/>
    <x v="992"/>
    <s v="Cust 9636"/>
    <n v="36.590000000000003"/>
    <d v="2025-05-08T00:00:00"/>
    <d v="2025-05-12T00:00:00"/>
    <s v="Sophie"/>
    <n v="4"/>
  </r>
  <r>
    <d v="2025-01-17T00:00:00"/>
    <x v="4"/>
    <x v="2"/>
    <x v="12"/>
    <x v="2"/>
    <x v="0"/>
    <n v="3"/>
    <n v="448.77"/>
    <s v="Store A"/>
    <x v="1"/>
    <n v="0"/>
    <x v="1"/>
    <n v="1346.31"/>
    <n v="807.78600000000006"/>
    <n v="510.02399999999989"/>
    <n v="0.37883102702943594"/>
    <n v="1346.31"/>
    <s v="Online"/>
    <s v="FREESHIP"/>
    <x v="0"/>
    <n v="0"/>
    <x v="0"/>
    <x v="993"/>
    <s v="Cust 7367"/>
    <n v="28.5"/>
    <d v="2025-01-17T00:00:00"/>
    <d v="2025-01-24T00:00:00"/>
    <s v="Ryan"/>
    <n v="7"/>
  </r>
  <r>
    <d v="2023-09-02T00:00:00"/>
    <x v="11"/>
    <x v="0"/>
    <x v="22"/>
    <x v="0"/>
    <x v="4"/>
    <n v="9"/>
    <n v="184.43"/>
    <s v="Store D"/>
    <x v="0"/>
    <n v="0"/>
    <x v="3"/>
    <n v="1659.8700000000001"/>
    <n v="995.92200000000003"/>
    <n v="633.16800000000012"/>
    <n v="0.38145637911402702"/>
    <n v="1659.87"/>
    <s v="Online"/>
    <s v="WINTER15"/>
    <x v="0"/>
    <n v="0"/>
    <x v="0"/>
    <x v="994"/>
    <s v="Cust 1943"/>
    <n v="30.78"/>
    <d v="2023-09-02T00:00:00"/>
    <d v="2023-09-08T00:00:00"/>
    <s v="Eric"/>
    <n v="6"/>
  </r>
  <r>
    <d v="2023-06-23T00:00:00"/>
    <x v="3"/>
    <x v="0"/>
    <x v="4"/>
    <x v="3"/>
    <x v="0"/>
    <n v="16"/>
    <n v="594.1"/>
    <s v="Store D"/>
    <x v="1"/>
    <n v="0"/>
    <x v="5"/>
    <n v="9505.6"/>
    <n v="5703.36"/>
    <n v="3784.0400000000009"/>
    <n v="0.3980853391684902"/>
    <n v="9505.6"/>
    <s v="Gift Card"/>
    <s v="FREESHIP"/>
    <x v="0"/>
    <n v="0"/>
    <x v="0"/>
    <x v="995"/>
    <s v="Cust 6368"/>
    <n v="18.2"/>
    <d v="2023-06-23T00:00:00"/>
    <d v="2023-07-01T00:00:00"/>
    <s v="Cameron"/>
    <n v="8"/>
  </r>
  <r>
    <d v="2024-01-20T00:00:00"/>
    <x v="4"/>
    <x v="1"/>
    <x v="24"/>
    <x v="0"/>
    <x v="0"/>
    <n v="19"/>
    <n v="482.07"/>
    <s v="Store B"/>
    <x v="0"/>
    <n v="0.1"/>
    <x v="5"/>
    <n v="8243.3970000000008"/>
    <n v="5495.597999999999"/>
    <n v="2721.8390000000018"/>
    <n v="0.33018414617177866"/>
    <n v="8243.3970000000008"/>
    <s v="Credit Card"/>
    <m/>
    <x v="1"/>
    <n v="0"/>
    <x v="0"/>
    <x v="996"/>
    <s v="Cust 9724"/>
    <n v="25.96"/>
    <d v="2024-01-20T00:00:00"/>
    <d v="2024-01-26T00:00:00"/>
    <s v="Eric"/>
    <n v="6"/>
  </r>
  <r>
    <d v="2024-06-26T00:00:00"/>
    <x v="3"/>
    <x v="1"/>
    <x v="23"/>
    <x v="0"/>
    <x v="3"/>
    <n v="20"/>
    <n v="75.45"/>
    <s v="Store B"/>
    <x v="0"/>
    <n v="0.05"/>
    <x v="0"/>
    <n v="1433.55"/>
    <n v="905.40000000000009"/>
    <n v="483.37999999999988"/>
    <n v="0.3371908897492239"/>
    <n v="1433.55"/>
    <s v="Credit Card"/>
    <s v="SAVE10"/>
    <x v="0"/>
    <n v="0"/>
    <x v="0"/>
    <x v="997"/>
    <s v="Cust 1983"/>
    <n v="44.77"/>
    <d v="2024-06-26T00:00:00"/>
    <d v="2024-07-06T00:00:00"/>
    <s v="Eric"/>
    <n v="10"/>
  </r>
  <r>
    <d v="2024-12-12T00:00:00"/>
    <x v="1"/>
    <x v="1"/>
    <x v="1"/>
    <x v="3"/>
    <x v="4"/>
    <n v="2"/>
    <n v="494.22"/>
    <s v="Store C"/>
    <x v="1"/>
    <n v="0.1"/>
    <x v="3"/>
    <n v="889.59600000000012"/>
    <n v="593.06399999999996"/>
    <n v="283.08200000000016"/>
    <n v="0.31821411067495819"/>
    <n v="889.59600000000012"/>
    <s v="Gift Card"/>
    <s v="FREESHIP"/>
    <x v="0"/>
    <n v="0"/>
    <x v="0"/>
    <x v="998"/>
    <s v="Cust 8723"/>
    <n v="13.45"/>
    <d v="2024-12-12T00:00:00"/>
    <d v="2024-12-17T00:00:00"/>
    <s v="Cameron"/>
    <n v="5"/>
  </r>
  <r>
    <d v="2024-02-21T00:00:00"/>
    <x v="0"/>
    <x v="1"/>
    <x v="5"/>
    <x v="0"/>
    <x v="0"/>
    <n v="15"/>
    <n v="112.82"/>
    <s v="Store B"/>
    <x v="0"/>
    <n v="0.05"/>
    <x v="2"/>
    <n v="1607.6849999999999"/>
    <n v="1015.3799999999999"/>
    <n v="574.09500000000003"/>
    <n v="0.35709420688754329"/>
    <n v="1607.6849999999999"/>
    <s v="Credit Card"/>
    <s v="WINTER15"/>
    <x v="0"/>
    <n v="0"/>
    <x v="0"/>
    <x v="999"/>
    <s v="Cust 1901"/>
    <n v="18.21"/>
    <d v="2024-02-21T00:00:00"/>
    <d v="2024-03-01T00:00:00"/>
    <s v="Eric"/>
    <n v="9"/>
  </r>
  <r>
    <d v="2023-07-18T00:00:00"/>
    <x v="8"/>
    <x v="0"/>
    <x v="11"/>
    <x v="0"/>
    <x v="2"/>
    <n v="3"/>
    <n v="121.56"/>
    <s v="Store D"/>
    <x v="0"/>
    <n v="0"/>
    <x v="0"/>
    <n v="364.68"/>
    <n v="218.80799999999999"/>
    <n v="116.81200000000001"/>
    <n v="0.32031369968191292"/>
    <n v="364.68"/>
    <s v="Debit Card"/>
    <s v="WINTER15"/>
    <x v="0"/>
    <n v="0"/>
    <x v="0"/>
    <x v="1000"/>
    <s v="Cust 9682"/>
    <n v="29.06"/>
    <d v="2023-07-18T00:00:00"/>
    <d v="2023-07-25T00:00:00"/>
    <s v="Eric"/>
    <n v="7"/>
  </r>
  <r>
    <d v="2024-10-02T00:00:00"/>
    <x v="5"/>
    <x v="1"/>
    <x v="7"/>
    <x v="2"/>
    <x v="2"/>
    <n v="12"/>
    <n v="465.94"/>
    <s v="Store D"/>
    <x v="0"/>
    <n v="0"/>
    <x v="1"/>
    <n v="5591.28"/>
    <n v="3354.7679999999996"/>
    <n v="2202.3520000000003"/>
    <n v="0.3938904866148718"/>
    <n v="5591.28"/>
    <s v="Credit Card"/>
    <s v="WINTER15"/>
    <x v="0"/>
    <n v="0"/>
    <x v="0"/>
    <x v="1001"/>
    <s v="Cust 5413"/>
    <n v="34.159999999999997"/>
    <d v="2024-10-02T00:00:00"/>
    <d v="2024-10-06T00:00:00"/>
    <s v="Ryan"/>
    <n v="4"/>
  </r>
  <r>
    <d v="2024-12-01T00:00:00"/>
    <x v="1"/>
    <x v="1"/>
    <x v="1"/>
    <x v="4"/>
    <x v="1"/>
    <n v="12"/>
    <n v="187.8"/>
    <s v="Store D"/>
    <x v="0"/>
    <n v="0.15"/>
    <x v="4"/>
    <n v="1915.5600000000002"/>
    <n v="1352.16"/>
    <n v="545.66000000000008"/>
    <n v="0.28485664766439056"/>
    <n v="1915.56"/>
    <s v="Online"/>
    <s v="FREESHIP"/>
    <x v="0"/>
    <n v="0"/>
    <x v="0"/>
    <x v="1002"/>
    <s v="Cust 9590"/>
    <n v="17.739999999999998"/>
    <d v="2024-12-01T00:00:00"/>
    <d v="2024-12-04T00:00:00"/>
    <s v="Wendy"/>
    <n v="3"/>
  </r>
  <r>
    <d v="2024-09-03T00:00:00"/>
    <x v="11"/>
    <x v="1"/>
    <x v="26"/>
    <x v="0"/>
    <x v="2"/>
    <n v="1"/>
    <n v="561.29999999999995"/>
    <s v="Store D"/>
    <x v="1"/>
    <n v="0.15"/>
    <x v="2"/>
    <n v="477.10499999999996"/>
    <n v="336.78"/>
    <n v="135.13499999999999"/>
    <n v="0.28323953846637534"/>
    <n v="477.10500000000002"/>
    <s v="Gift Card"/>
    <m/>
    <x v="1"/>
    <n v="0"/>
    <x v="0"/>
    <x v="1003"/>
    <s v="Cust 9379"/>
    <n v="5.19"/>
    <d v="2024-09-03T00:00:00"/>
    <d v="2024-09-12T00:00:00"/>
    <s v="Eric"/>
    <n v="9"/>
  </r>
  <r>
    <d v="2025-02-22T00:00:00"/>
    <x v="0"/>
    <x v="2"/>
    <x v="3"/>
    <x v="4"/>
    <x v="6"/>
    <n v="7"/>
    <n v="178.26"/>
    <s v="Store C"/>
    <x v="1"/>
    <n v="0.15"/>
    <x v="5"/>
    <n v="1060.6469999999999"/>
    <n v="748.69199999999989"/>
    <n v="267.04500000000007"/>
    <n v="0.25177556717739275"/>
    <n v="1060.6469999999999"/>
    <s v="Online"/>
    <s v="FREESHIP"/>
    <x v="0"/>
    <n v="0"/>
    <x v="0"/>
    <x v="1004"/>
    <s v="Cust 4722"/>
    <n v="44.91"/>
    <d v="2025-02-22T00:00:00"/>
    <d v="2025-03-01T00:00:00"/>
    <s v="Wendy"/>
    <n v="7"/>
  </r>
  <r>
    <d v="2025-05-11T00:00:00"/>
    <x v="2"/>
    <x v="2"/>
    <x v="13"/>
    <x v="4"/>
    <x v="4"/>
    <n v="20"/>
    <n v="552.83000000000004"/>
    <s v="Store D"/>
    <x v="1"/>
    <n v="0.15"/>
    <x v="0"/>
    <n v="9398.11"/>
    <n v="6633.9600000000009"/>
    <n v="2743.6499999999996"/>
    <n v="0.29193635741654433"/>
    <n v="9398.11"/>
    <s v="Online"/>
    <s v="FREESHIP"/>
    <x v="0"/>
    <n v="1"/>
    <x v="1"/>
    <x v="1005"/>
    <s v="Cust 7152"/>
    <n v="20.5"/>
    <d v="2025-05-11T00:00:00"/>
    <d v="2025-05-13T00:00:00"/>
    <s v="Wendy"/>
    <n v="2"/>
  </r>
  <r>
    <d v="2024-12-20T00:00:00"/>
    <x v="1"/>
    <x v="1"/>
    <x v="1"/>
    <x v="3"/>
    <x v="5"/>
    <n v="2"/>
    <n v="458.25"/>
    <s v="Store B"/>
    <x v="0"/>
    <n v="0"/>
    <x v="0"/>
    <n v="916.5"/>
    <n v="549.9"/>
    <n v="340.66"/>
    <n v="0.37169667212220409"/>
    <n v="916.5"/>
    <s v="Gift Card"/>
    <s v="SAVE10"/>
    <x v="0"/>
    <n v="0"/>
    <x v="0"/>
    <x v="1006"/>
    <s v="Cust 7255"/>
    <n v="25.94"/>
    <d v="2024-12-20T00:00:00"/>
    <d v="2024-12-29T00:00:00"/>
    <s v="Cameron"/>
    <n v="9"/>
  </r>
  <r>
    <d v="2023-04-18T00:00:00"/>
    <x v="7"/>
    <x v="0"/>
    <x v="21"/>
    <x v="0"/>
    <x v="0"/>
    <n v="2"/>
    <n v="129.43"/>
    <s v="Store D"/>
    <x v="1"/>
    <n v="0.05"/>
    <x v="1"/>
    <n v="245.917"/>
    <n v="155.316"/>
    <n v="83.691000000000003"/>
    <n v="0.34032214121024573"/>
    <n v="245.917"/>
    <s v="Debit Card"/>
    <s v="FREESHIP"/>
    <x v="0"/>
    <n v="0"/>
    <x v="0"/>
    <x v="1007"/>
    <s v="Cust 9593"/>
    <n v="6.91"/>
    <d v="2023-04-18T00:00:00"/>
    <d v="2023-04-21T00:00:00"/>
    <s v="Eric"/>
    <n v="3"/>
  </r>
  <r>
    <d v="2024-08-29T00:00:00"/>
    <x v="10"/>
    <x v="1"/>
    <x v="29"/>
    <x v="0"/>
    <x v="6"/>
    <n v="19"/>
    <n v="448.21"/>
    <s v="Store C"/>
    <x v="0"/>
    <n v="0.1"/>
    <x v="1"/>
    <n v="7664.3909999999996"/>
    <n v="5109.5940000000001"/>
    <n v="2524.0869999999995"/>
    <n v="0.3293264918243341"/>
    <n v="7664.3909999999996"/>
    <s v="Debit Card"/>
    <s v="WINTER15"/>
    <x v="0"/>
    <n v="0"/>
    <x v="0"/>
    <x v="1008"/>
    <s v="Cust 3829"/>
    <n v="30.71"/>
    <d v="2024-08-29T00:00:00"/>
    <d v="2024-09-03T00:00:00"/>
    <s v="Eric"/>
    <n v="5"/>
  </r>
  <r>
    <d v="2023-09-03T00:00:00"/>
    <x v="11"/>
    <x v="0"/>
    <x v="22"/>
    <x v="2"/>
    <x v="2"/>
    <n v="16"/>
    <n v="440.48"/>
    <s v="Store B"/>
    <x v="1"/>
    <n v="0.05"/>
    <x v="2"/>
    <n v="6695.2960000000003"/>
    <n v="4228.6080000000002"/>
    <n v="2439.8180000000002"/>
    <n v="0.36440778719865413"/>
    <n v="6695.2960000000003"/>
    <s v="Cash"/>
    <s v="FREESHIP"/>
    <x v="0"/>
    <n v="1"/>
    <x v="1"/>
    <x v="1009"/>
    <s v="Cust 2561"/>
    <n v="26.87"/>
    <d v="2023-09-03T00:00:00"/>
    <d v="2023-09-10T00:00:00"/>
    <s v="Ryan"/>
    <n v="7"/>
  </r>
  <r>
    <d v="2025-05-19T00:00:00"/>
    <x v="2"/>
    <x v="2"/>
    <x v="13"/>
    <x v="0"/>
    <x v="0"/>
    <n v="8"/>
    <n v="262.62"/>
    <s v="Store C"/>
    <x v="0"/>
    <n v="0"/>
    <x v="1"/>
    <n v="2100.96"/>
    <n v="1260.576"/>
    <n v="803.654"/>
    <n v="0.38251751580229987"/>
    <n v="2100.96"/>
    <s v="Cash"/>
    <s v="FREESHIP"/>
    <x v="0"/>
    <n v="1"/>
    <x v="1"/>
    <x v="1010"/>
    <s v="Cust 8387"/>
    <n v="36.729999999999997"/>
    <d v="2025-05-19T00:00:00"/>
    <d v="2025-05-24T00:00:00"/>
    <s v="Eric"/>
    <n v="5"/>
  </r>
  <r>
    <d v="2023-06-18T00:00:00"/>
    <x v="3"/>
    <x v="0"/>
    <x v="4"/>
    <x v="0"/>
    <x v="5"/>
    <n v="15"/>
    <n v="124.91"/>
    <s v="Store A"/>
    <x v="0"/>
    <n v="0.1"/>
    <x v="0"/>
    <n v="1686.2849999999999"/>
    <n v="1124.19"/>
    <n v="530.14499999999975"/>
    <n v="0.31438635817788796"/>
    <n v="1686.2850000000001"/>
    <s v="Gift Card"/>
    <s v="FREESHIP"/>
    <x v="0"/>
    <n v="0"/>
    <x v="0"/>
    <x v="1011"/>
    <s v="Cust 2860"/>
    <n v="31.95"/>
    <d v="2023-06-18T00:00:00"/>
    <d v="2023-06-26T00:00:00"/>
    <s v="Eric"/>
    <n v="8"/>
  </r>
  <r>
    <d v="2025-06-18T00:00:00"/>
    <x v="3"/>
    <x v="2"/>
    <x v="16"/>
    <x v="4"/>
    <x v="4"/>
    <n v="9"/>
    <n v="391"/>
    <s v="Store D"/>
    <x v="0"/>
    <n v="0.1"/>
    <x v="0"/>
    <n v="3167.1"/>
    <n v="2111.4"/>
    <n v="1008.9399999999998"/>
    <n v="0.31856903792112656"/>
    <n v="3167.1"/>
    <s v="Debit Card"/>
    <s v="WINTER15"/>
    <x v="0"/>
    <n v="0"/>
    <x v="0"/>
    <x v="1012"/>
    <s v="Cust 7794"/>
    <n v="46.76"/>
    <d v="2025-06-18T00:00:00"/>
    <d v="2025-06-22T00:00:00"/>
    <s v="Wendy"/>
    <n v="4"/>
  </r>
  <r>
    <d v="2024-09-29T00:00:00"/>
    <x v="11"/>
    <x v="1"/>
    <x v="26"/>
    <x v="1"/>
    <x v="0"/>
    <n v="12"/>
    <n v="204.15"/>
    <s v="Store C"/>
    <x v="1"/>
    <n v="0.05"/>
    <x v="1"/>
    <n v="2327.31"/>
    <n v="1469.8799999999999"/>
    <n v="831.03000000000009"/>
    <n v="0.35707748430591546"/>
    <n v="2327.31"/>
    <s v="Debit Card"/>
    <s v="FREESHIP"/>
    <x v="0"/>
    <n v="1"/>
    <x v="1"/>
    <x v="1013"/>
    <s v="Cust 6075"/>
    <n v="26.4"/>
    <d v="2024-09-29T00:00:00"/>
    <d v="2024-10-07T00:00:00"/>
    <s v="Sophie"/>
    <n v="8"/>
  </r>
  <r>
    <d v="2024-02-25T00:00:00"/>
    <x v="0"/>
    <x v="1"/>
    <x v="5"/>
    <x v="0"/>
    <x v="0"/>
    <n v="20"/>
    <n v="13.64"/>
    <s v="Store C"/>
    <x v="1"/>
    <n v="0.15"/>
    <x v="2"/>
    <n v="231.88"/>
    <n v="163.67999999999998"/>
    <n v="34.600000000000016"/>
    <n v="0.1492151112644472"/>
    <n v="231.88"/>
    <s v="Credit Card"/>
    <s v="SAVE10"/>
    <x v="0"/>
    <n v="0"/>
    <x v="0"/>
    <x v="1014"/>
    <s v="Cust 4337"/>
    <n v="33.6"/>
    <d v="2024-02-25T00:00:00"/>
    <d v="2024-03-04T00:00:00"/>
    <s v="Eric"/>
    <n v="8"/>
  </r>
  <r>
    <d v="2024-03-21T00:00:00"/>
    <x v="6"/>
    <x v="1"/>
    <x v="25"/>
    <x v="2"/>
    <x v="6"/>
    <n v="14"/>
    <n v="524.9"/>
    <s v="Store C"/>
    <x v="0"/>
    <n v="0.05"/>
    <x v="1"/>
    <n v="6981.1699999999992"/>
    <n v="4409.16"/>
    <n v="2551.7799999999993"/>
    <n v="0.36552325756284398"/>
    <n v="6981.1699999999992"/>
    <s v="Cash"/>
    <s v="FREESHIP"/>
    <x v="0"/>
    <n v="1"/>
    <x v="1"/>
    <x v="1015"/>
    <s v="Cust 2540"/>
    <n v="20.23"/>
    <d v="2024-03-21T00:00:00"/>
    <d v="2024-03-30T00:00:00"/>
    <s v="Ryan"/>
    <n v="9"/>
  </r>
  <r>
    <d v="2024-02-03T00:00:00"/>
    <x v="0"/>
    <x v="1"/>
    <x v="5"/>
    <x v="2"/>
    <x v="0"/>
    <n v="8"/>
    <n v="143.94999999999999"/>
    <s v="Store B"/>
    <x v="1"/>
    <n v="0.1"/>
    <x v="4"/>
    <n v="1036.44"/>
    <n v="690.95999999999992"/>
    <n v="317.39000000000016"/>
    <n v="0.30623094438655413"/>
    <n v="1036.44"/>
    <s v="Cash"/>
    <s v="SAVE10"/>
    <x v="0"/>
    <n v="0"/>
    <x v="0"/>
    <x v="1016"/>
    <s v="Cust 3944"/>
    <n v="28.09"/>
    <d v="2024-02-03T00:00:00"/>
    <d v="2024-02-09T00:00:00"/>
    <s v="Ryan"/>
    <n v="6"/>
  </r>
  <r>
    <d v="2023-11-21T00:00:00"/>
    <x v="9"/>
    <x v="0"/>
    <x v="15"/>
    <x v="1"/>
    <x v="0"/>
    <n v="2"/>
    <n v="576.84"/>
    <s v="Store D"/>
    <x v="1"/>
    <n v="0.1"/>
    <x v="2"/>
    <n v="1038.3120000000001"/>
    <n v="692.20799999999997"/>
    <n v="302.78400000000016"/>
    <n v="0.29161176987263954"/>
    <n v="1038.3119999999999"/>
    <s v="Credit Card"/>
    <s v="FREESHIP"/>
    <x v="0"/>
    <n v="0"/>
    <x v="0"/>
    <x v="1017"/>
    <s v="Cust 8876"/>
    <n v="43.32"/>
    <d v="2023-11-21T00:00:00"/>
    <d v="2023-11-24T00:00:00"/>
    <s v="Sophie"/>
    <n v="3"/>
  </r>
  <r>
    <d v="2023-01-10T00:00:00"/>
    <x v="4"/>
    <x v="0"/>
    <x v="6"/>
    <x v="4"/>
    <x v="3"/>
    <n v="14"/>
    <n v="250.98"/>
    <s v="Store C"/>
    <x v="1"/>
    <n v="0"/>
    <x v="0"/>
    <n v="3513.72"/>
    <n v="2108.232"/>
    <n v="1390.5479999999998"/>
    <n v="0.39574809603497146"/>
    <n v="3513.72"/>
    <s v="Debit Card"/>
    <m/>
    <x v="1"/>
    <n v="0"/>
    <x v="0"/>
    <x v="1018"/>
    <s v="Cust 3286"/>
    <n v="14.94"/>
    <d v="2023-01-10T00:00:00"/>
    <d v="2023-01-18T00:00:00"/>
    <s v="Wendy"/>
    <n v="8"/>
  </r>
  <r>
    <d v="2023-02-06T00:00:00"/>
    <x v="0"/>
    <x v="0"/>
    <x v="0"/>
    <x v="3"/>
    <x v="1"/>
    <n v="7"/>
    <n v="335.41"/>
    <s v="Store C"/>
    <x v="1"/>
    <n v="0"/>
    <x v="5"/>
    <n v="2347.8700000000003"/>
    <n v="1408.722"/>
    <n v="920.2380000000004"/>
    <n v="0.39194589138240205"/>
    <n v="2347.87"/>
    <s v="Online"/>
    <s v="SAVE10"/>
    <x v="0"/>
    <n v="0"/>
    <x v="0"/>
    <x v="1019"/>
    <s v="Cust 4990"/>
    <n v="18.91"/>
    <d v="2023-02-06T00:00:00"/>
    <d v="2023-02-10T00:00:00"/>
    <s v="Cameron"/>
    <n v="4"/>
  </r>
  <r>
    <d v="2025-04-10T00:00:00"/>
    <x v="7"/>
    <x v="2"/>
    <x v="28"/>
    <x v="2"/>
    <x v="6"/>
    <n v="11"/>
    <n v="204.5"/>
    <s v="Store A"/>
    <x v="1"/>
    <n v="0"/>
    <x v="0"/>
    <n v="2249.5"/>
    <n v="1349.6999999999998"/>
    <n v="885.98000000000013"/>
    <n v="0.39385641253611919"/>
    <n v="2249.5"/>
    <s v="Debit Card"/>
    <s v="WINTER15"/>
    <x v="0"/>
    <n v="0"/>
    <x v="0"/>
    <x v="1020"/>
    <s v="Cust 8706"/>
    <n v="13.82"/>
    <d v="2025-04-10T00:00:00"/>
    <d v="2025-04-20T00:00:00"/>
    <s v="Ryan"/>
    <n v="10"/>
  </r>
  <r>
    <d v="2024-02-14T00:00:00"/>
    <x v="0"/>
    <x v="1"/>
    <x v="5"/>
    <x v="0"/>
    <x v="5"/>
    <n v="1"/>
    <n v="542.63"/>
    <s v="Store A"/>
    <x v="1"/>
    <n v="0.05"/>
    <x v="3"/>
    <n v="515.49849999999992"/>
    <n v="325.57799999999997"/>
    <n v="156.72049999999996"/>
    <n v="0.30401737347441354"/>
    <n v="515.49849999999992"/>
    <s v="Credit Card"/>
    <m/>
    <x v="1"/>
    <n v="0"/>
    <x v="0"/>
    <x v="1021"/>
    <s v="Cust 2608"/>
    <n v="33.200000000000003"/>
    <d v="2024-02-14T00:00:00"/>
    <d v="2024-02-21T00:00:00"/>
    <s v="Eric"/>
    <n v="7"/>
  </r>
  <r>
    <d v="2025-05-26T00:00:00"/>
    <x v="2"/>
    <x v="2"/>
    <x v="13"/>
    <x v="0"/>
    <x v="1"/>
    <n v="1"/>
    <n v="204.54"/>
    <s v="Store D"/>
    <x v="1"/>
    <n v="0.1"/>
    <x v="3"/>
    <n v="184.08599999999998"/>
    <n v="122.72399999999999"/>
    <n v="43.60199999999999"/>
    <n v="0.23685668654867831"/>
    <n v="184.08600000000001"/>
    <s v="Online"/>
    <m/>
    <x v="1"/>
    <n v="1"/>
    <x v="1"/>
    <x v="1022"/>
    <s v="Cust 3290"/>
    <n v="17.760000000000002"/>
    <d v="2025-05-26T00:00:00"/>
    <d v="2025-05-29T00:00:00"/>
    <s v="Eric"/>
    <n v="3"/>
  </r>
  <r>
    <d v="2023-09-12T00:00:00"/>
    <x v="11"/>
    <x v="0"/>
    <x v="22"/>
    <x v="4"/>
    <x v="3"/>
    <n v="10"/>
    <n v="419.58"/>
    <s v="Store A"/>
    <x v="0"/>
    <n v="0.15"/>
    <x v="0"/>
    <n v="3566.43"/>
    <n v="2517.48"/>
    <n v="1035.8599999999999"/>
    <n v="0.29044731005515317"/>
    <n v="3566.43"/>
    <s v="Debit Card"/>
    <s v="FREESHIP"/>
    <x v="0"/>
    <n v="0"/>
    <x v="0"/>
    <x v="1023"/>
    <s v="Cust 3892"/>
    <n v="13.09"/>
    <d v="2023-09-12T00:00:00"/>
    <d v="2023-09-19T00:00:00"/>
    <s v="Wendy"/>
    <n v="7"/>
  </r>
  <r>
    <d v="2023-05-17T00:00:00"/>
    <x v="2"/>
    <x v="0"/>
    <x v="2"/>
    <x v="0"/>
    <x v="2"/>
    <n v="7"/>
    <n v="87.88"/>
    <s v="Store C"/>
    <x v="0"/>
    <n v="0.15"/>
    <x v="1"/>
    <n v="522.88599999999997"/>
    <n v="369.09599999999995"/>
    <n v="131.59000000000003"/>
    <n v="0.25166097390253334"/>
    <n v="522.88599999999997"/>
    <s v="Online"/>
    <s v="WINTER15"/>
    <x v="0"/>
    <n v="1"/>
    <x v="1"/>
    <x v="1024"/>
    <s v="Cust 6979"/>
    <n v="22.2"/>
    <d v="2023-05-17T00:00:00"/>
    <d v="2023-05-26T00:00:00"/>
    <s v="Eric"/>
    <n v="9"/>
  </r>
  <r>
    <d v="2024-01-29T00:00:00"/>
    <x v="4"/>
    <x v="1"/>
    <x v="24"/>
    <x v="4"/>
    <x v="6"/>
    <n v="7"/>
    <n v="386.88"/>
    <s v="Store B"/>
    <x v="0"/>
    <n v="0.05"/>
    <x v="3"/>
    <n v="2572.752"/>
    <n v="1624.896"/>
    <n v="909.39599999999996"/>
    <n v="0.3534720797029795"/>
    <n v="2572.752"/>
    <s v="Cash"/>
    <s v="SAVE10"/>
    <x v="0"/>
    <n v="0"/>
    <x v="0"/>
    <x v="1025"/>
    <s v="Cust 9375"/>
    <n v="38.46"/>
    <d v="2024-01-29T00:00:00"/>
    <d v="2024-01-31T00:00:00"/>
    <s v="Wendy"/>
    <n v="2"/>
  </r>
  <r>
    <d v="2025-05-09T00:00:00"/>
    <x v="2"/>
    <x v="2"/>
    <x v="13"/>
    <x v="2"/>
    <x v="2"/>
    <n v="4"/>
    <n v="242.8"/>
    <s v="Store D"/>
    <x v="0"/>
    <n v="0.05"/>
    <x v="4"/>
    <n v="922.64"/>
    <n v="582.72"/>
    <n v="309.89"/>
    <n v="0.33587314662273476"/>
    <n v="922.64"/>
    <s v="Debit Card"/>
    <s v="FREESHIP"/>
    <x v="0"/>
    <n v="0"/>
    <x v="0"/>
    <x v="1026"/>
    <s v="Cust 9311"/>
    <n v="30.03"/>
    <d v="2025-05-09T00:00:00"/>
    <d v="2025-05-18T00:00:00"/>
    <s v="Ryan"/>
    <n v="9"/>
  </r>
  <r>
    <d v="2024-04-05T00:00:00"/>
    <x v="7"/>
    <x v="1"/>
    <x v="9"/>
    <x v="0"/>
    <x v="6"/>
    <n v="4"/>
    <n v="410.59"/>
    <s v="Store A"/>
    <x v="1"/>
    <n v="0"/>
    <x v="0"/>
    <n v="1642.36"/>
    <n v="985.41599999999994"/>
    <n v="639.58399999999995"/>
    <n v="0.38942984485740034"/>
    <n v="1642.36"/>
    <s v="Cash"/>
    <m/>
    <x v="1"/>
    <n v="0"/>
    <x v="0"/>
    <x v="1027"/>
    <s v="Cust 4097"/>
    <n v="17.36"/>
    <d v="2024-04-05T00:00:00"/>
    <d v="2024-04-09T00:00:00"/>
    <s v="Eric"/>
    <n v="4"/>
  </r>
  <r>
    <d v="2024-08-01T00:00:00"/>
    <x v="10"/>
    <x v="1"/>
    <x v="29"/>
    <x v="1"/>
    <x v="3"/>
    <n v="3"/>
    <n v="10.93"/>
    <s v="Store D"/>
    <x v="0"/>
    <n v="0.15"/>
    <x v="0"/>
    <n v="27.871499999999997"/>
    <n v="19.673999999999999"/>
    <n v="-10.812500000000004"/>
    <n v="-0.38794108677322731"/>
    <n v="27.871500000000001"/>
    <s v="Cash"/>
    <s v="FREESHIP"/>
    <x v="0"/>
    <n v="0"/>
    <x v="0"/>
    <x v="1028"/>
    <s v="Cust 6145"/>
    <n v="19.010000000000002"/>
    <d v="2024-08-01T00:00:00"/>
    <d v="2024-08-10T00:00:00"/>
    <s v="Sophie"/>
    <n v="9"/>
  </r>
  <r>
    <d v="2024-07-10T00:00:00"/>
    <x v="8"/>
    <x v="1"/>
    <x v="10"/>
    <x v="1"/>
    <x v="3"/>
    <n v="20"/>
    <n v="150.16"/>
    <s v="Store C"/>
    <x v="0"/>
    <n v="0"/>
    <x v="5"/>
    <n v="3003.2"/>
    <n v="1801.9199999999998"/>
    <n v="1159.6199999999999"/>
    <n v="0.38612812999467233"/>
    <n v="3003.2"/>
    <s v="Cash"/>
    <m/>
    <x v="1"/>
    <n v="0"/>
    <x v="0"/>
    <x v="1029"/>
    <s v="Cust 8124"/>
    <n v="41.66"/>
    <d v="2024-07-10T00:00:00"/>
    <d v="2024-07-12T00:00:00"/>
    <s v="Sophie"/>
    <n v="2"/>
  </r>
  <r>
    <d v="2024-06-15T00:00:00"/>
    <x v="3"/>
    <x v="1"/>
    <x v="23"/>
    <x v="0"/>
    <x v="3"/>
    <n v="1"/>
    <n v="394.41"/>
    <s v="Store B"/>
    <x v="1"/>
    <n v="0.1"/>
    <x v="1"/>
    <n v="354.96900000000005"/>
    <n v="236.64600000000002"/>
    <n v="111.95300000000003"/>
    <n v="0.31538810431333447"/>
    <n v="354.96900000000011"/>
    <s v="Gift Card"/>
    <s v="WINTER15"/>
    <x v="0"/>
    <n v="0"/>
    <x v="0"/>
    <x v="1030"/>
    <s v="Cust 7826"/>
    <n v="6.37"/>
    <d v="2024-06-15T00:00:00"/>
    <d v="2024-06-20T00:00:00"/>
    <s v="Eric"/>
    <n v="5"/>
  </r>
  <r>
    <d v="2024-05-22T00:00:00"/>
    <x v="2"/>
    <x v="1"/>
    <x v="14"/>
    <x v="0"/>
    <x v="4"/>
    <n v="6"/>
    <n v="535.38"/>
    <s v="Store C"/>
    <x v="0"/>
    <n v="0.15"/>
    <x v="1"/>
    <n v="2730.4379999999996"/>
    <n v="1927.3679999999999"/>
    <n v="754.40999999999974"/>
    <n v="0.27629633047884622"/>
    <n v="2730.4380000000001"/>
    <s v="Online"/>
    <m/>
    <x v="1"/>
    <n v="0"/>
    <x v="0"/>
    <x v="1031"/>
    <s v="Cust 3472"/>
    <n v="48.66"/>
    <d v="2024-05-22T00:00:00"/>
    <d v="2024-05-29T00:00:00"/>
    <s v="Eric"/>
    <n v="7"/>
  </r>
  <r>
    <d v="2024-01-14T00:00:00"/>
    <x v="4"/>
    <x v="1"/>
    <x v="24"/>
    <x v="0"/>
    <x v="4"/>
    <n v="19"/>
    <n v="407.82"/>
    <s v="Store D"/>
    <x v="1"/>
    <n v="0.05"/>
    <x v="4"/>
    <n v="7361.1509999999998"/>
    <n v="4649.1479999999992"/>
    <n v="2673.0230000000006"/>
    <n v="0.36312568510006121"/>
    <n v="7361.1509999999998"/>
    <s v="Gift Card"/>
    <s v="FREESHIP"/>
    <x v="0"/>
    <n v="0"/>
    <x v="0"/>
    <x v="1032"/>
    <s v="Cust 4266"/>
    <n v="38.979999999999997"/>
    <d v="2024-01-14T00:00:00"/>
    <d v="2024-01-18T00:00:00"/>
    <s v="Eric"/>
    <n v="4"/>
  </r>
  <r>
    <d v="2024-10-31T00:00:00"/>
    <x v="5"/>
    <x v="1"/>
    <x v="7"/>
    <x v="2"/>
    <x v="5"/>
    <n v="16"/>
    <n v="120.83"/>
    <s v="Store B"/>
    <x v="1"/>
    <n v="0.05"/>
    <x v="3"/>
    <n v="1836.616"/>
    <n v="1159.9679999999998"/>
    <n v="637.00800000000015"/>
    <n v="0.34683788010122973"/>
    <n v="1836.616"/>
    <s v="Cash"/>
    <s v="WINTER15"/>
    <x v="0"/>
    <n v="1"/>
    <x v="1"/>
    <x v="1033"/>
    <s v="Cust 8492"/>
    <n v="39.64"/>
    <d v="2024-10-31T00:00:00"/>
    <d v="2024-11-02T00:00:00"/>
    <s v="Ryan"/>
    <n v="2"/>
  </r>
  <r>
    <d v="2024-04-23T00:00:00"/>
    <x v="7"/>
    <x v="1"/>
    <x v="9"/>
    <x v="4"/>
    <x v="6"/>
    <n v="7"/>
    <n v="39.53"/>
    <s v="Store D"/>
    <x v="1"/>
    <n v="0.1"/>
    <x v="3"/>
    <n v="249.03900000000004"/>
    <n v="166.02600000000001"/>
    <n v="64.853000000000037"/>
    <n v="0.26041302767839586"/>
    <n v="249.03899999999999"/>
    <s v="Debit Card"/>
    <s v="WINTER15"/>
    <x v="0"/>
    <n v="0"/>
    <x v="0"/>
    <x v="1034"/>
    <s v="Cust 7354"/>
    <n v="18.16"/>
    <d v="2024-04-23T00:00:00"/>
    <d v="2024-04-29T00:00:00"/>
    <s v="Wendy"/>
    <n v="6"/>
  </r>
  <r>
    <d v="2023-06-14T00:00:00"/>
    <x v="3"/>
    <x v="0"/>
    <x v="4"/>
    <x v="1"/>
    <x v="5"/>
    <n v="2"/>
    <n v="224.08"/>
    <s v="Store A"/>
    <x v="1"/>
    <n v="0.05"/>
    <x v="2"/>
    <n v="425.75200000000001"/>
    <n v="268.89600000000002"/>
    <n v="109.506"/>
    <n v="0.25720607301903453"/>
    <n v="425.75200000000001"/>
    <s v="Credit Card"/>
    <s v="WINTER15"/>
    <x v="0"/>
    <n v="0"/>
    <x v="0"/>
    <x v="1035"/>
    <s v="Cust 6672"/>
    <n v="47.35"/>
    <d v="2023-06-14T00:00:00"/>
    <d v="2023-06-20T00:00:00"/>
    <s v="Sophie"/>
    <n v="6"/>
  </r>
  <r>
    <d v="2024-02-28T00:00:00"/>
    <x v="0"/>
    <x v="1"/>
    <x v="5"/>
    <x v="2"/>
    <x v="6"/>
    <n v="11"/>
    <n v="382.08"/>
    <s v="Store D"/>
    <x v="0"/>
    <n v="0.05"/>
    <x v="2"/>
    <n v="3992.7359999999999"/>
    <n v="2521.7280000000001"/>
    <n v="1465.0579999999998"/>
    <n v="0.36693084641709339"/>
    <n v="3992.7359999999999"/>
    <s v="Cash"/>
    <s v="WINTER15"/>
    <x v="0"/>
    <n v="0"/>
    <x v="0"/>
    <x v="1036"/>
    <s v="Cust 5589"/>
    <n v="5.95"/>
    <d v="2024-02-28T00:00:00"/>
    <d v="2024-03-02T00:00:00"/>
    <s v="Ryan"/>
    <n v="3"/>
  </r>
  <r>
    <d v="2024-06-19T00:00:00"/>
    <x v="3"/>
    <x v="1"/>
    <x v="23"/>
    <x v="1"/>
    <x v="6"/>
    <n v="9"/>
    <n v="88.49"/>
    <s v="Store D"/>
    <x v="0"/>
    <n v="0.05"/>
    <x v="4"/>
    <n v="756.58949999999993"/>
    <n v="477.84599999999995"/>
    <n v="243.14349999999999"/>
    <n v="0.3213677958787427"/>
    <n v="756.58949999999993"/>
    <s v="Online"/>
    <m/>
    <x v="1"/>
    <n v="0"/>
    <x v="0"/>
    <x v="1037"/>
    <s v="Cust 2770"/>
    <n v="35.6"/>
    <d v="2024-06-19T00:00:00"/>
    <d v="2024-06-26T00:00:00"/>
    <s v="Sophie"/>
    <n v="7"/>
  </r>
  <r>
    <d v="2023-03-18T00:00:00"/>
    <x v="6"/>
    <x v="0"/>
    <x v="17"/>
    <x v="3"/>
    <x v="5"/>
    <n v="20"/>
    <n v="139.1"/>
    <s v="Store C"/>
    <x v="0"/>
    <n v="0.05"/>
    <x v="3"/>
    <n v="2642.9"/>
    <n v="1669.1999999999998"/>
    <n v="943.48000000000025"/>
    <n v="0.35698664345983588"/>
    <n v="2642.9"/>
    <s v="Online"/>
    <s v="FREESHIP"/>
    <x v="0"/>
    <n v="0"/>
    <x v="0"/>
    <x v="1038"/>
    <s v="Cust 7206"/>
    <n v="30.22"/>
    <d v="2023-03-18T00:00:00"/>
    <d v="2023-03-20T00:00:00"/>
    <s v="Cameron"/>
    <n v="2"/>
  </r>
  <r>
    <d v="2023-03-21T00:00:00"/>
    <x v="6"/>
    <x v="0"/>
    <x v="17"/>
    <x v="4"/>
    <x v="2"/>
    <n v="19"/>
    <n v="322.35000000000002"/>
    <s v="Store D"/>
    <x v="0"/>
    <n v="0.1"/>
    <x v="1"/>
    <n v="5512.1850000000004"/>
    <n v="3674.79"/>
    <n v="1807.3350000000005"/>
    <n v="0.32787996048753815"/>
    <n v="5512.1850000000004"/>
    <s v="Debit Card"/>
    <s v="WINTER15"/>
    <x v="0"/>
    <n v="0"/>
    <x v="0"/>
    <x v="1039"/>
    <s v="Cust 1580"/>
    <n v="30.06"/>
    <d v="2023-03-21T00:00:00"/>
    <d v="2023-03-31T00:00:00"/>
    <s v="Wendy"/>
    <n v="10"/>
  </r>
  <r>
    <d v="2024-05-28T00:00:00"/>
    <x v="2"/>
    <x v="1"/>
    <x v="14"/>
    <x v="0"/>
    <x v="6"/>
    <n v="16"/>
    <n v="334.55"/>
    <s v="Store B"/>
    <x v="0"/>
    <n v="0.1"/>
    <x v="0"/>
    <n v="4817.5200000000004"/>
    <n v="3211.68"/>
    <n v="1568.4200000000005"/>
    <n v="0.32556585130938748"/>
    <n v="4817.5200000000004"/>
    <s v="Credit Card"/>
    <s v="SAVE10"/>
    <x v="0"/>
    <n v="0"/>
    <x v="0"/>
    <x v="1040"/>
    <s v="Cust 5313"/>
    <n v="37.42"/>
    <d v="2024-05-28T00:00:00"/>
    <d v="2024-06-01T00:00:00"/>
    <s v="Eric"/>
    <n v="4"/>
  </r>
  <r>
    <d v="2023-03-27T00:00:00"/>
    <x v="6"/>
    <x v="0"/>
    <x v="17"/>
    <x v="4"/>
    <x v="2"/>
    <n v="20"/>
    <n v="332.48"/>
    <s v="Store B"/>
    <x v="0"/>
    <n v="0"/>
    <x v="0"/>
    <n v="6649.6"/>
    <n v="3989.76"/>
    <n v="2652.05"/>
    <n v="0.39882850096246392"/>
    <n v="6649.6"/>
    <s v="Online"/>
    <s v="SAVE10"/>
    <x v="0"/>
    <n v="1"/>
    <x v="1"/>
    <x v="1041"/>
    <s v="Cust 4209"/>
    <n v="7.79"/>
    <d v="2023-03-27T00:00:00"/>
    <d v="2023-03-30T00:00:00"/>
    <s v="Wendy"/>
    <n v="3"/>
  </r>
  <r>
    <d v="2023-06-19T00:00:00"/>
    <x v="3"/>
    <x v="0"/>
    <x v="4"/>
    <x v="3"/>
    <x v="6"/>
    <n v="1"/>
    <n v="123.4"/>
    <s v="Store A"/>
    <x v="1"/>
    <n v="0"/>
    <x v="0"/>
    <n v="123.4"/>
    <n v="74.040000000000006"/>
    <n v="36.729999999999997"/>
    <n v="0.2976499189627228"/>
    <n v="123.4"/>
    <s v="Cash"/>
    <m/>
    <x v="1"/>
    <n v="1"/>
    <x v="1"/>
    <x v="1042"/>
    <s v="Cust 5861"/>
    <n v="12.63"/>
    <d v="2023-06-19T00:00:00"/>
    <d v="2023-06-25T00:00:00"/>
    <s v="Cameron"/>
    <n v="6"/>
  </r>
  <r>
    <d v="2023-10-31T00:00:00"/>
    <x v="5"/>
    <x v="0"/>
    <x v="19"/>
    <x v="1"/>
    <x v="0"/>
    <n v="3"/>
    <n v="88.26"/>
    <s v="Store D"/>
    <x v="0"/>
    <n v="0.05"/>
    <x v="5"/>
    <n v="251.54100000000003"/>
    <n v="158.86799999999999"/>
    <n v="46.223000000000027"/>
    <n v="0.18375930762778245"/>
    <n v="251.541"/>
    <s v="Debit Card"/>
    <s v="FREESHIP"/>
    <x v="0"/>
    <n v="0"/>
    <x v="0"/>
    <x v="1043"/>
    <s v="Cust 6348"/>
    <n v="46.45"/>
    <d v="2023-10-31T00:00:00"/>
    <d v="2023-11-07T00:00:00"/>
    <s v="Sophie"/>
    <n v="7"/>
  </r>
  <r>
    <d v="2023-07-11T00:00:00"/>
    <x v="8"/>
    <x v="0"/>
    <x v="11"/>
    <x v="4"/>
    <x v="1"/>
    <n v="13"/>
    <n v="50.51"/>
    <s v="Store D"/>
    <x v="0"/>
    <n v="0.1"/>
    <x v="1"/>
    <n v="590.96699999999998"/>
    <n v="393.97799999999995"/>
    <n v="156.41900000000004"/>
    <n v="0.26468313797555537"/>
    <n v="590.96699999999998"/>
    <s v="Debit Card"/>
    <s v="WINTER15"/>
    <x v="0"/>
    <n v="0"/>
    <x v="0"/>
    <x v="1044"/>
    <s v="Cust 5210"/>
    <n v="40.57"/>
    <d v="2023-07-11T00:00:00"/>
    <d v="2023-07-18T00:00:00"/>
    <s v="Wendy"/>
    <n v="7"/>
  </r>
  <r>
    <d v="2023-05-19T00:00:00"/>
    <x v="2"/>
    <x v="0"/>
    <x v="2"/>
    <x v="1"/>
    <x v="4"/>
    <n v="11"/>
    <n v="237.99"/>
    <s v="Store D"/>
    <x v="0"/>
    <n v="0.05"/>
    <x v="5"/>
    <n v="2486.9955"/>
    <n v="1570.7340000000002"/>
    <n v="871.5614999999998"/>
    <n v="0.3504475581077649"/>
    <n v="2486.9955"/>
    <s v="Debit Card"/>
    <s v="FREESHIP"/>
    <x v="0"/>
    <n v="0"/>
    <x v="0"/>
    <x v="1045"/>
    <s v="Cust 7325"/>
    <n v="44.7"/>
    <d v="2023-05-19T00:00:00"/>
    <d v="2023-05-28T00:00:00"/>
    <s v="Sophie"/>
    <n v="9"/>
  </r>
  <r>
    <d v="2023-08-05T00:00:00"/>
    <x v="10"/>
    <x v="0"/>
    <x v="18"/>
    <x v="2"/>
    <x v="3"/>
    <n v="7"/>
    <n v="294.95"/>
    <s v="Store D"/>
    <x v="0"/>
    <n v="0"/>
    <x v="2"/>
    <n v="2064.65"/>
    <n v="1238.79"/>
    <n v="810.08000000000015"/>
    <n v="0.3923570580970141"/>
    <n v="2064.65"/>
    <s v="Online"/>
    <s v="FREESHIP"/>
    <x v="0"/>
    <n v="0"/>
    <x v="0"/>
    <x v="1046"/>
    <s v="Cust 5818"/>
    <n v="15.78"/>
    <d v="2023-08-05T00:00:00"/>
    <d v="2023-08-10T00:00:00"/>
    <s v="Ryan"/>
    <n v="5"/>
  </r>
  <r>
    <d v="2023-03-24T00:00:00"/>
    <x v="6"/>
    <x v="0"/>
    <x v="17"/>
    <x v="4"/>
    <x v="2"/>
    <n v="8"/>
    <n v="384.3"/>
    <s v="Store C"/>
    <x v="0"/>
    <n v="0.1"/>
    <x v="2"/>
    <n v="2766.96"/>
    <n v="1844.6399999999999"/>
    <n v="873.49000000000012"/>
    <n v="0.31568580680602543"/>
    <n v="2766.96"/>
    <s v="Gift Card"/>
    <s v="FREESHIP"/>
    <x v="0"/>
    <n v="0"/>
    <x v="0"/>
    <x v="1047"/>
    <s v="Cust 7773"/>
    <n v="48.83"/>
    <d v="2023-03-24T00:00:00"/>
    <d v="2023-04-03T00:00:00"/>
    <s v="Wendy"/>
    <n v="10"/>
  </r>
  <r>
    <d v="2025-02-14T00:00:00"/>
    <x v="0"/>
    <x v="2"/>
    <x v="3"/>
    <x v="4"/>
    <x v="4"/>
    <n v="1"/>
    <n v="378.35"/>
    <s v="Store C"/>
    <x v="0"/>
    <n v="0.05"/>
    <x v="4"/>
    <n v="359.4325"/>
    <n v="227.01000000000002"/>
    <n v="111.45249999999999"/>
    <n v="0.31007908299889403"/>
    <n v="359.4325"/>
    <s v="Cash"/>
    <s v="FREESHIP"/>
    <x v="0"/>
    <n v="0"/>
    <x v="0"/>
    <x v="1048"/>
    <s v="Cust 3960"/>
    <n v="20.97"/>
    <d v="2025-02-14T00:00:00"/>
    <d v="2025-02-17T00:00:00"/>
    <s v="Wendy"/>
    <n v="3"/>
  </r>
  <r>
    <d v="2024-12-14T00:00:00"/>
    <x v="1"/>
    <x v="1"/>
    <x v="1"/>
    <x v="2"/>
    <x v="2"/>
    <n v="1"/>
    <n v="461.35"/>
    <s v="Store D"/>
    <x v="1"/>
    <n v="0"/>
    <x v="5"/>
    <n v="461.35"/>
    <n v="276.81"/>
    <n v="140.80000000000001"/>
    <n v="0.3051912864419638"/>
    <n v="461.35"/>
    <s v="Debit Card"/>
    <s v="FREESHIP"/>
    <x v="0"/>
    <n v="1"/>
    <x v="1"/>
    <x v="1049"/>
    <s v="Cust 4496"/>
    <n v="43.74"/>
    <d v="2024-12-14T00:00:00"/>
    <d v="2024-12-16T00:00:00"/>
    <s v="Ryan"/>
    <n v="2"/>
  </r>
  <r>
    <d v="2023-06-28T00:00:00"/>
    <x v="3"/>
    <x v="0"/>
    <x v="4"/>
    <x v="1"/>
    <x v="6"/>
    <n v="20"/>
    <n v="354.9"/>
    <s v="Store A"/>
    <x v="0"/>
    <n v="0"/>
    <x v="5"/>
    <n v="7098"/>
    <n v="4258.7999999999993"/>
    <n v="2795.9600000000009"/>
    <n v="0.39390814313891248"/>
    <n v="7098"/>
    <s v="Gift Card"/>
    <s v="WINTER15"/>
    <x v="0"/>
    <n v="0"/>
    <x v="0"/>
    <x v="1050"/>
    <s v="Cust 3875"/>
    <n v="43.24"/>
    <d v="2023-06-28T00:00:00"/>
    <d v="2023-07-01T00:00:00"/>
    <s v="Sophie"/>
    <n v="3"/>
  </r>
  <r>
    <d v="2023-01-24T00:00:00"/>
    <x v="4"/>
    <x v="0"/>
    <x v="6"/>
    <x v="4"/>
    <x v="2"/>
    <n v="7"/>
    <n v="438.41"/>
    <s v="Store C"/>
    <x v="1"/>
    <n v="0.1"/>
    <x v="4"/>
    <n v="2761.9830000000002"/>
    <n v="1841.3219999999999"/>
    <n v="872.8910000000003"/>
    <n v="0.31603778879160382"/>
    <n v="2761.9830000000002"/>
    <s v="Debit Card"/>
    <s v="SAVE10"/>
    <x v="0"/>
    <n v="1"/>
    <x v="1"/>
    <x v="1051"/>
    <s v="Cust 7232"/>
    <n v="47.77"/>
    <d v="2023-01-24T00:00:00"/>
    <d v="2023-01-28T00:00:00"/>
    <s v="Wendy"/>
    <n v="4"/>
  </r>
  <r>
    <d v="2024-06-21T00:00:00"/>
    <x v="3"/>
    <x v="1"/>
    <x v="23"/>
    <x v="3"/>
    <x v="5"/>
    <n v="14"/>
    <n v="542.6"/>
    <s v="Store C"/>
    <x v="1"/>
    <n v="0.05"/>
    <x v="0"/>
    <n v="7216.58"/>
    <n v="4557.84"/>
    <n v="2613.9799999999996"/>
    <n v="0.36221866867685243"/>
    <n v="7216.58"/>
    <s v="Debit Card"/>
    <m/>
    <x v="1"/>
    <n v="0"/>
    <x v="0"/>
    <x v="1052"/>
    <s v="Cust 2137"/>
    <n v="44.76"/>
    <d v="2024-06-21T00:00:00"/>
    <d v="2024-06-30T00:00:00"/>
    <s v="Cameron"/>
    <n v="9"/>
  </r>
  <r>
    <d v="2025-04-09T00:00:00"/>
    <x v="7"/>
    <x v="2"/>
    <x v="28"/>
    <x v="2"/>
    <x v="6"/>
    <n v="3"/>
    <n v="238.82"/>
    <s v="Store C"/>
    <x v="1"/>
    <n v="0.1"/>
    <x v="5"/>
    <n v="644.81400000000008"/>
    <n v="429.87599999999998"/>
    <n v="177.86800000000011"/>
    <n v="0.27584388676424532"/>
    <n v="644.81400000000008"/>
    <s v="Gift Card"/>
    <s v="WINTER15"/>
    <x v="0"/>
    <n v="0"/>
    <x v="0"/>
    <x v="1053"/>
    <s v="Cust 4537"/>
    <n v="37.07"/>
    <d v="2025-04-09T00:00:00"/>
    <d v="2025-04-18T00:00:00"/>
    <s v="Ryan"/>
    <n v="9"/>
  </r>
  <r>
    <d v="2025-01-11T00:00:00"/>
    <x v="4"/>
    <x v="2"/>
    <x v="12"/>
    <x v="2"/>
    <x v="5"/>
    <n v="16"/>
    <n v="332.19"/>
    <s v="Store C"/>
    <x v="1"/>
    <n v="0.1"/>
    <x v="0"/>
    <n v="4783.5360000000001"/>
    <n v="3189.0239999999999"/>
    <n v="1559.5420000000001"/>
    <n v="0.32602284168029677"/>
    <n v="4783.5360000000001"/>
    <s v="Credit Card"/>
    <s v="SAVE10"/>
    <x v="0"/>
    <n v="1"/>
    <x v="1"/>
    <x v="1054"/>
    <s v="Cust 6274"/>
    <n v="34.97"/>
    <d v="2025-01-11T00:00:00"/>
    <d v="2025-01-19T00:00:00"/>
    <s v="Ryan"/>
    <n v="8"/>
  </r>
  <r>
    <d v="2024-07-13T00:00:00"/>
    <x v="8"/>
    <x v="1"/>
    <x v="10"/>
    <x v="3"/>
    <x v="6"/>
    <n v="9"/>
    <n v="454.6"/>
    <s v="Store D"/>
    <x v="0"/>
    <n v="0.05"/>
    <x v="3"/>
    <n v="3886.83"/>
    <n v="2454.84"/>
    <n v="1399.1299999999999"/>
    <n v="0.35996686245603743"/>
    <n v="3886.83"/>
    <s v="Debit Card"/>
    <m/>
    <x v="1"/>
    <n v="0"/>
    <x v="0"/>
    <x v="1055"/>
    <s v="Cust 3810"/>
    <n v="32.86"/>
    <d v="2024-07-13T00:00:00"/>
    <d v="2024-07-20T00:00:00"/>
    <s v="Cameron"/>
    <n v="7"/>
  </r>
  <r>
    <d v="2025-01-04T00:00:00"/>
    <x v="4"/>
    <x v="2"/>
    <x v="12"/>
    <x v="4"/>
    <x v="6"/>
    <n v="6"/>
    <n v="540.54"/>
    <s v="Store A"/>
    <x v="1"/>
    <n v="0.05"/>
    <x v="3"/>
    <n v="3081.0779999999995"/>
    <n v="1945.9439999999997"/>
    <n v="1115.3639999999998"/>
    <n v="0.36200446726762514"/>
    <n v="3081.078"/>
    <s v="Debit Card"/>
    <s v="SAVE10"/>
    <x v="0"/>
    <n v="0"/>
    <x v="0"/>
    <x v="1056"/>
    <s v="Cust 5002"/>
    <n v="19.77"/>
    <d v="2025-01-04T00:00:00"/>
    <d v="2025-01-10T00:00:00"/>
    <s v="Wendy"/>
    <n v="6"/>
  </r>
  <r>
    <d v="2023-10-25T00:00:00"/>
    <x v="5"/>
    <x v="0"/>
    <x v="19"/>
    <x v="4"/>
    <x v="2"/>
    <n v="14"/>
    <n v="147.37"/>
    <s v="Store D"/>
    <x v="0"/>
    <n v="0.15"/>
    <x v="2"/>
    <n v="1753.7030000000002"/>
    <n v="1237.9079999999999"/>
    <n v="470.0450000000003"/>
    <n v="0.26802999139535044"/>
    <n v="1753.703"/>
    <s v="Debit Card"/>
    <s v="WINTER15"/>
    <x v="0"/>
    <n v="1"/>
    <x v="1"/>
    <x v="1057"/>
    <s v="Cust 8551"/>
    <n v="45.75"/>
    <d v="2023-10-25T00:00:00"/>
    <d v="2023-10-31T00:00:00"/>
    <s v="Wendy"/>
    <n v="6"/>
  </r>
  <r>
    <d v="2023-09-30T00:00:00"/>
    <x v="11"/>
    <x v="0"/>
    <x v="22"/>
    <x v="1"/>
    <x v="0"/>
    <n v="7"/>
    <n v="421.12"/>
    <s v="Store D"/>
    <x v="0"/>
    <n v="0.15"/>
    <x v="4"/>
    <n v="2505.6640000000002"/>
    <n v="1768.704"/>
    <n v="692.47000000000025"/>
    <n v="0.27636187453704891"/>
    <n v="2505.6640000000002"/>
    <s v="Gift Card"/>
    <m/>
    <x v="1"/>
    <n v="0"/>
    <x v="0"/>
    <x v="1058"/>
    <s v="Cust 8837"/>
    <n v="44.49"/>
    <d v="2023-09-30T00:00:00"/>
    <d v="2023-10-02T00:00:00"/>
    <s v="Sophie"/>
    <n v="2"/>
  </r>
  <r>
    <d v="2023-03-16T00:00:00"/>
    <x v="6"/>
    <x v="0"/>
    <x v="17"/>
    <x v="2"/>
    <x v="1"/>
    <n v="20"/>
    <n v="436.32"/>
    <s v="Store D"/>
    <x v="1"/>
    <n v="0"/>
    <x v="4"/>
    <n v="8726.4"/>
    <n v="5235.8399999999992"/>
    <n v="3453.0700000000006"/>
    <n v="0.39570384121745517"/>
    <n v="8726.4"/>
    <s v="Credit Card"/>
    <s v="FREESHIP"/>
    <x v="0"/>
    <n v="1"/>
    <x v="1"/>
    <x v="1059"/>
    <s v="Cust 6523"/>
    <n v="37.49"/>
    <d v="2023-03-16T00:00:00"/>
    <d v="2023-03-26T00:00:00"/>
    <s v="Ryan"/>
    <n v="10"/>
  </r>
  <r>
    <d v="2023-07-26T00:00:00"/>
    <x v="8"/>
    <x v="0"/>
    <x v="11"/>
    <x v="2"/>
    <x v="0"/>
    <n v="18"/>
    <n v="436.83"/>
    <s v="Store A"/>
    <x v="0"/>
    <n v="0.1"/>
    <x v="5"/>
    <n v="7076.6459999999997"/>
    <n v="4717.7639999999992"/>
    <n v="2330.0820000000003"/>
    <n v="0.32926360877737848"/>
    <n v="7076.6459999999997"/>
    <s v="Credit Card"/>
    <s v="SAVE10"/>
    <x v="0"/>
    <n v="0"/>
    <x v="0"/>
    <x v="1060"/>
    <s v="Cust 1947"/>
    <n v="28.8"/>
    <d v="2023-07-26T00:00:00"/>
    <d v="2023-08-02T00:00:00"/>
    <s v="Ryan"/>
    <n v="7"/>
  </r>
  <r>
    <d v="2023-07-10T00:00:00"/>
    <x v="8"/>
    <x v="0"/>
    <x v="11"/>
    <x v="0"/>
    <x v="4"/>
    <n v="2"/>
    <n v="327.57"/>
    <s v="Store A"/>
    <x v="1"/>
    <n v="0.05"/>
    <x v="4"/>
    <n v="622.38299999999992"/>
    <n v="393.084"/>
    <n v="209.80899999999991"/>
    <n v="0.33710592994988609"/>
    <n v="622.38299999999992"/>
    <s v="Debit Card"/>
    <m/>
    <x v="1"/>
    <n v="0"/>
    <x v="0"/>
    <x v="1061"/>
    <s v="Cust 3440"/>
    <n v="19.489999999999998"/>
    <d v="2023-07-10T00:00:00"/>
    <d v="2023-07-19T00:00:00"/>
    <s v="Eric"/>
    <n v="9"/>
  </r>
  <r>
    <d v="2024-08-06T00:00:00"/>
    <x v="10"/>
    <x v="1"/>
    <x v="29"/>
    <x v="0"/>
    <x v="6"/>
    <n v="18"/>
    <n v="166.92"/>
    <s v="Store C"/>
    <x v="0"/>
    <n v="0.05"/>
    <x v="1"/>
    <n v="2854.3319999999999"/>
    <n v="1802.7359999999999"/>
    <n v="1042.2460000000001"/>
    <n v="0.3651453299756301"/>
    <n v="2854.3319999999999"/>
    <s v="Gift Card"/>
    <s v="WINTER15"/>
    <x v="0"/>
    <n v="0"/>
    <x v="0"/>
    <x v="1062"/>
    <s v="Cust 4102"/>
    <n v="9.35"/>
    <d v="2024-08-06T00:00:00"/>
    <d v="2024-08-16T00:00:00"/>
    <s v="Eric"/>
    <n v="10"/>
  </r>
  <r>
    <d v="2024-07-16T00:00:00"/>
    <x v="8"/>
    <x v="1"/>
    <x v="10"/>
    <x v="3"/>
    <x v="1"/>
    <n v="14"/>
    <n v="300.38"/>
    <s v="Store A"/>
    <x v="1"/>
    <n v="0.1"/>
    <x v="1"/>
    <n v="3784.788"/>
    <n v="2523.1919999999996"/>
    <n v="1222.9960000000005"/>
    <n v="0.32313461150267875"/>
    <n v="3784.788"/>
    <s v="Online"/>
    <m/>
    <x v="1"/>
    <n v="0"/>
    <x v="0"/>
    <x v="1063"/>
    <s v="Cust 4145"/>
    <n v="38.6"/>
    <d v="2024-07-16T00:00:00"/>
    <d v="2024-07-19T00:00:00"/>
    <s v="Cameron"/>
    <n v="3"/>
  </r>
  <r>
    <d v="2024-01-31T00:00:00"/>
    <x v="4"/>
    <x v="1"/>
    <x v="24"/>
    <x v="2"/>
    <x v="6"/>
    <n v="5"/>
    <n v="232.29"/>
    <s v="Store A"/>
    <x v="0"/>
    <n v="0"/>
    <x v="1"/>
    <n v="1161.45"/>
    <n v="696.87"/>
    <n v="422.20000000000005"/>
    <n v="0.3635111283309656"/>
    <n v="1161.45"/>
    <s v="Online"/>
    <m/>
    <x v="1"/>
    <n v="1"/>
    <x v="1"/>
    <x v="1064"/>
    <s v="Cust 5206"/>
    <n v="42.38"/>
    <d v="2024-01-31T00:00:00"/>
    <d v="2024-02-09T00:00:00"/>
    <s v="Ryan"/>
    <n v="9"/>
  </r>
  <r>
    <d v="2023-04-22T00:00:00"/>
    <x v="7"/>
    <x v="0"/>
    <x v="21"/>
    <x v="3"/>
    <x v="5"/>
    <n v="1"/>
    <n v="173.44"/>
    <s v="Store A"/>
    <x v="1"/>
    <n v="0"/>
    <x v="5"/>
    <n v="173.44"/>
    <n v="104.06399999999999"/>
    <n v="36.546000000000006"/>
    <n v="0.21071263837638379"/>
    <n v="173.44"/>
    <s v="Gift Card"/>
    <s v="FREESHIP"/>
    <x v="0"/>
    <n v="0"/>
    <x v="0"/>
    <x v="1065"/>
    <s v="Cust 4022"/>
    <n v="32.83"/>
    <d v="2023-04-22T00:00:00"/>
    <d v="2023-04-24T00:00:00"/>
    <s v="Cameron"/>
    <n v="2"/>
  </r>
  <r>
    <d v="2025-02-04T00:00:00"/>
    <x v="0"/>
    <x v="2"/>
    <x v="3"/>
    <x v="0"/>
    <x v="1"/>
    <n v="9"/>
    <n v="256.14"/>
    <s v="Store A"/>
    <x v="1"/>
    <n v="0.15"/>
    <x v="2"/>
    <n v="1959.4709999999998"/>
    <n v="1383.1559999999999"/>
    <n v="571.10499999999979"/>
    <n v="0.2914587661669909"/>
    <n v="1959.471"/>
    <s v="Credit Card"/>
    <s v="SAVE10"/>
    <x v="0"/>
    <n v="1"/>
    <x v="1"/>
    <x v="1066"/>
    <s v="Cust 8676"/>
    <n v="5.21"/>
    <d v="2025-02-04T00:00:00"/>
    <d v="2025-02-07T00:00:00"/>
    <s v="Eric"/>
    <n v="3"/>
  </r>
  <r>
    <d v="2024-08-25T00:00:00"/>
    <x v="10"/>
    <x v="1"/>
    <x v="29"/>
    <x v="3"/>
    <x v="0"/>
    <n v="12"/>
    <n v="461.3"/>
    <s v="Store D"/>
    <x v="0"/>
    <n v="0.15"/>
    <x v="4"/>
    <n v="4705.26"/>
    <n v="3321.3599999999997"/>
    <n v="1375.3000000000006"/>
    <n v="0.29228990533998134"/>
    <n v="4705.26"/>
    <s v="Gift Card"/>
    <s v="FREESHIP"/>
    <x v="0"/>
    <n v="0"/>
    <x v="0"/>
    <x v="1067"/>
    <s v="Cust 7492"/>
    <n v="8.6"/>
    <d v="2024-08-25T00:00:00"/>
    <d v="2024-09-03T00:00:00"/>
    <s v="Cameron"/>
    <n v="9"/>
  </r>
  <r>
    <d v="2023-08-30T00:00:00"/>
    <x v="10"/>
    <x v="0"/>
    <x v="18"/>
    <x v="0"/>
    <x v="1"/>
    <n v="1"/>
    <n v="193.08"/>
    <s v="Store A"/>
    <x v="0"/>
    <n v="0.05"/>
    <x v="2"/>
    <n v="183.42600000000002"/>
    <n v="115.848"/>
    <n v="43.588000000000022"/>
    <n v="0.2376326147874348"/>
    <n v="183.42599999999999"/>
    <s v="Online"/>
    <s v="SAVE10"/>
    <x v="0"/>
    <n v="0"/>
    <x v="0"/>
    <x v="1068"/>
    <s v="Cust 3150"/>
    <n v="23.99"/>
    <d v="2023-08-30T00:00:00"/>
    <d v="2023-09-05T00:00:00"/>
    <s v="Eric"/>
    <n v="6"/>
  </r>
  <r>
    <d v="2023-09-06T00:00:00"/>
    <x v="11"/>
    <x v="0"/>
    <x v="22"/>
    <x v="4"/>
    <x v="3"/>
    <n v="3"/>
    <n v="312.97000000000003"/>
    <s v="Store C"/>
    <x v="1"/>
    <n v="0.05"/>
    <x v="0"/>
    <n v="891.96450000000004"/>
    <n v="563.346"/>
    <n v="308.55850000000004"/>
    <n v="0.34593136834481641"/>
    <n v="891.96450000000004"/>
    <s v="Credit Card"/>
    <m/>
    <x v="1"/>
    <n v="1"/>
    <x v="1"/>
    <x v="1069"/>
    <s v="Cust 7872"/>
    <n v="20.059999999999999"/>
    <d v="2023-09-06T00:00:00"/>
    <d v="2023-09-12T00:00:00"/>
    <s v="Wendy"/>
    <n v="6"/>
  </r>
  <r>
    <d v="2025-05-13T00:00:00"/>
    <x v="2"/>
    <x v="2"/>
    <x v="13"/>
    <x v="1"/>
    <x v="0"/>
    <n v="6"/>
    <n v="214.14"/>
    <s v="Store D"/>
    <x v="0"/>
    <n v="0.05"/>
    <x v="4"/>
    <n v="1220.598"/>
    <n v="770.90399999999988"/>
    <n v="404.83400000000006"/>
    <n v="0.3316685755670582"/>
    <n v="1220.598"/>
    <s v="Cash"/>
    <s v="FREESHIP"/>
    <x v="0"/>
    <n v="0"/>
    <x v="0"/>
    <x v="1070"/>
    <s v="Cust 8762"/>
    <n v="44.86"/>
    <d v="2025-05-13T00:00:00"/>
    <d v="2025-05-21T00:00:00"/>
    <s v="Sophie"/>
    <n v="8"/>
  </r>
  <r>
    <d v="2023-10-29T00:00:00"/>
    <x v="5"/>
    <x v="0"/>
    <x v="19"/>
    <x v="2"/>
    <x v="1"/>
    <n v="4"/>
    <n v="59.8"/>
    <s v="Store D"/>
    <x v="1"/>
    <n v="0.1"/>
    <x v="2"/>
    <n v="215.28"/>
    <n v="143.51999999999998"/>
    <n v="29.170000000000016"/>
    <n v="0.13549795615013013"/>
    <n v="215.28"/>
    <s v="Online"/>
    <s v="FREESHIP"/>
    <x v="0"/>
    <n v="0"/>
    <x v="0"/>
    <x v="1071"/>
    <s v="Cust 4004"/>
    <n v="42.59"/>
    <d v="2023-10-29T00:00:00"/>
    <d v="2023-11-06T00:00:00"/>
    <s v="Ryan"/>
    <n v="8"/>
  </r>
  <r>
    <d v="2024-06-12T00:00:00"/>
    <x v="3"/>
    <x v="1"/>
    <x v="23"/>
    <x v="0"/>
    <x v="0"/>
    <n v="9"/>
    <n v="418"/>
    <s v="Store C"/>
    <x v="0"/>
    <n v="0"/>
    <x v="5"/>
    <n v="3762"/>
    <n v="2257.1999999999998"/>
    <n v="1474.3500000000001"/>
    <n v="0.39190590111642748"/>
    <n v="3762"/>
    <s v="Credit Card"/>
    <s v="WINTER15"/>
    <x v="0"/>
    <n v="0"/>
    <x v="0"/>
    <x v="1072"/>
    <s v="Cust 2781"/>
    <n v="30.45"/>
    <d v="2024-06-12T00:00:00"/>
    <d v="2024-06-18T00:00:00"/>
    <s v="Eric"/>
    <n v="6"/>
  </r>
  <r>
    <d v="2023-02-02T00:00:00"/>
    <x v="0"/>
    <x v="0"/>
    <x v="0"/>
    <x v="1"/>
    <x v="3"/>
    <n v="1"/>
    <n v="80.959999999999994"/>
    <s v="Store A"/>
    <x v="0"/>
    <n v="0"/>
    <x v="5"/>
    <n v="80.959999999999994"/>
    <n v="48.575999999999993"/>
    <n v="-15.686"/>
    <n v="-0.19375000000000001"/>
    <n v="80.959999999999994"/>
    <s v="Credit Card"/>
    <s v="FREESHIP"/>
    <x v="0"/>
    <n v="0"/>
    <x v="0"/>
    <x v="1073"/>
    <s v="Cust 9982"/>
    <n v="48.07"/>
    <d v="2023-02-02T00:00:00"/>
    <d v="2023-02-05T00:00:00"/>
    <s v="Sophie"/>
    <n v="3"/>
  </r>
  <r>
    <d v="2023-05-04T00:00:00"/>
    <x v="2"/>
    <x v="0"/>
    <x v="2"/>
    <x v="0"/>
    <x v="1"/>
    <n v="20"/>
    <n v="42.12"/>
    <s v="Store B"/>
    <x v="0"/>
    <n v="0.15"/>
    <x v="1"/>
    <n v="716.04"/>
    <n v="505.43999999999994"/>
    <n v="167.38000000000002"/>
    <n v="0.23375789062063576"/>
    <n v="716.04"/>
    <s v="Credit Card"/>
    <m/>
    <x v="1"/>
    <n v="0"/>
    <x v="0"/>
    <x v="1074"/>
    <s v="Cust 9561"/>
    <n v="43.22"/>
    <d v="2023-05-04T00:00:00"/>
    <d v="2023-05-12T00:00:00"/>
    <s v="Eric"/>
    <n v="8"/>
  </r>
  <r>
    <d v="2023-05-24T00:00:00"/>
    <x v="2"/>
    <x v="0"/>
    <x v="2"/>
    <x v="4"/>
    <x v="4"/>
    <n v="3"/>
    <n v="366.65"/>
    <s v="Store D"/>
    <x v="0"/>
    <n v="0"/>
    <x v="3"/>
    <n v="1099.9499999999998"/>
    <n v="659.96999999999991"/>
    <n v="406.37999999999988"/>
    <n v="0.36945315696168002"/>
    <n v="1099.95"/>
    <s v="Credit Card"/>
    <s v="SAVE10"/>
    <x v="0"/>
    <n v="0"/>
    <x v="0"/>
    <x v="1075"/>
    <s v="Cust 3496"/>
    <n v="33.6"/>
    <d v="2023-05-24T00:00:00"/>
    <d v="2023-05-31T00:00:00"/>
    <s v="Wendy"/>
    <n v="7"/>
  </r>
  <r>
    <d v="2023-02-03T00:00:00"/>
    <x v="0"/>
    <x v="0"/>
    <x v="0"/>
    <x v="4"/>
    <x v="4"/>
    <n v="19"/>
    <n v="534.91999999999996"/>
    <s v="Store D"/>
    <x v="1"/>
    <n v="0"/>
    <x v="4"/>
    <n v="10163.48"/>
    <n v="6098.0879999999988"/>
    <n v="4038.4220000000009"/>
    <n v="0.39734638135756661"/>
    <n v="10163.48"/>
    <s v="Online"/>
    <m/>
    <x v="1"/>
    <n v="0"/>
    <x v="0"/>
    <x v="1076"/>
    <s v="Cust 4085"/>
    <n v="26.97"/>
    <d v="2023-02-03T00:00:00"/>
    <d v="2023-02-13T00:00:00"/>
    <s v="Wendy"/>
    <n v="10"/>
  </r>
  <r>
    <d v="2023-12-25T00:00:00"/>
    <x v="1"/>
    <x v="0"/>
    <x v="27"/>
    <x v="0"/>
    <x v="3"/>
    <n v="1"/>
    <n v="494.52"/>
    <s v="Store D"/>
    <x v="1"/>
    <n v="0"/>
    <x v="5"/>
    <n v="494.52"/>
    <n v="296.71199999999999"/>
    <n v="154.78799999999998"/>
    <n v="0.31300655180781362"/>
    <n v="494.52"/>
    <s v="Credit Card"/>
    <m/>
    <x v="1"/>
    <n v="0"/>
    <x v="0"/>
    <x v="1077"/>
    <s v="Cust 1921"/>
    <n v="43.02"/>
    <d v="2023-12-25T00:00:00"/>
    <d v="2024-01-02T00:00:00"/>
    <s v="Eric"/>
    <n v="8"/>
  </r>
  <r>
    <d v="2023-07-26T00:00:00"/>
    <x v="8"/>
    <x v="0"/>
    <x v="11"/>
    <x v="0"/>
    <x v="4"/>
    <n v="6"/>
    <n v="344.67"/>
    <s v="Store D"/>
    <x v="0"/>
    <n v="0.1"/>
    <x v="4"/>
    <n v="1861.2180000000001"/>
    <n v="1240.8119999999999"/>
    <n v="589.27600000000018"/>
    <n v="0.31660772676817017"/>
    <n v="1861.2180000000001"/>
    <s v="Online"/>
    <s v="SAVE10"/>
    <x v="0"/>
    <n v="1"/>
    <x v="1"/>
    <x v="1078"/>
    <s v="Cust 9053"/>
    <n v="31.13"/>
    <d v="2023-07-26T00:00:00"/>
    <d v="2023-08-01T00:00:00"/>
    <s v="Eric"/>
    <n v="6"/>
  </r>
  <r>
    <d v="2024-06-06T00:00:00"/>
    <x v="3"/>
    <x v="1"/>
    <x v="23"/>
    <x v="3"/>
    <x v="4"/>
    <n v="12"/>
    <n v="489.14"/>
    <s v="Store D"/>
    <x v="1"/>
    <n v="0.15"/>
    <x v="5"/>
    <n v="4989.2280000000001"/>
    <n v="3521.808"/>
    <n v="1438.1100000000001"/>
    <n v="0.28824299069916232"/>
    <n v="4989.2280000000001"/>
    <s v="Online"/>
    <s v="SAVE10"/>
    <x v="0"/>
    <n v="0"/>
    <x v="0"/>
    <x v="1079"/>
    <s v="Cust 9345"/>
    <n v="29.31"/>
    <d v="2024-06-06T00:00:00"/>
    <d v="2024-06-15T00:00:00"/>
    <s v="Cameron"/>
    <n v="9"/>
  </r>
  <r>
    <d v="2024-10-13T00:00:00"/>
    <x v="5"/>
    <x v="1"/>
    <x v="7"/>
    <x v="1"/>
    <x v="6"/>
    <n v="18"/>
    <n v="256.23"/>
    <s v="Store B"/>
    <x v="0"/>
    <n v="0.05"/>
    <x v="0"/>
    <n v="4381.5330000000004"/>
    <n v="2767.2840000000001"/>
    <n v="1603.0390000000002"/>
    <n v="0.36586258736382909"/>
    <n v="4381.5330000000004"/>
    <s v="Debit Card"/>
    <m/>
    <x v="1"/>
    <n v="0"/>
    <x v="0"/>
    <x v="1080"/>
    <s v="Cust 3559"/>
    <n v="11.21"/>
    <d v="2024-10-13T00:00:00"/>
    <d v="2024-10-18T00:00:00"/>
    <s v="Sophie"/>
    <n v="5"/>
  </r>
  <r>
    <d v="2024-11-03T00:00:00"/>
    <x v="9"/>
    <x v="1"/>
    <x v="20"/>
    <x v="2"/>
    <x v="6"/>
    <n v="17"/>
    <n v="99.76"/>
    <s v="Store C"/>
    <x v="0"/>
    <n v="0"/>
    <x v="4"/>
    <n v="1695.92"/>
    <n v="1017.552"/>
    <n v="656.47800000000007"/>
    <n v="0.3870925515354498"/>
    <n v="1695.92"/>
    <s v="Online"/>
    <s v="FREESHIP"/>
    <x v="0"/>
    <n v="1"/>
    <x v="1"/>
    <x v="1081"/>
    <s v="Cust 1762"/>
    <n v="21.89"/>
    <d v="2024-11-03T00:00:00"/>
    <d v="2024-11-13T00:00:00"/>
    <s v="Ryan"/>
    <n v="10"/>
  </r>
  <r>
    <d v="2024-02-03T00:00:00"/>
    <x v="0"/>
    <x v="1"/>
    <x v="5"/>
    <x v="2"/>
    <x v="6"/>
    <n v="14"/>
    <n v="575.66"/>
    <s v="Store C"/>
    <x v="0"/>
    <n v="0.1"/>
    <x v="2"/>
    <n v="7253.3159999999998"/>
    <n v="4835.5439999999999"/>
    <n v="2385.2419999999997"/>
    <n v="0.32884848805704864"/>
    <n v="7253.3159999999998"/>
    <s v="Credit Card"/>
    <m/>
    <x v="1"/>
    <n v="0"/>
    <x v="0"/>
    <x v="1082"/>
    <s v="Cust 7060"/>
    <n v="32.53"/>
    <d v="2024-02-03T00:00:00"/>
    <d v="2024-02-11T00:00:00"/>
    <s v="Ryan"/>
    <n v="8"/>
  </r>
  <r>
    <d v="2023-01-10T00:00:00"/>
    <x v="4"/>
    <x v="0"/>
    <x v="6"/>
    <x v="0"/>
    <x v="3"/>
    <n v="6"/>
    <n v="176.52"/>
    <s v="Store D"/>
    <x v="0"/>
    <n v="0.15"/>
    <x v="1"/>
    <n v="900.25200000000007"/>
    <n v="635.47199999999998"/>
    <n v="247.8000000000001"/>
    <n v="0.27525626158009098"/>
    <n v="900.25200000000007"/>
    <s v="Online"/>
    <s v="FREESHIP"/>
    <x v="0"/>
    <n v="0"/>
    <x v="0"/>
    <x v="1083"/>
    <s v="Cust 8796"/>
    <n v="16.98"/>
    <d v="2023-01-10T00:00:00"/>
    <d v="2023-01-13T00:00:00"/>
    <s v="Eric"/>
    <n v="3"/>
  </r>
  <r>
    <d v="2023-10-16T00:00:00"/>
    <x v="5"/>
    <x v="0"/>
    <x v="19"/>
    <x v="0"/>
    <x v="5"/>
    <n v="6"/>
    <n v="485.66"/>
    <s v="Store D"/>
    <x v="0"/>
    <n v="0.05"/>
    <x v="0"/>
    <n v="2768.2619999999997"/>
    <n v="1748.3760000000002"/>
    <n v="989.26599999999951"/>
    <n v="0.35735996087075561"/>
    <n v="2768.2620000000002"/>
    <s v="Gift Card"/>
    <s v="FREESHIP"/>
    <x v="0"/>
    <n v="0"/>
    <x v="0"/>
    <x v="1084"/>
    <s v="Cust 6055"/>
    <n v="30.62"/>
    <d v="2023-10-16T00:00:00"/>
    <d v="2023-10-22T00:00:00"/>
    <s v="Eric"/>
    <n v="6"/>
  </r>
  <r>
    <d v="2025-03-19T00:00:00"/>
    <x v="6"/>
    <x v="2"/>
    <x v="8"/>
    <x v="3"/>
    <x v="0"/>
    <n v="8"/>
    <n v="141.61000000000001"/>
    <s v="Store B"/>
    <x v="1"/>
    <n v="0.1"/>
    <x v="5"/>
    <n v="1019.5920000000001"/>
    <n v="679.72800000000007"/>
    <n v="325.84400000000005"/>
    <n v="0.31958273505480628"/>
    <n v="1019.592"/>
    <s v="Gift Card"/>
    <s v="WINTER15"/>
    <x v="0"/>
    <n v="0"/>
    <x v="0"/>
    <x v="1085"/>
    <s v="Cust 5779"/>
    <n v="14.02"/>
    <d v="2025-03-19T00:00:00"/>
    <d v="2025-03-24T00:00:00"/>
    <s v="Cameron"/>
    <n v="5"/>
  </r>
  <r>
    <d v="2024-12-16T00:00:00"/>
    <x v="1"/>
    <x v="1"/>
    <x v="1"/>
    <x v="4"/>
    <x v="2"/>
    <n v="9"/>
    <n v="215.29"/>
    <s v="Store C"/>
    <x v="0"/>
    <n v="0.1"/>
    <x v="1"/>
    <n v="1743.8489999999999"/>
    <n v="1162.5659999999998"/>
    <n v="575.4430000000001"/>
    <n v="0.32998441952256197"/>
    <n v="1743.8489999999999"/>
    <s v="Credit Card"/>
    <s v="WINTER15"/>
    <x v="0"/>
    <n v="0"/>
    <x v="0"/>
    <x v="1086"/>
    <s v="Cust 9330"/>
    <n v="5.84"/>
    <d v="2024-12-16T00:00:00"/>
    <d v="2024-12-19T00:00:00"/>
    <s v="Wendy"/>
    <n v="3"/>
  </r>
  <r>
    <d v="2023-08-16T00:00:00"/>
    <x v="10"/>
    <x v="0"/>
    <x v="18"/>
    <x v="4"/>
    <x v="0"/>
    <n v="18"/>
    <n v="497.22"/>
    <s v="Store B"/>
    <x v="0"/>
    <n v="0.05"/>
    <x v="4"/>
    <n v="8502.4620000000014"/>
    <n v="5369.9759999999997"/>
    <n v="3115.0960000000018"/>
    <n v="0.3663757626908537"/>
    <n v="8502.4620000000014"/>
    <s v="Credit Card"/>
    <s v="WINTER15"/>
    <x v="0"/>
    <n v="0"/>
    <x v="0"/>
    <x v="1087"/>
    <s v="Cust 5374"/>
    <n v="17.39"/>
    <d v="2023-08-16T00:00:00"/>
    <d v="2023-08-20T00:00:00"/>
    <s v="Wendy"/>
    <n v="4"/>
  </r>
  <r>
    <d v="2023-01-10T00:00:00"/>
    <x v="4"/>
    <x v="0"/>
    <x v="6"/>
    <x v="0"/>
    <x v="2"/>
    <n v="13"/>
    <n v="347.73"/>
    <s v="Store B"/>
    <x v="0"/>
    <n v="0.05"/>
    <x v="4"/>
    <n v="4294.4654999999993"/>
    <n v="2712.2939999999999"/>
    <n v="1550.3614999999995"/>
    <n v="0.36101384444699808"/>
    <n v="4294.4654999999993"/>
    <s v="Gift Card"/>
    <s v="FREESHIP"/>
    <x v="0"/>
    <n v="1"/>
    <x v="1"/>
    <x v="1088"/>
    <s v="Cust 3321"/>
    <n v="31.81"/>
    <d v="2023-01-10T00:00:00"/>
    <d v="2023-01-20T00:00:00"/>
    <s v="Eric"/>
    <n v="10"/>
  </r>
  <r>
    <d v="2025-05-09T00:00:00"/>
    <x v="2"/>
    <x v="2"/>
    <x v="13"/>
    <x v="3"/>
    <x v="3"/>
    <n v="3"/>
    <n v="371.21"/>
    <s v="Store C"/>
    <x v="0"/>
    <n v="0.1"/>
    <x v="0"/>
    <n v="1002.2669999999999"/>
    <n v="668.17799999999988"/>
    <n v="314.06900000000007"/>
    <n v="0.31335861601748843"/>
    <n v="1002.2670000000001"/>
    <s v="Gift Card"/>
    <s v="SAVE10"/>
    <x v="0"/>
    <n v="0"/>
    <x v="0"/>
    <x v="1089"/>
    <s v="Cust 6554"/>
    <n v="20.02"/>
    <d v="2025-05-09T00:00:00"/>
    <d v="2025-05-18T00:00:00"/>
    <s v="Cameron"/>
    <n v="9"/>
  </r>
  <r>
    <d v="2024-04-08T00:00:00"/>
    <x v="7"/>
    <x v="1"/>
    <x v="9"/>
    <x v="0"/>
    <x v="6"/>
    <n v="12"/>
    <n v="434.33"/>
    <s v="Store A"/>
    <x v="0"/>
    <n v="0.15"/>
    <x v="5"/>
    <n v="4430.1660000000002"/>
    <n v="3127.1759999999995"/>
    <n v="1287.6600000000008"/>
    <n v="0.2906572801109486"/>
    <n v="4430.1660000000002"/>
    <s v="Cash"/>
    <s v="FREESHIP"/>
    <x v="0"/>
    <n v="0"/>
    <x v="0"/>
    <x v="1090"/>
    <s v="Cust 6855"/>
    <n v="15.33"/>
    <d v="2024-04-08T00:00:00"/>
    <d v="2024-04-16T00:00:00"/>
    <s v="Eric"/>
    <n v="8"/>
  </r>
  <r>
    <d v="2025-05-06T00:00:00"/>
    <x v="2"/>
    <x v="2"/>
    <x v="13"/>
    <x v="0"/>
    <x v="4"/>
    <n v="16"/>
    <n v="426.65"/>
    <s v="Store A"/>
    <x v="1"/>
    <n v="0.1"/>
    <x v="4"/>
    <n v="6143.76"/>
    <n v="4095.8399999999997"/>
    <n v="2037.7200000000005"/>
    <n v="0.33167311223094659"/>
    <n v="6143.76"/>
    <s v="Gift Card"/>
    <m/>
    <x v="1"/>
    <n v="0"/>
    <x v="0"/>
    <x v="1091"/>
    <s v="Cust 9955"/>
    <n v="10.199999999999999"/>
    <d v="2025-05-06T00:00:00"/>
    <d v="2025-05-15T00:00:00"/>
    <s v="Eric"/>
    <n v="9"/>
  </r>
  <r>
    <d v="2023-05-21T00:00:00"/>
    <x v="2"/>
    <x v="0"/>
    <x v="2"/>
    <x v="4"/>
    <x v="2"/>
    <n v="6"/>
    <n v="294.97000000000003"/>
    <s v="Store A"/>
    <x v="0"/>
    <n v="0.05"/>
    <x v="5"/>
    <n v="1681.3290000000002"/>
    <n v="1061.8920000000001"/>
    <n v="571.35700000000008"/>
    <n v="0.33982462682794384"/>
    <n v="1681.329"/>
    <s v="Credit Card"/>
    <s v="WINTER15"/>
    <x v="0"/>
    <n v="0"/>
    <x v="0"/>
    <x v="1092"/>
    <s v="Cust 3320"/>
    <n v="48.08"/>
    <d v="2023-05-21T00:00:00"/>
    <d v="2023-05-29T00:00:00"/>
    <s v="Wendy"/>
    <n v="8"/>
  </r>
  <r>
    <d v="2023-11-23T00:00:00"/>
    <x v="9"/>
    <x v="0"/>
    <x v="15"/>
    <x v="3"/>
    <x v="1"/>
    <n v="12"/>
    <n v="130.9"/>
    <s v="Store D"/>
    <x v="1"/>
    <n v="0.15"/>
    <x v="1"/>
    <n v="1335.18"/>
    <n v="942.48"/>
    <n v="358.01000000000005"/>
    <n v="0.2681361314579308"/>
    <n v="1335.18"/>
    <s v="Debit Card"/>
    <s v="SAVE10"/>
    <x v="0"/>
    <n v="0"/>
    <x v="0"/>
    <x v="1093"/>
    <s v="Cust 8177"/>
    <n v="34.69"/>
    <d v="2023-11-23T00:00:00"/>
    <d v="2023-11-30T00:00:00"/>
    <s v="Cameron"/>
    <n v="7"/>
  </r>
  <r>
    <d v="2024-03-26T00:00:00"/>
    <x v="6"/>
    <x v="1"/>
    <x v="25"/>
    <x v="2"/>
    <x v="4"/>
    <n v="18"/>
    <n v="539.98"/>
    <s v="Store C"/>
    <x v="1"/>
    <n v="0.15"/>
    <x v="0"/>
    <n v="8261.6939999999995"/>
    <n v="5831.7839999999997"/>
    <n v="2395.4699999999998"/>
    <n v="0.28994901045717741"/>
    <n v="8261.6939999999995"/>
    <s v="Cash"/>
    <s v="FREESHIP"/>
    <x v="0"/>
    <n v="1"/>
    <x v="1"/>
    <x v="1094"/>
    <s v="Cust 1743"/>
    <n v="34.44"/>
    <d v="2024-03-26T00:00:00"/>
    <d v="2024-04-05T00:00:00"/>
    <s v="Ryan"/>
    <n v="10"/>
  </r>
  <r>
    <d v="2024-09-25T00:00:00"/>
    <x v="11"/>
    <x v="1"/>
    <x v="26"/>
    <x v="1"/>
    <x v="2"/>
    <n v="12"/>
    <n v="149.37"/>
    <s v="Store D"/>
    <x v="1"/>
    <n v="0.1"/>
    <x v="5"/>
    <n v="1613.1960000000001"/>
    <n v="1075.4639999999999"/>
    <n v="517.52200000000016"/>
    <n v="0.32080540740244839"/>
    <n v="1613.1959999999999"/>
    <s v="Credit Card"/>
    <m/>
    <x v="1"/>
    <n v="0"/>
    <x v="0"/>
    <x v="1095"/>
    <s v="Cust 3719"/>
    <n v="20.21"/>
    <d v="2024-09-25T00:00:00"/>
    <d v="2024-10-02T00:00:00"/>
    <s v="Sophie"/>
    <n v="7"/>
  </r>
  <r>
    <d v="2023-04-06T00:00:00"/>
    <x v="7"/>
    <x v="0"/>
    <x v="21"/>
    <x v="0"/>
    <x v="3"/>
    <n v="5"/>
    <n v="411.24"/>
    <s v="Store A"/>
    <x v="0"/>
    <n v="0.15"/>
    <x v="5"/>
    <n v="1747.7699999999998"/>
    <n v="1233.72"/>
    <n v="508.6999999999997"/>
    <n v="0.29105660355767621"/>
    <n v="1747.77"/>
    <s v="Cash"/>
    <s v="WINTER15"/>
    <x v="0"/>
    <n v="1"/>
    <x v="1"/>
    <x v="1096"/>
    <s v="Cust 9323"/>
    <n v="5.35"/>
    <d v="2023-04-06T00:00:00"/>
    <d v="2023-04-10T00:00:00"/>
    <s v="Eric"/>
    <n v="4"/>
  </r>
  <r>
    <d v="2024-06-24T00:00:00"/>
    <x v="3"/>
    <x v="1"/>
    <x v="23"/>
    <x v="2"/>
    <x v="3"/>
    <n v="16"/>
    <n v="462.86"/>
    <s v="Store D"/>
    <x v="1"/>
    <n v="0.05"/>
    <x v="5"/>
    <n v="7035.4719999999998"/>
    <n v="4443.4560000000001"/>
    <n v="2574.5859999999998"/>
    <n v="0.36594360691080852"/>
    <n v="7035.4719999999998"/>
    <s v="Cash"/>
    <m/>
    <x v="1"/>
    <n v="1"/>
    <x v="1"/>
    <x v="1097"/>
    <s v="Cust 1914"/>
    <n v="17.43"/>
    <d v="2024-06-24T00:00:00"/>
    <d v="2024-06-26T00:00:00"/>
    <s v="Ryan"/>
    <n v="2"/>
  </r>
  <r>
    <d v="2024-12-15T00:00:00"/>
    <x v="1"/>
    <x v="1"/>
    <x v="1"/>
    <x v="1"/>
    <x v="0"/>
    <n v="17"/>
    <n v="506.38"/>
    <s v="Store B"/>
    <x v="0"/>
    <n v="0"/>
    <x v="3"/>
    <n v="8608.4599999999991"/>
    <n v="5165.0759999999991"/>
    <n v="3410.0239999999999"/>
    <n v="0.39612474240456486"/>
    <n v="8608.4599999999991"/>
    <s v="Cash"/>
    <s v="WINTER15"/>
    <x v="0"/>
    <n v="1"/>
    <x v="1"/>
    <x v="1098"/>
    <s v="Cust 5928"/>
    <n v="33.36"/>
    <d v="2024-12-15T00:00:00"/>
    <d v="2024-12-23T00:00:00"/>
    <s v="Sophie"/>
    <n v="8"/>
  </r>
  <r>
    <d v="2024-10-03T00:00:00"/>
    <x v="5"/>
    <x v="1"/>
    <x v="7"/>
    <x v="2"/>
    <x v="2"/>
    <n v="19"/>
    <n v="25.61"/>
    <s v="Store B"/>
    <x v="1"/>
    <n v="0"/>
    <x v="5"/>
    <n v="486.59"/>
    <n v="291.95400000000001"/>
    <n v="164.31599999999997"/>
    <n v="0.33768881399124517"/>
    <n v="486.59"/>
    <s v="Gift Card"/>
    <m/>
    <x v="1"/>
    <n v="0"/>
    <x v="0"/>
    <x v="1099"/>
    <s v="Cust 1904"/>
    <n v="30.32"/>
    <d v="2024-10-03T00:00:00"/>
    <d v="2024-10-11T00:00:00"/>
    <s v="Ryan"/>
    <n v="8"/>
  </r>
  <r>
    <d v="2023-09-03T00:00:00"/>
    <x v="11"/>
    <x v="0"/>
    <x v="22"/>
    <x v="1"/>
    <x v="2"/>
    <n v="4"/>
    <n v="467.45"/>
    <s v="Store C"/>
    <x v="0"/>
    <n v="0.05"/>
    <x v="2"/>
    <n v="1776.31"/>
    <n v="1121.8799999999999"/>
    <n v="629.38000000000011"/>
    <n v="0.35431878444640863"/>
    <n v="1776.31"/>
    <s v="Gift Card"/>
    <s v="WINTER15"/>
    <x v="0"/>
    <n v="0"/>
    <x v="0"/>
    <x v="1100"/>
    <s v="Cust 8062"/>
    <n v="25.05"/>
    <d v="2023-09-03T00:00:00"/>
    <d v="2023-09-13T00:00:00"/>
    <s v="Sophie"/>
    <n v="10"/>
  </r>
  <r>
    <d v="2023-01-29T00:00:00"/>
    <x v="4"/>
    <x v="0"/>
    <x v="6"/>
    <x v="2"/>
    <x v="6"/>
    <n v="10"/>
    <n v="140.5"/>
    <s v="Store B"/>
    <x v="1"/>
    <n v="0.15"/>
    <x v="3"/>
    <n v="1194.25"/>
    <n v="843"/>
    <n v="307.44"/>
    <n v="0.25743353569185679"/>
    <n v="1194.25"/>
    <s v="Online"/>
    <s v="FREESHIP"/>
    <x v="0"/>
    <n v="0"/>
    <x v="0"/>
    <x v="1101"/>
    <s v="Cust 8150"/>
    <n v="43.81"/>
    <d v="2023-01-29T00:00:00"/>
    <d v="2023-02-05T00:00:00"/>
    <s v="Ryan"/>
    <n v="7"/>
  </r>
  <r>
    <d v="2024-06-12T00:00:00"/>
    <x v="3"/>
    <x v="1"/>
    <x v="23"/>
    <x v="2"/>
    <x v="1"/>
    <n v="8"/>
    <n v="57.85"/>
    <s v="Store D"/>
    <x v="0"/>
    <n v="0"/>
    <x v="2"/>
    <n v="462.8"/>
    <n v="277.68"/>
    <n v="135.30000000000001"/>
    <n v="0.29235090751944687"/>
    <n v="462.8"/>
    <s v="Online"/>
    <s v="WINTER15"/>
    <x v="0"/>
    <n v="1"/>
    <x v="1"/>
    <x v="1102"/>
    <s v="Cust 3275"/>
    <n v="49.82"/>
    <d v="2024-06-12T00:00:00"/>
    <d v="2024-06-20T00:00:00"/>
    <s v="Ryan"/>
    <n v="8"/>
  </r>
  <r>
    <d v="2024-11-24T00:00:00"/>
    <x v="9"/>
    <x v="1"/>
    <x v="20"/>
    <x v="2"/>
    <x v="4"/>
    <n v="9"/>
    <n v="539.64"/>
    <s v="Store A"/>
    <x v="1"/>
    <n v="0.15"/>
    <x v="1"/>
    <n v="4128.2460000000001"/>
    <n v="2914.056"/>
    <n v="1198.1100000000001"/>
    <n v="0.29022253034339524"/>
    <n v="4128.2460000000001"/>
    <s v="Gift Card"/>
    <m/>
    <x v="1"/>
    <n v="0"/>
    <x v="0"/>
    <x v="1103"/>
    <s v="Cust 3854"/>
    <n v="16.079999999999998"/>
    <d v="2024-11-24T00:00:00"/>
    <d v="2024-12-03T00:00:00"/>
    <s v="Ryan"/>
    <n v="9"/>
  </r>
  <r>
    <d v="2023-08-15T00:00:00"/>
    <x v="10"/>
    <x v="0"/>
    <x v="18"/>
    <x v="4"/>
    <x v="4"/>
    <n v="18"/>
    <n v="476.32"/>
    <s v="Store A"/>
    <x v="0"/>
    <n v="0"/>
    <x v="4"/>
    <n v="8573.76"/>
    <n v="5144.2559999999994"/>
    <n v="3382.074000000001"/>
    <n v="0.39446800470272098"/>
    <n v="8573.76"/>
    <s v="Credit Card"/>
    <s v="SAVE10"/>
    <x v="0"/>
    <n v="1"/>
    <x v="1"/>
    <x v="1104"/>
    <s v="Cust 8398"/>
    <n v="47.43"/>
    <d v="2023-08-15T00:00:00"/>
    <d v="2023-08-20T00:00:00"/>
    <s v="Wendy"/>
    <n v="5"/>
  </r>
  <r>
    <d v="2024-08-21T00:00:00"/>
    <x v="10"/>
    <x v="1"/>
    <x v="29"/>
    <x v="3"/>
    <x v="5"/>
    <n v="11"/>
    <n v="143.85"/>
    <s v="Store A"/>
    <x v="0"/>
    <n v="0.1"/>
    <x v="0"/>
    <n v="1424.115"/>
    <n v="949.40999999999985"/>
    <n v="467.85500000000013"/>
    <n v="0.32852332852332861"/>
    <n v="1424.115"/>
    <s v="Debit Card"/>
    <s v="FREESHIP"/>
    <x v="0"/>
    <n v="0"/>
    <x v="0"/>
    <x v="1105"/>
    <s v="Cust 4026"/>
    <n v="6.85"/>
    <d v="2024-08-21T00:00:00"/>
    <d v="2024-08-30T00:00:00"/>
    <s v="Cameron"/>
    <n v="9"/>
  </r>
  <r>
    <d v="2023-05-24T00:00:00"/>
    <x v="2"/>
    <x v="0"/>
    <x v="2"/>
    <x v="4"/>
    <x v="4"/>
    <n v="4"/>
    <n v="323.63"/>
    <s v="Store C"/>
    <x v="1"/>
    <n v="0.1"/>
    <x v="3"/>
    <n v="1165.068"/>
    <n v="776.71199999999999"/>
    <n v="355.43599999999998"/>
    <n v="0.30507747187288636"/>
    <n v="1165.068"/>
    <s v="Credit Card"/>
    <s v="FREESHIP"/>
    <x v="0"/>
    <n v="0"/>
    <x v="0"/>
    <x v="1106"/>
    <s v="Cust 5794"/>
    <n v="32.92"/>
    <d v="2023-05-24T00:00:00"/>
    <d v="2023-06-01T00:00:00"/>
    <s v="Wendy"/>
    <n v="8"/>
  </r>
  <r>
    <d v="2023-04-27T00:00:00"/>
    <x v="7"/>
    <x v="0"/>
    <x v="21"/>
    <x v="4"/>
    <x v="4"/>
    <n v="16"/>
    <n v="37.4"/>
    <s v="Store A"/>
    <x v="0"/>
    <n v="0.05"/>
    <x v="5"/>
    <n v="568.4799999999999"/>
    <n v="359.03999999999996"/>
    <n v="159.88999999999993"/>
    <n v="0.2812587953841823"/>
    <n v="568.4799999999999"/>
    <s v="Credit Card"/>
    <s v="FREESHIP"/>
    <x v="0"/>
    <n v="0"/>
    <x v="0"/>
    <x v="1107"/>
    <s v="Cust 2917"/>
    <n v="49.55"/>
    <d v="2023-04-27T00:00:00"/>
    <d v="2023-05-01T00:00:00"/>
    <s v="Wendy"/>
    <n v="4"/>
  </r>
  <r>
    <d v="2023-05-21T00:00:00"/>
    <x v="2"/>
    <x v="0"/>
    <x v="2"/>
    <x v="0"/>
    <x v="5"/>
    <n v="1"/>
    <n v="418.98"/>
    <s v="Store B"/>
    <x v="1"/>
    <n v="0.1"/>
    <x v="3"/>
    <n v="377.08200000000005"/>
    <n v="251.38800000000001"/>
    <n v="81.974000000000046"/>
    <n v="0.2173903819328423"/>
    <n v="377.08200000000011"/>
    <s v="Gift Card"/>
    <s v="FREESHIP"/>
    <x v="0"/>
    <n v="0"/>
    <x v="0"/>
    <x v="1108"/>
    <s v="Cust 5659"/>
    <n v="43.72"/>
    <d v="2023-05-21T00:00:00"/>
    <d v="2023-05-26T00:00:00"/>
    <s v="Eric"/>
    <n v="5"/>
  </r>
  <r>
    <d v="2025-02-16T00:00:00"/>
    <x v="0"/>
    <x v="2"/>
    <x v="3"/>
    <x v="0"/>
    <x v="4"/>
    <n v="12"/>
    <n v="108.35"/>
    <s v="Store A"/>
    <x v="0"/>
    <n v="0"/>
    <x v="4"/>
    <n v="1300.1999999999998"/>
    <n v="780.11999999999989"/>
    <n v="478.01999999999992"/>
    <n v="0.36765113059529303"/>
    <n v="1300.2"/>
    <s v="Online"/>
    <s v="FREESHIP"/>
    <x v="0"/>
    <n v="0"/>
    <x v="0"/>
    <x v="1109"/>
    <s v="Cust 1857"/>
    <n v="42.06"/>
    <d v="2025-02-16T00:00:00"/>
    <d v="2025-02-25T00:00:00"/>
    <s v="Eric"/>
    <n v="9"/>
  </r>
  <r>
    <d v="2023-08-24T00:00:00"/>
    <x v="10"/>
    <x v="0"/>
    <x v="18"/>
    <x v="0"/>
    <x v="5"/>
    <n v="5"/>
    <n v="256.42"/>
    <s v="Store B"/>
    <x v="1"/>
    <n v="0"/>
    <x v="1"/>
    <n v="1282.1000000000001"/>
    <n v="769.26"/>
    <n v="484.10000000000014"/>
    <n v="0.37758365182123088"/>
    <n v="1282.0999999999999"/>
    <s v="Gift Card"/>
    <s v="FREESHIP"/>
    <x v="0"/>
    <n v="0"/>
    <x v="0"/>
    <x v="1110"/>
    <s v="Cust 6718"/>
    <n v="28.74"/>
    <d v="2023-08-24T00:00:00"/>
    <d v="2023-08-29T00:00:00"/>
    <s v="Eric"/>
    <n v="5"/>
  </r>
  <r>
    <d v="2024-03-14T00:00:00"/>
    <x v="6"/>
    <x v="1"/>
    <x v="25"/>
    <x v="0"/>
    <x v="2"/>
    <n v="16"/>
    <n v="544.91"/>
    <s v="Store B"/>
    <x v="1"/>
    <n v="0.1"/>
    <x v="2"/>
    <n v="7846.7039999999997"/>
    <n v="5231.1359999999995"/>
    <n v="2576.308"/>
    <n v="0.32832995866799614"/>
    <n v="7846.7039999999997"/>
    <s v="Credit Card"/>
    <s v="FREESHIP"/>
    <x v="0"/>
    <n v="0"/>
    <x v="0"/>
    <x v="1111"/>
    <s v="Cust 8378"/>
    <n v="39.26"/>
    <d v="2024-03-14T00:00:00"/>
    <d v="2024-03-21T00:00:00"/>
    <s v="Eric"/>
    <n v="7"/>
  </r>
  <r>
    <d v="2024-01-29T00:00:00"/>
    <x v="4"/>
    <x v="1"/>
    <x v="24"/>
    <x v="2"/>
    <x v="2"/>
    <n v="19"/>
    <n v="113.42"/>
    <s v="Store A"/>
    <x v="1"/>
    <n v="0"/>
    <x v="0"/>
    <n v="2154.98"/>
    <n v="1292.9879999999998"/>
    <n v="817.03200000000015"/>
    <n v="0.37913669732433719"/>
    <n v="2154.98"/>
    <s v="Debit Card"/>
    <s v="WINTER15"/>
    <x v="0"/>
    <n v="0"/>
    <x v="0"/>
    <x v="1112"/>
    <s v="Cust 3069"/>
    <n v="44.96"/>
    <d v="2024-01-29T00:00:00"/>
    <d v="2024-02-07T00:00:00"/>
    <s v="Ryan"/>
    <n v="9"/>
  </r>
  <r>
    <d v="2024-08-09T00:00:00"/>
    <x v="10"/>
    <x v="1"/>
    <x v="29"/>
    <x v="1"/>
    <x v="1"/>
    <n v="10"/>
    <n v="522.73"/>
    <s v="Store C"/>
    <x v="1"/>
    <n v="0.1"/>
    <x v="5"/>
    <n v="4704.5700000000006"/>
    <n v="3136.3799999999997"/>
    <n v="1548.130000000001"/>
    <n v="0.32906939422731529"/>
    <n v="4704.5700000000006"/>
    <s v="Credit Card"/>
    <m/>
    <x v="1"/>
    <n v="0"/>
    <x v="0"/>
    <x v="1113"/>
    <s v="Cust 7619"/>
    <n v="20.059999999999999"/>
    <d v="2024-08-09T00:00:00"/>
    <d v="2024-08-15T00:00:00"/>
    <s v="Sophie"/>
    <n v="6"/>
  </r>
  <r>
    <d v="2024-07-08T00:00:00"/>
    <x v="8"/>
    <x v="1"/>
    <x v="10"/>
    <x v="2"/>
    <x v="5"/>
    <n v="18"/>
    <n v="448.03"/>
    <s v="Store B"/>
    <x v="1"/>
    <n v="0.15"/>
    <x v="2"/>
    <n v="6854.8589999999995"/>
    <n v="4838.7240000000002"/>
    <n v="2002.9049999999993"/>
    <n v="0.29218762924226444"/>
    <n v="6854.8589999999986"/>
    <s v="Cash"/>
    <s v="WINTER15"/>
    <x v="0"/>
    <n v="1"/>
    <x v="1"/>
    <x v="1114"/>
    <s v="Cust 6167"/>
    <n v="13.23"/>
    <d v="2024-07-08T00:00:00"/>
    <d v="2024-07-17T00:00:00"/>
    <s v="Ryan"/>
    <n v="9"/>
  </r>
  <r>
    <d v="2024-08-20T00:00:00"/>
    <x v="10"/>
    <x v="1"/>
    <x v="29"/>
    <x v="2"/>
    <x v="4"/>
    <n v="15"/>
    <n v="208.51"/>
    <s v="Store A"/>
    <x v="1"/>
    <n v="0.05"/>
    <x v="3"/>
    <n v="2971.2674999999995"/>
    <n v="1876.59"/>
    <n v="1056.8674999999996"/>
    <n v="0.35569584360883016"/>
    <n v="2971.267499999999"/>
    <s v="Gift Card"/>
    <m/>
    <x v="1"/>
    <n v="0"/>
    <x v="0"/>
    <x v="1115"/>
    <s v="Cust 2453"/>
    <n v="37.81"/>
    <d v="2024-08-20T00:00:00"/>
    <d v="2024-08-29T00:00:00"/>
    <s v="Ryan"/>
    <n v="9"/>
  </r>
  <r>
    <d v="2023-06-26T00:00:00"/>
    <x v="3"/>
    <x v="0"/>
    <x v="4"/>
    <x v="3"/>
    <x v="0"/>
    <n v="13"/>
    <n v="423.64"/>
    <s v="Store C"/>
    <x v="1"/>
    <n v="0.1"/>
    <x v="1"/>
    <n v="4956.5879999999997"/>
    <n v="3304.3919999999998"/>
    <n v="1628.886"/>
    <n v="0.32863050146592776"/>
    <n v="4956.5879999999997"/>
    <s v="Debit Card"/>
    <m/>
    <x v="1"/>
    <n v="1"/>
    <x v="1"/>
    <x v="1116"/>
    <s v="Cust 8896"/>
    <n v="23.31"/>
    <d v="2023-06-26T00:00:00"/>
    <d v="2023-06-28T00:00:00"/>
    <s v="Cameron"/>
    <n v="2"/>
  </r>
  <r>
    <d v="2023-12-23T00:00:00"/>
    <x v="1"/>
    <x v="0"/>
    <x v="27"/>
    <x v="0"/>
    <x v="3"/>
    <n v="5"/>
    <n v="552.26"/>
    <s v="Store D"/>
    <x v="0"/>
    <n v="0.15"/>
    <x v="1"/>
    <n v="2347.105"/>
    <n v="1656.78"/>
    <n v="663.82500000000005"/>
    <n v="0.28282714237326412"/>
    <n v="2347.105"/>
    <s v="Debit Card"/>
    <s v="WINTER15"/>
    <x v="0"/>
    <n v="0"/>
    <x v="0"/>
    <x v="1117"/>
    <s v="Cust 8800"/>
    <n v="26.5"/>
    <d v="2023-12-23T00:00:00"/>
    <d v="2023-12-25T00:00:00"/>
    <s v="Eric"/>
    <n v="2"/>
  </r>
  <r>
    <d v="2023-08-20T00:00:00"/>
    <x v="10"/>
    <x v="0"/>
    <x v="18"/>
    <x v="3"/>
    <x v="2"/>
    <n v="1"/>
    <n v="182.11"/>
    <s v="Store A"/>
    <x v="1"/>
    <n v="0.1"/>
    <x v="3"/>
    <n v="163.89900000000003"/>
    <n v="109.26600000000001"/>
    <n v="47.323000000000022"/>
    <n v="0.28873269513541883"/>
    <n v="163.899"/>
    <s v="Credit Card"/>
    <s v="WINTER15"/>
    <x v="0"/>
    <n v="0"/>
    <x v="0"/>
    <x v="1118"/>
    <s v="Cust 1819"/>
    <n v="7.31"/>
    <d v="2023-08-20T00:00:00"/>
    <d v="2023-08-27T00:00:00"/>
    <s v="Cameron"/>
    <n v="7"/>
  </r>
  <r>
    <d v="2024-10-28T00:00:00"/>
    <x v="5"/>
    <x v="1"/>
    <x v="7"/>
    <x v="4"/>
    <x v="2"/>
    <n v="7"/>
    <n v="466.36"/>
    <s v="Store D"/>
    <x v="0"/>
    <n v="0.05"/>
    <x v="5"/>
    <n v="3101.2939999999999"/>
    <n v="1958.7119999999998"/>
    <n v="1131.1320000000001"/>
    <n v="0.36472904535977568"/>
    <n v="3101.2939999999999"/>
    <s v="Online"/>
    <s v="SAVE10"/>
    <x v="0"/>
    <n v="1"/>
    <x v="1"/>
    <x v="1119"/>
    <s v="Cust 1300"/>
    <n v="11.45"/>
    <d v="2024-10-28T00:00:00"/>
    <d v="2024-11-06T00:00:00"/>
    <s v="Wendy"/>
    <n v="9"/>
  </r>
  <r>
    <d v="2024-11-11T00:00:00"/>
    <x v="9"/>
    <x v="1"/>
    <x v="20"/>
    <x v="0"/>
    <x v="6"/>
    <n v="15"/>
    <n v="140.54"/>
    <s v="Store A"/>
    <x v="0"/>
    <n v="0.1"/>
    <x v="0"/>
    <n v="1897.29"/>
    <n v="1264.8599999999999"/>
    <n v="582.5200000000001"/>
    <n v="0.30702739170079435"/>
    <n v="1897.29"/>
    <s v="Credit Card"/>
    <s v="SAVE10"/>
    <x v="0"/>
    <n v="0"/>
    <x v="0"/>
    <x v="1120"/>
    <s v="Cust 3807"/>
    <n v="49.91"/>
    <d v="2024-11-11T00:00:00"/>
    <d v="2024-11-21T00:00:00"/>
    <s v="Eric"/>
    <n v="10"/>
  </r>
  <r>
    <d v="2023-12-07T00:00:00"/>
    <x v="1"/>
    <x v="0"/>
    <x v="27"/>
    <x v="4"/>
    <x v="2"/>
    <n v="17"/>
    <n v="460.31"/>
    <s v="Store A"/>
    <x v="1"/>
    <n v="0.15"/>
    <x v="4"/>
    <n v="6651.4795000000004"/>
    <n v="4695.1619999999994"/>
    <n v="1916.137500000001"/>
    <n v="0.28807688575150847"/>
    <n v="6651.4795000000004"/>
    <s v="Online"/>
    <s v="WINTER15"/>
    <x v="0"/>
    <n v="0"/>
    <x v="0"/>
    <x v="1121"/>
    <s v="Cust 6633"/>
    <n v="40.18"/>
    <d v="2023-12-07T00:00:00"/>
    <d v="2023-12-15T00:00:00"/>
    <s v="Wendy"/>
    <n v="8"/>
  </r>
  <r>
    <d v="2024-03-23T00:00:00"/>
    <x v="6"/>
    <x v="1"/>
    <x v="25"/>
    <x v="4"/>
    <x v="0"/>
    <n v="5"/>
    <n v="132.87"/>
    <s v="Store B"/>
    <x v="1"/>
    <n v="0"/>
    <x v="5"/>
    <n v="664.35"/>
    <n v="398.60999999999996"/>
    <n v="227.83000000000007"/>
    <n v="0.34293670505004903"/>
    <n v="664.35"/>
    <s v="Debit Card"/>
    <s v="WINTER15"/>
    <x v="0"/>
    <n v="0"/>
    <x v="0"/>
    <x v="1122"/>
    <s v="Cust 6573"/>
    <n v="37.909999999999997"/>
    <d v="2024-03-23T00:00:00"/>
    <d v="2024-04-02T00:00:00"/>
    <s v="Wendy"/>
    <n v="10"/>
  </r>
  <r>
    <d v="2024-10-29T00:00:00"/>
    <x v="5"/>
    <x v="1"/>
    <x v="7"/>
    <x v="4"/>
    <x v="5"/>
    <n v="12"/>
    <n v="209.86"/>
    <s v="Store D"/>
    <x v="1"/>
    <n v="0.05"/>
    <x v="5"/>
    <n v="2392.404"/>
    <n v="1510.992"/>
    <n v="872.63200000000006"/>
    <n v="0.36475110391054355"/>
    <n v="2392.404"/>
    <s v="Online"/>
    <s v="WINTER15"/>
    <x v="0"/>
    <n v="0"/>
    <x v="0"/>
    <x v="1123"/>
    <s v="Cust 8600"/>
    <n v="8.7799999999999994"/>
    <d v="2024-10-29T00:00:00"/>
    <d v="2024-11-02T00:00:00"/>
    <s v="Wendy"/>
    <n v="4"/>
  </r>
  <r>
    <d v="2025-06-17T00:00:00"/>
    <x v="3"/>
    <x v="2"/>
    <x v="16"/>
    <x v="0"/>
    <x v="0"/>
    <n v="9"/>
    <n v="31.35"/>
    <s v="Store B"/>
    <x v="1"/>
    <n v="0.1"/>
    <x v="4"/>
    <n v="253.93500000000003"/>
    <n v="169.29"/>
    <n v="45.325000000000038"/>
    <n v="0.17849055860751781"/>
    <n v="253.935"/>
    <s v="Cash"/>
    <s v="SAVE10"/>
    <x v="0"/>
    <n v="0"/>
    <x v="0"/>
    <x v="1124"/>
    <s v="Cust 8654"/>
    <n v="39.32"/>
    <d v="2025-06-17T00:00:00"/>
    <d v="2025-06-22T00:00:00"/>
    <s v="Eric"/>
    <n v="5"/>
  </r>
  <r>
    <d v="2023-03-18T00:00:00"/>
    <x v="6"/>
    <x v="0"/>
    <x v="17"/>
    <x v="2"/>
    <x v="3"/>
    <n v="11"/>
    <n v="335.11"/>
    <s v="Store C"/>
    <x v="1"/>
    <n v="0"/>
    <x v="2"/>
    <n v="3686.21"/>
    <n v="2211.7260000000001"/>
    <n v="1444.5339999999999"/>
    <n v="0.39187512377211281"/>
    <n v="3686.21"/>
    <s v="Gift Card"/>
    <s v="FREESHIP"/>
    <x v="0"/>
    <n v="0"/>
    <x v="0"/>
    <x v="1125"/>
    <s v="Cust 3708"/>
    <n v="29.95"/>
    <d v="2023-03-18T00:00:00"/>
    <d v="2023-03-26T00:00:00"/>
    <s v="Ryan"/>
    <n v="8"/>
  </r>
  <r>
    <d v="2023-01-19T00:00:00"/>
    <x v="4"/>
    <x v="0"/>
    <x v="6"/>
    <x v="0"/>
    <x v="1"/>
    <n v="8"/>
    <n v="277.43"/>
    <s v="Store D"/>
    <x v="0"/>
    <n v="0"/>
    <x v="3"/>
    <n v="2219.44"/>
    <n v="1331.664"/>
    <n v="851.39600000000007"/>
    <n v="0.38360847781422341"/>
    <n v="2219.44"/>
    <s v="Online"/>
    <s v="SAVE10"/>
    <x v="0"/>
    <n v="0"/>
    <x v="0"/>
    <x v="1126"/>
    <s v="Cust 1268"/>
    <n v="36.380000000000003"/>
    <d v="2023-01-19T00:00:00"/>
    <d v="2023-01-23T00:00:00"/>
    <s v="Eric"/>
    <n v="4"/>
  </r>
  <r>
    <d v="2023-07-09T00:00:00"/>
    <x v="8"/>
    <x v="0"/>
    <x v="11"/>
    <x v="4"/>
    <x v="2"/>
    <n v="6"/>
    <n v="287.72000000000003"/>
    <s v="Store A"/>
    <x v="1"/>
    <n v="0.05"/>
    <x v="5"/>
    <n v="1640.0040000000001"/>
    <n v="1035.7919999999999"/>
    <n v="587.07200000000023"/>
    <n v="0.35796985861010105"/>
    <n v="1640.0039999999999"/>
    <s v="Debit Card"/>
    <s v="WINTER15"/>
    <x v="0"/>
    <n v="0"/>
    <x v="0"/>
    <x v="1127"/>
    <s v="Cust 5600"/>
    <n v="17.14"/>
    <d v="2023-07-09T00:00:00"/>
    <d v="2023-07-14T00:00:00"/>
    <s v="Wendy"/>
    <n v="5"/>
  </r>
  <r>
    <d v="2025-03-16T00:00:00"/>
    <x v="6"/>
    <x v="2"/>
    <x v="8"/>
    <x v="0"/>
    <x v="0"/>
    <n v="14"/>
    <n v="459.61"/>
    <s v="Store B"/>
    <x v="1"/>
    <n v="0.05"/>
    <x v="2"/>
    <n v="6112.8130000000001"/>
    <n v="3860.7240000000002"/>
    <n v="2208.6790000000001"/>
    <n v="0.36131957578286789"/>
    <n v="6112.8130000000001"/>
    <s v="Online"/>
    <m/>
    <x v="1"/>
    <n v="1"/>
    <x v="1"/>
    <x v="1128"/>
    <s v="Cust 2438"/>
    <n v="43.41"/>
    <d v="2025-03-16T00:00:00"/>
    <d v="2025-03-26T00:00:00"/>
    <s v="Eric"/>
    <n v="10"/>
  </r>
  <r>
    <d v="2025-02-08T00:00:00"/>
    <x v="0"/>
    <x v="2"/>
    <x v="3"/>
    <x v="2"/>
    <x v="5"/>
    <n v="10"/>
    <n v="396.73"/>
    <s v="Store B"/>
    <x v="1"/>
    <n v="0.1"/>
    <x v="0"/>
    <n v="3570.57"/>
    <n v="2380.38"/>
    <n v="1172.06"/>
    <n v="0.32825571267332665"/>
    <n v="3570.57"/>
    <s v="Online"/>
    <s v="FREESHIP"/>
    <x v="0"/>
    <n v="0"/>
    <x v="0"/>
    <x v="1129"/>
    <s v="Cust 4293"/>
    <n v="18.13"/>
    <d v="2025-02-08T00:00:00"/>
    <d v="2025-02-13T00:00:00"/>
    <s v="Ryan"/>
    <n v="5"/>
  </r>
  <r>
    <d v="2024-04-20T00:00:00"/>
    <x v="7"/>
    <x v="1"/>
    <x v="9"/>
    <x v="1"/>
    <x v="6"/>
    <n v="20"/>
    <n v="516.42999999999995"/>
    <s v="Store B"/>
    <x v="1"/>
    <n v="0"/>
    <x v="5"/>
    <n v="10328.599999999999"/>
    <n v="6197.1599999999989"/>
    <n v="4095.2099999999996"/>
    <n v="0.3964922641984393"/>
    <n v="10328.6"/>
    <s v="Online"/>
    <s v="FREESHIP"/>
    <x v="0"/>
    <n v="0"/>
    <x v="0"/>
    <x v="1130"/>
    <s v="Cust 6895"/>
    <n v="36.229999999999997"/>
    <d v="2024-04-20T00:00:00"/>
    <d v="2024-04-22T00:00:00"/>
    <s v="Sophie"/>
    <n v="2"/>
  </r>
  <r>
    <d v="2025-06-05T00:00:00"/>
    <x v="3"/>
    <x v="2"/>
    <x v="16"/>
    <x v="0"/>
    <x v="0"/>
    <n v="1"/>
    <n v="299.66000000000003"/>
    <s v="Store A"/>
    <x v="1"/>
    <n v="0.1"/>
    <x v="4"/>
    <n v="269.69400000000002"/>
    <n v="179.79600000000002"/>
    <n v="50.957999999999998"/>
    <n v="0.1889474738036441"/>
    <n v="269.69400000000002"/>
    <s v="Cash"/>
    <s v="SAVE10"/>
    <x v="0"/>
    <n v="0"/>
    <x v="0"/>
    <x v="1131"/>
    <s v="Cust 2616"/>
    <n v="38.94"/>
    <d v="2025-06-05T00:00:00"/>
    <d v="2025-06-07T00:00:00"/>
    <s v="Eric"/>
    <n v="2"/>
  </r>
  <r>
    <d v="2025-04-25T00:00:00"/>
    <x v="7"/>
    <x v="2"/>
    <x v="28"/>
    <x v="1"/>
    <x v="3"/>
    <n v="12"/>
    <n v="31.72"/>
    <s v="Store B"/>
    <x v="1"/>
    <n v="0"/>
    <x v="1"/>
    <n v="380.64"/>
    <n v="228.38400000000001"/>
    <n v="121.47599999999997"/>
    <n v="0.31913619167717522"/>
    <n v="380.64"/>
    <s v="Debit Card"/>
    <s v="SAVE10"/>
    <x v="0"/>
    <n v="0"/>
    <x v="0"/>
    <x v="1132"/>
    <s v="Cust 5362"/>
    <n v="30.78"/>
    <d v="2025-04-25T00:00:00"/>
    <d v="2025-05-03T00:00:00"/>
    <s v="Sophie"/>
    <n v="8"/>
  </r>
  <r>
    <d v="2023-09-06T00:00:00"/>
    <x v="11"/>
    <x v="0"/>
    <x v="22"/>
    <x v="3"/>
    <x v="1"/>
    <n v="17"/>
    <n v="588.58000000000004"/>
    <s v="Store D"/>
    <x v="0"/>
    <n v="0.05"/>
    <x v="4"/>
    <n v="9505.5670000000009"/>
    <n v="6003.5160000000005"/>
    <n v="3476.7410000000004"/>
    <n v="0.36575840241828816"/>
    <n v="9505.5670000000009"/>
    <s v="Debit Card"/>
    <s v="SAVE10"/>
    <x v="0"/>
    <n v="1"/>
    <x v="1"/>
    <x v="1133"/>
    <s v="Cust 1670"/>
    <n v="25.31"/>
    <d v="2023-09-06T00:00:00"/>
    <d v="2023-09-13T00:00:00"/>
    <s v="Cameron"/>
    <n v="7"/>
  </r>
  <r>
    <d v="2023-09-29T00:00:00"/>
    <x v="11"/>
    <x v="0"/>
    <x v="22"/>
    <x v="0"/>
    <x v="0"/>
    <n v="11"/>
    <n v="203.15"/>
    <s v="Store C"/>
    <x v="1"/>
    <n v="0.1"/>
    <x v="0"/>
    <n v="2011.1850000000002"/>
    <n v="1340.79"/>
    <n v="639.42500000000018"/>
    <n v="0.31793445157954148"/>
    <n v="2011.1849999999999"/>
    <s v="Online"/>
    <s v="FREESHIP"/>
    <x v="0"/>
    <n v="0"/>
    <x v="0"/>
    <x v="1134"/>
    <s v="Cust 2254"/>
    <n v="30.97"/>
    <d v="2023-09-29T00:00:00"/>
    <d v="2023-10-02T00:00:00"/>
    <s v="Eric"/>
    <n v="3"/>
  </r>
  <r>
    <d v="2024-05-21T00:00:00"/>
    <x v="2"/>
    <x v="1"/>
    <x v="14"/>
    <x v="3"/>
    <x v="4"/>
    <n v="18"/>
    <n v="139.13999999999999"/>
    <s v="Store A"/>
    <x v="0"/>
    <n v="0"/>
    <x v="3"/>
    <n v="2504.5199999999995"/>
    <n v="1502.712"/>
    <n v="991.24799999999959"/>
    <n v="0.3957836232092376"/>
    <n v="2504.52"/>
    <s v="Online"/>
    <s v="FREESHIP"/>
    <x v="0"/>
    <n v="1"/>
    <x v="1"/>
    <x v="1135"/>
    <s v="Cust 9521"/>
    <n v="10.56"/>
    <d v="2024-05-21T00:00:00"/>
    <d v="2024-05-23T00:00:00"/>
    <s v="Cameron"/>
    <n v="2"/>
  </r>
  <r>
    <d v="2025-04-13T00:00:00"/>
    <x v="7"/>
    <x v="2"/>
    <x v="28"/>
    <x v="4"/>
    <x v="4"/>
    <n v="2"/>
    <n v="158.99"/>
    <s v="Store A"/>
    <x v="0"/>
    <n v="0"/>
    <x v="5"/>
    <n v="317.98"/>
    <n v="190.78800000000001"/>
    <n v="78.872000000000014"/>
    <n v="0.24804075728033212"/>
    <n v="317.98"/>
    <s v="Online"/>
    <m/>
    <x v="1"/>
    <n v="0"/>
    <x v="0"/>
    <x v="1136"/>
    <s v="Cust 3921"/>
    <n v="48.32"/>
    <d v="2025-04-13T00:00:00"/>
    <d v="2025-04-19T00:00:00"/>
    <s v="Wendy"/>
    <n v="6"/>
  </r>
  <r>
    <d v="2024-11-16T00:00:00"/>
    <x v="9"/>
    <x v="1"/>
    <x v="20"/>
    <x v="0"/>
    <x v="3"/>
    <n v="3"/>
    <n v="387.63"/>
    <s v="Store A"/>
    <x v="0"/>
    <n v="0"/>
    <x v="4"/>
    <n v="1162.8899999999999"/>
    <n v="697.73399999999992"/>
    <n v="435.07599999999996"/>
    <n v="0.37413340900687081"/>
    <n v="1162.8900000000001"/>
    <s v="Credit Card"/>
    <s v="WINTER15"/>
    <x v="0"/>
    <n v="0"/>
    <x v="0"/>
    <x v="1137"/>
    <s v="Cust 7628"/>
    <n v="30.08"/>
    <d v="2024-11-16T00:00:00"/>
    <d v="2024-11-20T00:00:00"/>
    <s v="Eric"/>
    <n v="4"/>
  </r>
  <r>
    <d v="2024-07-20T00:00:00"/>
    <x v="8"/>
    <x v="1"/>
    <x v="10"/>
    <x v="2"/>
    <x v="2"/>
    <n v="5"/>
    <n v="202.12"/>
    <s v="Store A"/>
    <x v="1"/>
    <n v="0.1"/>
    <x v="4"/>
    <n v="909.54000000000008"/>
    <n v="606.3599999999999"/>
    <n v="257.57000000000016"/>
    <n v="0.28318710556984866"/>
    <n v="909.54000000000008"/>
    <s v="Online"/>
    <s v="FREESHIP"/>
    <x v="0"/>
    <n v="1"/>
    <x v="1"/>
    <x v="1138"/>
    <s v="Cust 2453"/>
    <n v="45.61"/>
    <d v="2024-07-20T00:00:00"/>
    <d v="2024-07-28T00:00:00"/>
    <s v="Ryan"/>
    <n v="8"/>
  </r>
  <r>
    <d v="2023-05-20T00:00:00"/>
    <x v="2"/>
    <x v="0"/>
    <x v="2"/>
    <x v="2"/>
    <x v="2"/>
    <n v="4"/>
    <n v="334.57"/>
    <s v="Store C"/>
    <x v="1"/>
    <n v="0.15"/>
    <x v="3"/>
    <n v="1137.538"/>
    <n v="802.96799999999996"/>
    <n v="323.08000000000004"/>
    <n v="0.28401688558975613"/>
    <n v="1137.538"/>
    <s v="Gift Card"/>
    <m/>
    <x v="1"/>
    <n v="0"/>
    <x v="0"/>
    <x v="1139"/>
    <s v="Cust 4210"/>
    <n v="11.49"/>
    <d v="2023-05-20T00:00:00"/>
    <d v="2023-05-27T00:00:00"/>
    <s v="Ryan"/>
    <n v="7"/>
  </r>
  <r>
    <d v="2023-10-22T00:00:00"/>
    <x v="5"/>
    <x v="0"/>
    <x v="19"/>
    <x v="4"/>
    <x v="1"/>
    <n v="16"/>
    <n v="486.71"/>
    <s v="Store B"/>
    <x v="0"/>
    <n v="0.15"/>
    <x v="3"/>
    <n v="6619.2559999999994"/>
    <n v="4672.4159999999993"/>
    <n v="1934.3100000000002"/>
    <n v="0.29222468507034632"/>
    <n v="6619.2559999999994"/>
    <s v="Online"/>
    <s v="FREESHIP"/>
    <x v="0"/>
    <n v="1"/>
    <x v="1"/>
    <x v="1140"/>
    <s v="Cust 1951"/>
    <n v="12.53"/>
    <d v="2023-10-22T00:00:00"/>
    <d v="2023-10-26T00:00:00"/>
    <s v="Wendy"/>
    <n v="4"/>
  </r>
  <r>
    <d v="2025-05-18T00:00:00"/>
    <x v="2"/>
    <x v="2"/>
    <x v="13"/>
    <x v="2"/>
    <x v="4"/>
    <n v="2"/>
    <n v="188.29"/>
    <s v="Store D"/>
    <x v="0"/>
    <n v="0.15"/>
    <x v="5"/>
    <n v="320.09299999999996"/>
    <n v="225.94799999999998"/>
    <n v="61.924999999999983"/>
    <n v="0.19345940086162455"/>
    <n v="320.09300000000002"/>
    <s v="Credit Card"/>
    <s v="SAVE10"/>
    <x v="0"/>
    <n v="0"/>
    <x v="0"/>
    <x v="1141"/>
    <s v="Cust 9405"/>
    <n v="32.22"/>
    <d v="2025-05-18T00:00:00"/>
    <d v="2025-05-21T00:00:00"/>
    <s v="Ryan"/>
    <n v="3"/>
  </r>
  <r>
    <d v="2024-03-03T00:00:00"/>
    <x v="6"/>
    <x v="1"/>
    <x v="25"/>
    <x v="1"/>
    <x v="0"/>
    <n v="3"/>
    <n v="260.72000000000003"/>
    <s v="Store B"/>
    <x v="0"/>
    <n v="0.15"/>
    <x v="2"/>
    <n v="664.83600000000001"/>
    <n v="469.29600000000005"/>
    <n v="176.12999999999997"/>
    <n v="0.26492247712217742"/>
    <n v="664.83600000000001"/>
    <s v="Online"/>
    <s v="WINTER15"/>
    <x v="0"/>
    <n v="0"/>
    <x v="0"/>
    <x v="1142"/>
    <s v="Cust 8769"/>
    <n v="19.41"/>
    <d v="2024-03-03T00:00:00"/>
    <d v="2024-03-06T00:00:00"/>
    <s v="Sophie"/>
    <n v="3"/>
  </r>
  <r>
    <d v="2023-07-23T00:00:00"/>
    <x v="8"/>
    <x v="0"/>
    <x v="11"/>
    <x v="0"/>
    <x v="2"/>
    <n v="6"/>
    <n v="358.27"/>
    <s v="Store B"/>
    <x v="1"/>
    <n v="0.1"/>
    <x v="2"/>
    <n v="1934.6579999999999"/>
    <n v="1289.7719999999999"/>
    <n v="637.54599999999994"/>
    <n v="0.32953938112059078"/>
    <n v="1934.6579999999999"/>
    <s v="Gift Card"/>
    <m/>
    <x v="1"/>
    <n v="0"/>
    <x v="0"/>
    <x v="1143"/>
    <s v="Cust 9982"/>
    <n v="7.34"/>
    <d v="2023-07-23T00:00:00"/>
    <d v="2023-08-02T00:00:00"/>
    <s v="Eric"/>
    <n v="10"/>
  </r>
  <r>
    <d v="2025-02-09T00:00:00"/>
    <x v="0"/>
    <x v="2"/>
    <x v="3"/>
    <x v="2"/>
    <x v="2"/>
    <n v="13"/>
    <n v="492.66"/>
    <s v="Store B"/>
    <x v="1"/>
    <n v="0.1"/>
    <x v="2"/>
    <n v="5764.1220000000003"/>
    <n v="3842.748"/>
    <n v="1875.1640000000002"/>
    <n v="0.32531650093457426"/>
    <n v="5764.1220000000003"/>
    <s v="Gift Card"/>
    <s v="FREESHIP"/>
    <x v="0"/>
    <n v="0"/>
    <x v="0"/>
    <x v="1144"/>
    <s v="Cust 4068"/>
    <n v="46.21"/>
    <d v="2025-02-09T00:00:00"/>
    <d v="2025-02-14T00:00:00"/>
    <s v="Ryan"/>
    <n v="5"/>
  </r>
  <r>
    <d v="2023-01-17T00:00:00"/>
    <x v="4"/>
    <x v="0"/>
    <x v="6"/>
    <x v="1"/>
    <x v="3"/>
    <n v="3"/>
    <n v="348.38"/>
    <s v="Store B"/>
    <x v="0"/>
    <n v="0"/>
    <x v="3"/>
    <n v="1045.1399999999999"/>
    <n v="627.08399999999995"/>
    <n v="391.80599999999993"/>
    <n v="0.37488374763189619"/>
    <n v="1045.1400000000001"/>
    <s v="Gift Card"/>
    <s v="FREESHIP"/>
    <x v="0"/>
    <n v="0"/>
    <x v="0"/>
    <x v="1145"/>
    <s v="Cust 3523"/>
    <n v="26.25"/>
    <d v="2023-01-17T00:00:00"/>
    <d v="2023-01-23T00:00:00"/>
    <s v="Sophie"/>
    <n v="6"/>
  </r>
  <r>
    <d v="2023-09-17T00:00:00"/>
    <x v="11"/>
    <x v="0"/>
    <x v="22"/>
    <x v="2"/>
    <x v="1"/>
    <n v="6"/>
    <n v="437.59"/>
    <s v="Store D"/>
    <x v="0"/>
    <n v="0.05"/>
    <x v="4"/>
    <n v="2494.2629999999999"/>
    <n v="1575.3239999999998"/>
    <n v="879.5390000000001"/>
    <n v="0.35262480339883973"/>
    <n v="2494.2629999999999"/>
    <s v="Gift Card"/>
    <s v="WINTER15"/>
    <x v="0"/>
    <n v="1"/>
    <x v="1"/>
    <x v="1146"/>
    <s v="Cust 3377"/>
    <n v="39.4"/>
    <d v="2023-09-17T00:00:00"/>
    <d v="2023-09-26T00:00:00"/>
    <s v="Ryan"/>
    <n v="9"/>
  </r>
  <r>
    <d v="2025-02-15T00:00:00"/>
    <x v="0"/>
    <x v="2"/>
    <x v="3"/>
    <x v="2"/>
    <x v="6"/>
    <n v="19"/>
    <n v="118.09"/>
    <s v="Store D"/>
    <x v="0"/>
    <n v="0.1"/>
    <x v="1"/>
    <n v="2019.3390000000002"/>
    <n v="1346.2259999999999"/>
    <n v="662.3430000000003"/>
    <n v="0.32799990491938213"/>
    <n v="2019.3389999999999"/>
    <s v="Online"/>
    <s v="SAVE10"/>
    <x v="0"/>
    <n v="0"/>
    <x v="0"/>
    <x v="1147"/>
    <s v="Cust 3125"/>
    <n v="10.77"/>
    <d v="2025-02-15T00:00:00"/>
    <d v="2025-02-23T00:00:00"/>
    <s v="Ryan"/>
    <n v="8"/>
  </r>
  <r>
    <d v="2023-10-07T00:00:00"/>
    <x v="5"/>
    <x v="0"/>
    <x v="19"/>
    <x v="4"/>
    <x v="5"/>
    <n v="15"/>
    <n v="188.57"/>
    <s v="Store C"/>
    <x v="0"/>
    <n v="0.05"/>
    <x v="5"/>
    <n v="2687.1224999999995"/>
    <n v="1697.1299999999999"/>
    <n v="951.3824999999996"/>
    <n v="0.35405252272644799"/>
    <n v="2687.122499999999"/>
    <s v="Credit Card"/>
    <s v="FREESHIP"/>
    <x v="0"/>
    <n v="1"/>
    <x v="1"/>
    <x v="1148"/>
    <s v="Cust 4623"/>
    <n v="38.61"/>
    <d v="2023-10-07T00:00:00"/>
    <d v="2023-10-09T00:00:00"/>
    <s v="Wendy"/>
    <n v="2"/>
  </r>
  <r>
    <d v="2023-08-08T00:00:00"/>
    <x v="10"/>
    <x v="0"/>
    <x v="18"/>
    <x v="4"/>
    <x v="1"/>
    <n v="8"/>
    <n v="200.74"/>
    <s v="Store A"/>
    <x v="0"/>
    <n v="0"/>
    <x v="4"/>
    <n v="1605.92"/>
    <n v="963.55200000000002"/>
    <n v="611.66800000000001"/>
    <n v="0.38088323204144664"/>
    <n v="1605.92"/>
    <s v="Gift Card"/>
    <s v="SAVE10"/>
    <x v="0"/>
    <n v="1"/>
    <x v="1"/>
    <x v="1149"/>
    <s v="Cust 4571"/>
    <n v="30.7"/>
    <d v="2023-08-08T00:00:00"/>
    <d v="2023-08-10T00:00:00"/>
    <s v="Wendy"/>
    <n v="2"/>
  </r>
  <r>
    <d v="2023-08-21T00:00:00"/>
    <x v="10"/>
    <x v="0"/>
    <x v="18"/>
    <x v="0"/>
    <x v="0"/>
    <n v="3"/>
    <n v="142.09"/>
    <s v="Store C"/>
    <x v="0"/>
    <n v="0.15"/>
    <x v="2"/>
    <n v="362.3295"/>
    <n v="255.762"/>
    <n v="80.527500000000003"/>
    <n v="0.22224936142378693"/>
    <n v="362.3295"/>
    <s v="Gift Card"/>
    <s v="WINTER15"/>
    <x v="0"/>
    <n v="0"/>
    <x v="0"/>
    <x v="1150"/>
    <s v="Cust 6453"/>
    <n v="26.04"/>
    <d v="2023-08-21T00:00:00"/>
    <d v="2023-08-27T00:00:00"/>
    <s v="Eric"/>
    <n v="6"/>
  </r>
  <r>
    <d v="2024-07-07T00:00:00"/>
    <x v="8"/>
    <x v="1"/>
    <x v="10"/>
    <x v="2"/>
    <x v="5"/>
    <n v="15"/>
    <n v="576.12"/>
    <s v="Store D"/>
    <x v="1"/>
    <n v="0.1"/>
    <x v="1"/>
    <n v="7777.62"/>
    <n v="5185.08"/>
    <n v="2563.23"/>
    <n v="0.32956482831508871"/>
    <n v="7777.62"/>
    <s v="Online"/>
    <s v="WINTER15"/>
    <x v="0"/>
    <n v="0"/>
    <x v="0"/>
    <x v="1151"/>
    <s v="Cust 6982"/>
    <n v="29.31"/>
    <d v="2024-07-07T00:00:00"/>
    <d v="2024-07-11T00:00:00"/>
    <s v="Ryan"/>
    <n v="4"/>
  </r>
  <r>
    <d v="2025-01-17T00:00:00"/>
    <x v="4"/>
    <x v="2"/>
    <x v="12"/>
    <x v="1"/>
    <x v="2"/>
    <n v="9"/>
    <n v="96.97"/>
    <s v="Store D"/>
    <x v="1"/>
    <n v="0.15"/>
    <x v="5"/>
    <n v="741.82050000000004"/>
    <n v="523.63799999999992"/>
    <n v="187.31250000000011"/>
    <n v="0.25250380651384008"/>
    <n v="741.82050000000004"/>
    <s v="Credit Card"/>
    <s v="WINTER15"/>
    <x v="0"/>
    <n v="1"/>
    <x v="1"/>
    <x v="1152"/>
    <s v="Cust 6824"/>
    <n v="30.87"/>
    <d v="2025-01-17T00:00:00"/>
    <d v="2025-01-24T00:00:00"/>
    <s v="Sophie"/>
    <n v="7"/>
  </r>
  <r>
    <d v="2023-12-06T00:00:00"/>
    <x v="1"/>
    <x v="0"/>
    <x v="27"/>
    <x v="2"/>
    <x v="5"/>
    <n v="17"/>
    <n v="218.04"/>
    <s v="Store D"/>
    <x v="0"/>
    <n v="0.15"/>
    <x v="5"/>
    <n v="3150.6779999999999"/>
    <n v="2224.0079999999998"/>
    <n v="910.67000000000007"/>
    <n v="0.28903937501705984"/>
    <n v="3150.6779999999999"/>
    <s v="Cash"/>
    <m/>
    <x v="1"/>
    <n v="0"/>
    <x v="0"/>
    <x v="1153"/>
    <s v="Cust 3172"/>
    <n v="16"/>
    <d v="2023-12-06T00:00:00"/>
    <d v="2023-12-16T00:00:00"/>
    <s v="Ryan"/>
    <n v="10"/>
  </r>
  <r>
    <d v="2023-03-01T00:00:00"/>
    <x v="6"/>
    <x v="0"/>
    <x v="17"/>
    <x v="1"/>
    <x v="2"/>
    <n v="2"/>
    <n v="153.33000000000001"/>
    <s v="Store C"/>
    <x v="0"/>
    <n v="0.05"/>
    <x v="3"/>
    <n v="291.327"/>
    <n v="183.99600000000001"/>
    <n v="75.780999999999992"/>
    <n v="0.2601235038290306"/>
    <n v="291.327"/>
    <s v="Cash"/>
    <m/>
    <x v="1"/>
    <n v="0"/>
    <x v="0"/>
    <x v="1154"/>
    <s v="Cust 8146"/>
    <n v="31.55"/>
    <d v="2023-03-01T00:00:00"/>
    <d v="2023-03-04T00:00:00"/>
    <s v="Sophie"/>
    <n v="3"/>
  </r>
  <r>
    <d v="2025-02-11T00:00:00"/>
    <x v="0"/>
    <x v="2"/>
    <x v="3"/>
    <x v="2"/>
    <x v="6"/>
    <n v="8"/>
    <n v="316.12"/>
    <s v="Store B"/>
    <x v="0"/>
    <n v="0.1"/>
    <x v="4"/>
    <n v="2276.0640000000003"/>
    <n v="1517.376"/>
    <n v="752.40800000000036"/>
    <n v="0.33057418420571666"/>
    <n v="2276.0639999999999"/>
    <s v="Gift Card"/>
    <s v="WINTER15"/>
    <x v="0"/>
    <n v="0"/>
    <x v="0"/>
    <x v="1155"/>
    <s v="Cust 3299"/>
    <n v="6.28"/>
    <d v="2025-02-11T00:00:00"/>
    <d v="2025-02-15T00:00:00"/>
    <s v="Ryan"/>
    <n v="4"/>
  </r>
  <r>
    <d v="2023-06-20T00:00:00"/>
    <x v="3"/>
    <x v="0"/>
    <x v="4"/>
    <x v="3"/>
    <x v="6"/>
    <n v="13"/>
    <n v="153.57"/>
    <s v="Store B"/>
    <x v="0"/>
    <n v="0.05"/>
    <x v="3"/>
    <n v="1896.5894999999998"/>
    <n v="1197.846"/>
    <n v="670.76349999999979"/>
    <n v="0.35366825557138215"/>
    <n v="1896.5895"/>
    <s v="Gift Card"/>
    <m/>
    <x v="1"/>
    <n v="0"/>
    <x v="0"/>
    <x v="1156"/>
    <s v="Cust 6476"/>
    <n v="27.98"/>
    <d v="2023-06-20T00:00:00"/>
    <d v="2023-06-25T00:00:00"/>
    <s v="Cameron"/>
    <n v="5"/>
  </r>
  <r>
    <d v="2024-02-29T00:00:00"/>
    <x v="0"/>
    <x v="1"/>
    <x v="5"/>
    <x v="4"/>
    <x v="6"/>
    <n v="7"/>
    <n v="208.31"/>
    <s v="Store C"/>
    <x v="0"/>
    <n v="0.05"/>
    <x v="2"/>
    <n v="1385.2615000000001"/>
    <n v="874.90199999999993"/>
    <n v="483.78950000000015"/>
    <n v="0.34924055855158043"/>
    <n v="1385.2615000000001"/>
    <s v="Online"/>
    <s v="SAVE10"/>
    <x v="0"/>
    <n v="0"/>
    <x v="0"/>
    <x v="1157"/>
    <s v="Cust 9835"/>
    <n v="26.57"/>
    <d v="2024-02-29T00:00:00"/>
    <d v="2024-03-03T00:00:00"/>
    <s v="Wendy"/>
    <n v="3"/>
  </r>
  <r>
    <d v="2025-06-30T00:00:00"/>
    <x v="3"/>
    <x v="2"/>
    <x v="16"/>
    <x v="2"/>
    <x v="3"/>
    <n v="2"/>
    <n v="160.96"/>
    <s v="Store C"/>
    <x v="0"/>
    <n v="0.1"/>
    <x v="0"/>
    <n v="289.72800000000001"/>
    <n v="193.15200000000002"/>
    <n v="51.605999999999995"/>
    <n v="0.17811878727634192"/>
    <n v="289.72800000000001"/>
    <s v="Gift Card"/>
    <s v="WINTER15"/>
    <x v="0"/>
    <n v="0"/>
    <x v="0"/>
    <x v="1158"/>
    <s v="Cust 1003"/>
    <n v="44.97"/>
    <d v="2025-06-30T00:00:00"/>
    <d v="2025-07-05T00:00:00"/>
    <s v="Ryan"/>
    <n v="5"/>
  </r>
  <r>
    <d v="2024-08-19T00:00:00"/>
    <x v="10"/>
    <x v="1"/>
    <x v="29"/>
    <x v="2"/>
    <x v="4"/>
    <n v="3"/>
    <n v="373.77"/>
    <s v="Store B"/>
    <x v="1"/>
    <n v="0.1"/>
    <x v="0"/>
    <n v="1009.179"/>
    <n v="672.78599999999994"/>
    <n v="318.77300000000002"/>
    <n v="0.31587359625993011"/>
    <n v="1009.179"/>
    <s v="Cash"/>
    <s v="WINTER15"/>
    <x v="0"/>
    <n v="1"/>
    <x v="1"/>
    <x v="1159"/>
    <s v="Cust 9705"/>
    <n v="17.62"/>
    <d v="2024-08-19T00:00:00"/>
    <d v="2024-08-25T00:00:00"/>
    <s v="Ryan"/>
    <n v="6"/>
  </r>
  <r>
    <d v="2024-01-15T00:00:00"/>
    <x v="4"/>
    <x v="1"/>
    <x v="24"/>
    <x v="3"/>
    <x v="6"/>
    <n v="20"/>
    <n v="200.7"/>
    <s v="Store D"/>
    <x v="1"/>
    <n v="0.1"/>
    <x v="1"/>
    <n v="3612.6"/>
    <n v="2408.3999999999996"/>
    <n v="1174.6000000000004"/>
    <n v="0.32513978851796499"/>
    <n v="3612.6"/>
    <s v="Online"/>
    <s v="FREESHIP"/>
    <x v="0"/>
    <n v="0"/>
    <x v="0"/>
    <x v="1160"/>
    <s v="Cust 3421"/>
    <n v="29.6"/>
    <d v="2024-01-15T00:00:00"/>
    <d v="2024-01-19T00:00:00"/>
    <s v="Cameron"/>
    <n v="4"/>
  </r>
  <r>
    <d v="2024-08-08T00:00:00"/>
    <x v="10"/>
    <x v="1"/>
    <x v="29"/>
    <x v="3"/>
    <x v="2"/>
    <n v="14"/>
    <n v="115.77"/>
    <s v="Store B"/>
    <x v="0"/>
    <n v="0.15"/>
    <x v="2"/>
    <n v="1377.663"/>
    <n v="972.46799999999985"/>
    <n v="385.07500000000016"/>
    <n v="0.2795132046080937"/>
    <n v="1377.663"/>
    <s v="Credit Card"/>
    <s v="SAVE10"/>
    <x v="0"/>
    <n v="1"/>
    <x v="1"/>
    <x v="1161"/>
    <s v="Cust 1690"/>
    <n v="20.12"/>
    <d v="2024-08-08T00:00:00"/>
    <d v="2024-08-11T00:00:00"/>
    <s v="Cameron"/>
    <n v="3"/>
  </r>
  <r>
    <d v="2024-10-05T00:00:00"/>
    <x v="5"/>
    <x v="1"/>
    <x v="7"/>
    <x v="4"/>
    <x v="1"/>
    <n v="12"/>
    <n v="535.41"/>
    <s v="Store C"/>
    <x v="1"/>
    <n v="0.1"/>
    <x v="2"/>
    <n v="5782.4279999999999"/>
    <n v="3854.9519999999998"/>
    <n v="1899.6560000000002"/>
    <n v="0.32852220555102463"/>
    <n v="5782.4279999999999"/>
    <s v="Gift Card"/>
    <m/>
    <x v="1"/>
    <n v="0"/>
    <x v="0"/>
    <x v="1162"/>
    <s v="Cust 2507"/>
    <n v="27.82"/>
    <d v="2024-10-05T00:00:00"/>
    <d v="2024-10-07T00:00:00"/>
    <s v="Wendy"/>
    <n v="2"/>
  </r>
  <r>
    <d v="2024-01-13T00:00:00"/>
    <x v="4"/>
    <x v="1"/>
    <x v="24"/>
    <x v="1"/>
    <x v="2"/>
    <n v="12"/>
    <n v="103.59"/>
    <s v="Store A"/>
    <x v="1"/>
    <n v="0.1"/>
    <x v="2"/>
    <n v="1118.7719999999999"/>
    <n v="745.84799999999996"/>
    <n v="324.81399999999996"/>
    <n v="0.2903308270139045"/>
    <n v="1118.7719999999999"/>
    <s v="Debit Card"/>
    <s v="FREESHIP"/>
    <x v="0"/>
    <n v="0"/>
    <x v="0"/>
    <x v="1163"/>
    <s v="Cust 9880"/>
    <n v="48.11"/>
    <d v="2024-01-13T00:00:00"/>
    <d v="2024-01-21T00:00:00"/>
    <s v="Sophie"/>
    <n v="8"/>
  </r>
  <r>
    <d v="2023-03-29T00:00:00"/>
    <x v="6"/>
    <x v="0"/>
    <x v="17"/>
    <x v="4"/>
    <x v="0"/>
    <n v="18"/>
    <n v="176.32"/>
    <s v="Store B"/>
    <x v="0"/>
    <n v="0.05"/>
    <x v="4"/>
    <n v="3015.0719999999997"/>
    <n v="1904.2559999999999"/>
    <n v="1074.4659999999999"/>
    <n v="0.35636495579541716"/>
    <n v="3015.0720000000001"/>
    <s v="Debit Card"/>
    <m/>
    <x v="1"/>
    <n v="0"/>
    <x v="0"/>
    <x v="1164"/>
    <s v="Cust 3972"/>
    <n v="36.35"/>
    <d v="2023-03-29T00:00:00"/>
    <d v="2023-04-04T00:00:00"/>
    <s v="Wendy"/>
    <n v="6"/>
  </r>
  <r>
    <d v="2023-10-19T00:00:00"/>
    <x v="5"/>
    <x v="0"/>
    <x v="19"/>
    <x v="2"/>
    <x v="6"/>
    <n v="5"/>
    <n v="112.44"/>
    <s v="Store D"/>
    <x v="1"/>
    <n v="0.1"/>
    <x v="5"/>
    <n v="505.98000000000008"/>
    <n v="337.32"/>
    <n v="161.20000000000007"/>
    <n v="0.3185896675757936"/>
    <n v="505.98000000000008"/>
    <s v="Credit Card"/>
    <m/>
    <x v="1"/>
    <n v="1"/>
    <x v="1"/>
    <x v="1165"/>
    <s v="Cust 8280"/>
    <n v="7.46"/>
    <d v="2023-10-19T00:00:00"/>
    <d v="2023-10-23T00:00:00"/>
    <s v="Ryan"/>
    <n v="4"/>
  </r>
  <r>
    <d v="2023-10-23T00:00:00"/>
    <x v="5"/>
    <x v="0"/>
    <x v="19"/>
    <x v="4"/>
    <x v="3"/>
    <n v="20"/>
    <n v="19.3"/>
    <s v="Store C"/>
    <x v="0"/>
    <n v="0"/>
    <x v="5"/>
    <n v="386"/>
    <n v="231.6"/>
    <n v="107.17000000000002"/>
    <n v="0.27764248704663219"/>
    <n v="386"/>
    <s v="Debit Card"/>
    <s v="SAVE10"/>
    <x v="0"/>
    <n v="0"/>
    <x v="0"/>
    <x v="1166"/>
    <s v="Cust 4205"/>
    <n v="47.23"/>
    <d v="2023-10-23T00:00:00"/>
    <d v="2023-11-01T00:00:00"/>
    <s v="Wendy"/>
    <n v="9"/>
  </r>
  <r>
    <d v="2023-03-24T00:00:00"/>
    <x v="6"/>
    <x v="0"/>
    <x v="17"/>
    <x v="1"/>
    <x v="1"/>
    <n v="9"/>
    <n v="233.11"/>
    <s v="Store B"/>
    <x v="1"/>
    <n v="0.05"/>
    <x v="0"/>
    <n v="1993.0905"/>
    <n v="1258.7940000000001"/>
    <n v="702.86649999999997"/>
    <n v="0.35265157302189737"/>
    <n v="1993.0905"/>
    <s v="Debit Card"/>
    <s v="WINTER15"/>
    <x v="0"/>
    <n v="0"/>
    <x v="0"/>
    <x v="1167"/>
    <s v="Cust 2579"/>
    <n v="31.43"/>
    <d v="2023-03-24T00:00:00"/>
    <d v="2023-03-28T00:00:00"/>
    <s v="Sophie"/>
    <n v="4"/>
  </r>
  <r>
    <d v="2024-08-09T00:00:00"/>
    <x v="10"/>
    <x v="1"/>
    <x v="29"/>
    <x v="4"/>
    <x v="6"/>
    <n v="17"/>
    <n v="66.48"/>
    <s v="Store C"/>
    <x v="0"/>
    <n v="0.15"/>
    <x v="0"/>
    <n v="960.63600000000008"/>
    <n v="678.096"/>
    <n v="271.75000000000006"/>
    <n v="0.2828855050195912"/>
    <n v="960.63600000000008"/>
    <s v="Gift Card"/>
    <s v="WINTER15"/>
    <x v="0"/>
    <n v="1"/>
    <x v="1"/>
    <x v="1168"/>
    <s v="Cust 7265"/>
    <n v="10.79"/>
    <d v="2024-08-09T00:00:00"/>
    <d v="2024-08-14T00:00:00"/>
    <s v="Wendy"/>
    <n v="5"/>
  </r>
  <r>
    <d v="2023-04-26T00:00:00"/>
    <x v="7"/>
    <x v="0"/>
    <x v="21"/>
    <x v="1"/>
    <x v="0"/>
    <n v="17"/>
    <n v="504.63"/>
    <s v="Store A"/>
    <x v="0"/>
    <n v="0.1"/>
    <x v="3"/>
    <n v="7720.838999999999"/>
    <n v="5147.2259999999997"/>
    <n v="2525.2829999999994"/>
    <n v="0.32707365093353191"/>
    <n v="7720.838999999999"/>
    <s v="Online"/>
    <s v="WINTER15"/>
    <x v="0"/>
    <n v="1"/>
    <x v="1"/>
    <x v="1169"/>
    <s v="Cust 1199"/>
    <n v="48.33"/>
    <d v="2023-04-26T00:00:00"/>
    <d v="2023-05-06T00:00:00"/>
    <s v="Sophie"/>
    <n v="10"/>
  </r>
  <r>
    <d v="2024-03-04T00:00:00"/>
    <x v="6"/>
    <x v="1"/>
    <x v="25"/>
    <x v="4"/>
    <x v="5"/>
    <n v="11"/>
    <n v="97.84"/>
    <s v="Store B"/>
    <x v="1"/>
    <n v="0.05"/>
    <x v="1"/>
    <n v="1022.428"/>
    <n v="645.74400000000003"/>
    <n v="330.71399999999994"/>
    <n v="0.32345945142347426"/>
    <n v="1022.428"/>
    <s v="Debit Card"/>
    <s v="SAVE10"/>
    <x v="0"/>
    <n v="1"/>
    <x v="1"/>
    <x v="1170"/>
    <s v="Cust 2928"/>
    <n v="45.97"/>
    <d v="2024-03-04T00:00:00"/>
    <d v="2024-03-12T00:00:00"/>
    <s v="Wendy"/>
    <n v="8"/>
  </r>
  <r>
    <d v="2023-02-14T00:00:00"/>
    <x v="0"/>
    <x v="0"/>
    <x v="0"/>
    <x v="0"/>
    <x v="5"/>
    <n v="7"/>
    <n v="468.14"/>
    <s v="Store A"/>
    <x v="1"/>
    <n v="0.15"/>
    <x v="5"/>
    <n v="2785.433"/>
    <n v="1966.1879999999996"/>
    <n v="771.6850000000004"/>
    <n v="0.27704310245480701"/>
    <n v="2785.433"/>
    <s v="Cash"/>
    <s v="SAVE10"/>
    <x v="0"/>
    <n v="0"/>
    <x v="0"/>
    <x v="1171"/>
    <s v="Cust 9447"/>
    <n v="47.56"/>
    <d v="2023-02-14T00:00:00"/>
    <d v="2023-02-17T00:00:00"/>
    <s v="Eric"/>
    <n v="3"/>
  </r>
  <r>
    <d v="2023-04-28T00:00:00"/>
    <x v="7"/>
    <x v="0"/>
    <x v="21"/>
    <x v="4"/>
    <x v="5"/>
    <n v="20"/>
    <n v="476.69"/>
    <s v="Store B"/>
    <x v="0"/>
    <n v="0.05"/>
    <x v="5"/>
    <n v="9057.1099999999988"/>
    <n v="5720.2800000000007"/>
    <n v="3326.6299999999983"/>
    <n v="0.36729486558074248"/>
    <n v="9057.1099999999988"/>
    <s v="Online"/>
    <s v="WINTER15"/>
    <x v="0"/>
    <n v="0"/>
    <x v="0"/>
    <x v="1172"/>
    <s v="Cust 9095"/>
    <n v="10.199999999999999"/>
    <d v="2023-04-28T00:00:00"/>
    <d v="2023-05-03T00:00:00"/>
    <s v="Wendy"/>
    <n v="5"/>
  </r>
  <r>
    <d v="2024-03-03T00:00:00"/>
    <x v="6"/>
    <x v="1"/>
    <x v="25"/>
    <x v="2"/>
    <x v="1"/>
    <n v="2"/>
    <n v="160.72999999999999"/>
    <s v="Store A"/>
    <x v="0"/>
    <n v="0.15"/>
    <x v="2"/>
    <n v="273.24099999999999"/>
    <n v="192.87599999999998"/>
    <n v="60.185000000000009"/>
    <n v="0.22026343045150623"/>
    <n v="273.24099999999999"/>
    <s v="Cash"/>
    <s v="FREESHIP"/>
    <x v="0"/>
    <n v="0"/>
    <x v="0"/>
    <x v="1173"/>
    <s v="Cust 7587"/>
    <n v="20.18"/>
    <d v="2024-03-03T00:00:00"/>
    <d v="2024-03-11T00:00:00"/>
    <s v="Ryan"/>
    <n v="8"/>
  </r>
  <r>
    <d v="2024-09-04T00:00:00"/>
    <x v="11"/>
    <x v="1"/>
    <x v="26"/>
    <x v="4"/>
    <x v="5"/>
    <n v="9"/>
    <n v="228.98"/>
    <s v="Store D"/>
    <x v="1"/>
    <n v="0.15"/>
    <x v="2"/>
    <n v="1751.6969999999997"/>
    <n v="1236.4919999999997"/>
    <n v="469.41499999999991"/>
    <n v="0.26797728145906513"/>
    <n v="1751.6969999999999"/>
    <s v="Online"/>
    <s v="WINTER15"/>
    <x v="0"/>
    <n v="0"/>
    <x v="0"/>
    <x v="1174"/>
    <s v="Cust 2611"/>
    <n v="45.79"/>
    <d v="2024-09-04T00:00:00"/>
    <d v="2024-09-08T00:00:00"/>
    <s v="Wendy"/>
    <n v="4"/>
  </r>
  <r>
    <d v="2024-12-30T00:00:00"/>
    <x v="1"/>
    <x v="1"/>
    <x v="1"/>
    <x v="0"/>
    <x v="5"/>
    <n v="19"/>
    <n v="336.5"/>
    <s v="Store B"/>
    <x v="0"/>
    <n v="0"/>
    <x v="1"/>
    <n v="6393.5"/>
    <n v="3836.1"/>
    <n v="2529.9700000000003"/>
    <n v="0.39570970516931264"/>
    <n v="6393.5"/>
    <s v="Online"/>
    <s v="WINTER15"/>
    <x v="0"/>
    <n v="0"/>
    <x v="0"/>
    <x v="1175"/>
    <s v="Cust 8284"/>
    <n v="27.43"/>
    <d v="2024-12-30T00:00:00"/>
    <d v="2025-01-07T00:00:00"/>
    <s v="Eric"/>
    <n v="8"/>
  </r>
  <r>
    <d v="2024-02-10T00:00:00"/>
    <x v="0"/>
    <x v="1"/>
    <x v="5"/>
    <x v="0"/>
    <x v="6"/>
    <n v="18"/>
    <n v="411.59"/>
    <s v="Store A"/>
    <x v="0"/>
    <n v="0"/>
    <x v="5"/>
    <n v="7408.62"/>
    <n v="4445.1719999999996"/>
    <n v="2953.8280000000004"/>
    <n v="0.39870151256239361"/>
    <n v="7408.62"/>
    <s v="Credit Card"/>
    <s v="WINTER15"/>
    <x v="0"/>
    <n v="0"/>
    <x v="0"/>
    <x v="1176"/>
    <s v="Cust 8154"/>
    <n v="9.6199999999999992"/>
    <d v="2024-02-10T00:00:00"/>
    <d v="2024-02-16T00:00:00"/>
    <s v="Eric"/>
    <n v="6"/>
  </r>
  <r>
    <d v="2023-09-07T00:00:00"/>
    <x v="11"/>
    <x v="0"/>
    <x v="22"/>
    <x v="3"/>
    <x v="6"/>
    <n v="1"/>
    <n v="431.49"/>
    <s v="Store C"/>
    <x v="0"/>
    <n v="0.15"/>
    <x v="1"/>
    <n v="366.76650000000001"/>
    <n v="258.89400000000001"/>
    <n v="90.342500000000001"/>
    <n v="0.24632156971806313"/>
    <n v="366.76650000000001"/>
    <s v="Cash"/>
    <s v="SAVE10"/>
    <x v="0"/>
    <n v="0"/>
    <x v="0"/>
    <x v="1177"/>
    <s v="Cust 5215"/>
    <n v="17.53"/>
    <d v="2023-09-07T00:00:00"/>
    <d v="2023-09-15T00:00:00"/>
    <s v="Cameron"/>
    <n v="8"/>
  </r>
  <r>
    <d v="2023-08-11T00:00:00"/>
    <x v="10"/>
    <x v="0"/>
    <x v="18"/>
    <x v="0"/>
    <x v="0"/>
    <n v="18"/>
    <n v="495.39"/>
    <s v="Store A"/>
    <x v="0"/>
    <n v="0"/>
    <x v="3"/>
    <n v="8917.02"/>
    <n v="5350.2119999999995"/>
    <n v="3551.9280000000008"/>
    <n v="0.39833128107820781"/>
    <n v="8917.02"/>
    <s v="Gift Card"/>
    <s v="SAVE10"/>
    <x v="0"/>
    <n v="0"/>
    <x v="0"/>
    <x v="1178"/>
    <s v="Cust 5309"/>
    <n v="14.88"/>
    <d v="2023-08-11T00:00:00"/>
    <d v="2023-08-15T00:00:00"/>
    <s v="Eric"/>
    <n v="4"/>
  </r>
  <r>
    <d v="2023-03-12T00:00:00"/>
    <x v="6"/>
    <x v="0"/>
    <x v="17"/>
    <x v="4"/>
    <x v="1"/>
    <n v="4"/>
    <n v="149.30000000000001"/>
    <s v="Store A"/>
    <x v="0"/>
    <n v="0.1"/>
    <x v="4"/>
    <n v="537.48"/>
    <n v="358.32"/>
    <n v="131.32000000000002"/>
    <n v="0.24432537024633477"/>
    <n v="537.48"/>
    <s v="Debit Card"/>
    <s v="FREESHIP"/>
    <x v="0"/>
    <n v="0"/>
    <x v="0"/>
    <x v="1179"/>
    <s v="Cust 2016"/>
    <n v="47.84"/>
    <d v="2023-03-12T00:00:00"/>
    <d v="2023-03-16T00:00:00"/>
    <s v="Wendy"/>
    <n v="4"/>
  </r>
  <r>
    <d v="2023-03-29T00:00:00"/>
    <x v="6"/>
    <x v="0"/>
    <x v="17"/>
    <x v="3"/>
    <x v="2"/>
    <n v="18"/>
    <n v="179.97"/>
    <s v="Store C"/>
    <x v="0"/>
    <n v="0.1"/>
    <x v="0"/>
    <n v="2915.5140000000001"/>
    <n v="1943.6759999999999"/>
    <n v="949.68800000000022"/>
    <n v="0.32573604517076582"/>
    <n v="2915.5140000000001"/>
    <s v="Cash"/>
    <s v="SAVE10"/>
    <x v="0"/>
    <n v="0"/>
    <x v="0"/>
    <x v="1180"/>
    <s v="Cust 2676"/>
    <n v="22.15"/>
    <d v="2023-03-29T00:00:00"/>
    <d v="2023-03-31T00:00:00"/>
    <s v="Cameron"/>
    <n v="2"/>
  </r>
  <r>
    <d v="2025-02-17T00:00:00"/>
    <x v="0"/>
    <x v="2"/>
    <x v="3"/>
    <x v="1"/>
    <x v="3"/>
    <n v="11"/>
    <n v="381.14"/>
    <s v="Store B"/>
    <x v="1"/>
    <n v="0.05"/>
    <x v="2"/>
    <n v="3982.9129999999996"/>
    <n v="2515.5239999999999"/>
    <n v="1434.5589999999997"/>
    <n v="0.36017834183171965"/>
    <n v="3982.913"/>
    <s v="Gift Card"/>
    <s v="FREESHIP"/>
    <x v="0"/>
    <n v="0"/>
    <x v="0"/>
    <x v="1181"/>
    <s v="Cust 7529"/>
    <n v="32.83"/>
    <d v="2025-02-17T00:00:00"/>
    <d v="2025-02-27T00:00:00"/>
    <s v="Sophie"/>
    <n v="10"/>
  </r>
  <r>
    <d v="2024-01-07T00:00:00"/>
    <x v="4"/>
    <x v="1"/>
    <x v="24"/>
    <x v="2"/>
    <x v="3"/>
    <n v="5"/>
    <n v="454.62"/>
    <s v="Store C"/>
    <x v="0"/>
    <n v="0.05"/>
    <x v="4"/>
    <n v="2159.4449999999997"/>
    <n v="1363.86"/>
    <n v="785.39499999999975"/>
    <n v="0.36370224756824082"/>
    <n v="2159.4450000000002"/>
    <s v="Gift Card"/>
    <m/>
    <x v="1"/>
    <n v="0"/>
    <x v="0"/>
    <x v="1182"/>
    <s v="Cust 6172"/>
    <n v="10.19"/>
    <d v="2024-01-07T00:00:00"/>
    <d v="2024-01-15T00:00:00"/>
    <s v="Ryan"/>
    <n v="8"/>
  </r>
  <r>
    <d v="2023-01-14T00:00:00"/>
    <x v="4"/>
    <x v="0"/>
    <x v="6"/>
    <x v="0"/>
    <x v="1"/>
    <n v="17"/>
    <n v="226.56"/>
    <s v="Store A"/>
    <x v="0"/>
    <n v="0.1"/>
    <x v="4"/>
    <n v="3466.3679999999999"/>
    <n v="2310.9120000000003"/>
    <n v="1118.5659999999996"/>
    <n v="0.32269107030759564"/>
    <n v="3466.3679999999999"/>
    <s v="Gift Card"/>
    <s v="WINTER15"/>
    <x v="0"/>
    <n v="1"/>
    <x v="1"/>
    <x v="1183"/>
    <s v="Cust 2527"/>
    <n v="36.89"/>
    <d v="2023-01-14T00:00:00"/>
    <d v="2023-01-20T00:00:00"/>
    <s v="Eric"/>
    <n v="6"/>
  </r>
  <r>
    <d v="2024-01-03T00:00:00"/>
    <x v="4"/>
    <x v="1"/>
    <x v="24"/>
    <x v="4"/>
    <x v="0"/>
    <n v="2"/>
    <n v="132.91"/>
    <s v="Store A"/>
    <x v="0"/>
    <n v="0"/>
    <x v="5"/>
    <n v="265.82"/>
    <n v="159.49199999999999"/>
    <n v="98.567999999999998"/>
    <n v="0.3708073132194718"/>
    <n v="265.82"/>
    <s v="Debit Card"/>
    <s v="WINTER15"/>
    <x v="0"/>
    <n v="0"/>
    <x v="0"/>
    <x v="1184"/>
    <s v="Cust 1970"/>
    <n v="7.76"/>
    <d v="2024-01-03T00:00:00"/>
    <d v="2024-01-12T00:00:00"/>
    <s v="Wendy"/>
    <n v="9"/>
  </r>
  <r>
    <d v="2023-08-25T00:00:00"/>
    <x v="10"/>
    <x v="0"/>
    <x v="18"/>
    <x v="1"/>
    <x v="2"/>
    <n v="2"/>
    <n v="35.69"/>
    <s v="Store C"/>
    <x v="1"/>
    <n v="0"/>
    <x v="0"/>
    <n v="71.38"/>
    <n v="42.827999999999996"/>
    <n v="-11.338000000000001"/>
    <n v="-0.1588400112076212"/>
    <n v="71.38"/>
    <s v="Debit Card"/>
    <s v="FREESHIP"/>
    <x v="0"/>
    <n v="0"/>
    <x v="0"/>
    <x v="1185"/>
    <s v="Cust 9543"/>
    <n v="39.89"/>
    <d v="2023-08-25T00:00:00"/>
    <d v="2023-08-28T00:00:00"/>
    <s v="Sophie"/>
    <n v="3"/>
  </r>
  <r>
    <d v="2025-05-16T00:00:00"/>
    <x v="2"/>
    <x v="2"/>
    <x v="13"/>
    <x v="2"/>
    <x v="2"/>
    <n v="6"/>
    <n v="451.93"/>
    <s v="Store A"/>
    <x v="0"/>
    <n v="0.15"/>
    <x v="0"/>
    <n v="2304.8429999999998"/>
    <n v="1626.9480000000001"/>
    <n v="628.52499999999975"/>
    <n v="0.27269753297730032"/>
    <n v="2304.8429999999998"/>
    <s v="Cash"/>
    <s v="WINTER15"/>
    <x v="0"/>
    <n v="1"/>
    <x v="1"/>
    <x v="1186"/>
    <s v="Cust 2957"/>
    <n v="49.37"/>
    <d v="2025-05-16T00:00:00"/>
    <d v="2025-05-25T00:00:00"/>
    <s v="Ryan"/>
    <n v="9"/>
  </r>
  <r>
    <d v="2023-12-30T00:00:00"/>
    <x v="1"/>
    <x v="0"/>
    <x v="27"/>
    <x v="1"/>
    <x v="0"/>
    <n v="7"/>
    <n v="270.47000000000003"/>
    <s v="Store D"/>
    <x v="0"/>
    <n v="0.05"/>
    <x v="4"/>
    <n v="1798.6255000000001"/>
    <n v="1135.9740000000002"/>
    <n v="621.0915"/>
    <n v="0.34531451933712715"/>
    <n v="1798.6255000000001"/>
    <s v="Credit Card"/>
    <s v="WINTER15"/>
    <x v="0"/>
    <n v="1"/>
    <x v="1"/>
    <x v="1187"/>
    <s v="Cust 2852"/>
    <n v="41.56"/>
    <d v="2023-12-30T00:00:00"/>
    <d v="2024-01-03T00:00:00"/>
    <s v="Sophie"/>
    <n v="4"/>
  </r>
  <r>
    <d v="2024-10-06T00:00:00"/>
    <x v="5"/>
    <x v="1"/>
    <x v="7"/>
    <x v="1"/>
    <x v="1"/>
    <n v="13"/>
    <n v="55.46"/>
    <s v="Store A"/>
    <x v="1"/>
    <n v="0.05"/>
    <x v="5"/>
    <n v="684.93100000000004"/>
    <n v="432.58799999999997"/>
    <n v="234.33300000000008"/>
    <n v="0.34212643317356067"/>
    <n v="684.93100000000004"/>
    <s v="Credit Card"/>
    <s v="FREESHIP"/>
    <x v="0"/>
    <n v="1"/>
    <x v="1"/>
    <x v="1188"/>
    <s v="Cust 6365"/>
    <n v="18.010000000000002"/>
    <d v="2024-10-06T00:00:00"/>
    <d v="2024-10-09T00:00:00"/>
    <s v="Sophie"/>
    <n v="3"/>
  </r>
  <r>
    <d v="2023-03-12T00:00:00"/>
    <x v="6"/>
    <x v="0"/>
    <x v="17"/>
    <x v="3"/>
    <x v="5"/>
    <n v="17"/>
    <n v="515.12"/>
    <s v="Store D"/>
    <x v="0"/>
    <n v="0.15"/>
    <x v="5"/>
    <n v="7443.4840000000004"/>
    <n v="5254.2240000000002"/>
    <n v="2156.5200000000004"/>
    <n v="0.28971916914176216"/>
    <n v="7443.4840000000004"/>
    <s v="Credit Card"/>
    <s v="SAVE10"/>
    <x v="0"/>
    <n v="1"/>
    <x v="1"/>
    <x v="1189"/>
    <s v="Cust 9159"/>
    <n v="32.74"/>
    <d v="2023-03-12T00:00:00"/>
    <d v="2023-03-22T00:00:00"/>
    <s v="Cameron"/>
    <n v="10"/>
  </r>
  <r>
    <d v="2024-04-06T00:00:00"/>
    <x v="7"/>
    <x v="1"/>
    <x v="9"/>
    <x v="2"/>
    <x v="1"/>
    <n v="1"/>
    <n v="256.63"/>
    <s v="Store D"/>
    <x v="0"/>
    <n v="0"/>
    <x v="3"/>
    <n v="256.63"/>
    <n v="153.97799999999998"/>
    <n v="89.682000000000016"/>
    <n v="0.34946031251217713"/>
    <n v="256.63"/>
    <s v="Gift Card"/>
    <s v="FREESHIP"/>
    <x v="0"/>
    <n v="0"/>
    <x v="0"/>
    <x v="1190"/>
    <s v="Cust 3252"/>
    <n v="12.97"/>
    <d v="2024-04-06T00:00:00"/>
    <d v="2024-04-08T00:00:00"/>
    <s v="Ryan"/>
    <n v="2"/>
  </r>
  <r>
    <d v="2023-01-20T00:00:00"/>
    <x v="4"/>
    <x v="0"/>
    <x v="6"/>
    <x v="2"/>
    <x v="5"/>
    <n v="4"/>
    <n v="423.99"/>
    <s v="Store B"/>
    <x v="1"/>
    <n v="0.05"/>
    <x v="2"/>
    <n v="1611.162"/>
    <n v="1017.576"/>
    <n v="573.53600000000006"/>
    <n v="0.35597661811785536"/>
    <n v="1611.162"/>
    <s v="Online"/>
    <s v="FREESHIP"/>
    <x v="0"/>
    <n v="0"/>
    <x v="0"/>
    <x v="1191"/>
    <s v="Cust 8679"/>
    <n v="20.05"/>
    <d v="2023-01-20T00:00:00"/>
    <d v="2023-01-25T00:00:00"/>
    <s v="Ryan"/>
    <n v="5"/>
  </r>
  <r>
    <d v="2024-07-08T00:00:00"/>
    <x v="8"/>
    <x v="1"/>
    <x v="10"/>
    <x v="4"/>
    <x v="0"/>
    <n v="15"/>
    <n v="77.89"/>
    <s v="Store B"/>
    <x v="0"/>
    <n v="0.05"/>
    <x v="4"/>
    <n v="1109.9324999999999"/>
    <n v="701.01"/>
    <n v="388.0524999999999"/>
    <n v="0.34961810740743238"/>
    <n v="1109.9324999999999"/>
    <s v="Credit Card"/>
    <m/>
    <x v="1"/>
    <n v="0"/>
    <x v="0"/>
    <x v="1192"/>
    <s v="Cust 5547"/>
    <n v="20.87"/>
    <d v="2024-07-08T00:00:00"/>
    <d v="2024-07-12T00:00:00"/>
    <s v="Wendy"/>
    <n v="4"/>
  </r>
  <r>
    <d v="2023-10-06T00:00:00"/>
    <x v="5"/>
    <x v="0"/>
    <x v="19"/>
    <x v="2"/>
    <x v="1"/>
    <n v="12"/>
    <n v="11.95"/>
    <s v="Store A"/>
    <x v="1"/>
    <n v="0.05"/>
    <x v="3"/>
    <n v="136.22999999999996"/>
    <n v="86.039999999999992"/>
    <n v="23.529999999999969"/>
    <n v="0.17272260148278629"/>
    <n v="136.22999999999999"/>
    <s v="Online"/>
    <m/>
    <x v="1"/>
    <n v="0"/>
    <x v="0"/>
    <x v="1193"/>
    <s v="Cust 9438"/>
    <n v="26.66"/>
    <d v="2023-10-06T00:00:00"/>
    <d v="2023-10-16T00:00:00"/>
    <s v="Ryan"/>
    <n v="10"/>
  </r>
  <r>
    <d v="2023-09-11T00:00:00"/>
    <x v="11"/>
    <x v="0"/>
    <x v="22"/>
    <x v="0"/>
    <x v="2"/>
    <n v="7"/>
    <n v="67.05"/>
    <s v="Store D"/>
    <x v="0"/>
    <n v="0.1"/>
    <x v="3"/>
    <n v="422.41499999999996"/>
    <n v="281.60999999999996"/>
    <n v="104.13500000000001"/>
    <n v="0.24652296911804744"/>
    <n v="422.41500000000002"/>
    <s v="Cash"/>
    <s v="FREESHIP"/>
    <x v="0"/>
    <n v="0"/>
    <x v="0"/>
    <x v="1194"/>
    <s v="Cust 9092"/>
    <n v="36.67"/>
    <d v="2023-09-11T00:00:00"/>
    <d v="2023-09-18T00:00:00"/>
    <s v="Eric"/>
    <n v="7"/>
  </r>
  <r>
    <d v="2023-09-14T00:00:00"/>
    <x v="11"/>
    <x v="0"/>
    <x v="22"/>
    <x v="2"/>
    <x v="1"/>
    <n v="19"/>
    <n v="118.15"/>
    <s v="Store C"/>
    <x v="1"/>
    <n v="0.15"/>
    <x v="2"/>
    <n v="1908.1224999999999"/>
    <n v="1346.91"/>
    <n v="548.26249999999982"/>
    <n v="0.28733087105256599"/>
    <n v="1908.1224999999999"/>
    <s v="Cash"/>
    <s v="SAVE10"/>
    <x v="0"/>
    <n v="0"/>
    <x v="0"/>
    <x v="1195"/>
    <s v="Cust 7007"/>
    <n v="12.95"/>
    <d v="2023-09-14T00:00:00"/>
    <d v="2023-09-19T00:00:00"/>
    <s v="Ryan"/>
    <n v="5"/>
  </r>
  <r>
    <d v="2023-11-06T00:00:00"/>
    <x v="9"/>
    <x v="0"/>
    <x v="15"/>
    <x v="2"/>
    <x v="6"/>
    <n v="16"/>
    <n v="114.47"/>
    <s v="Store B"/>
    <x v="0"/>
    <n v="0.15"/>
    <x v="3"/>
    <n v="1556.7919999999999"/>
    <n v="1098.912"/>
    <n v="414.02999999999986"/>
    <n v="0.26595075000385399"/>
    <n v="1556.7919999999999"/>
    <s v="Online"/>
    <m/>
    <x v="1"/>
    <n v="0"/>
    <x v="0"/>
    <x v="1196"/>
    <s v="Cust 3001"/>
    <n v="43.85"/>
    <d v="2023-11-06T00:00:00"/>
    <d v="2023-11-11T00:00:00"/>
    <s v="Ryan"/>
    <n v="5"/>
  </r>
  <r>
    <d v="2024-06-23T00:00:00"/>
    <x v="3"/>
    <x v="1"/>
    <x v="23"/>
    <x v="2"/>
    <x v="4"/>
    <n v="9"/>
    <n v="36.21"/>
    <s v="Store C"/>
    <x v="0"/>
    <n v="0.15"/>
    <x v="5"/>
    <n v="277.00649999999996"/>
    <n v="195.53399999999999"/>
    <n v="74.762499999999974"/>
    <n v="0.26989438875983052"/>
    <n v="277.00650000000002"/>
    <s v="Credit Card"/>
    <s v="FREESHIP"/>
    <x v="0"/>
    <n v="0"/>
    <x v="0"/>
    <x v="1197"/>
    <s v="Cust 5771"/>
    <n v="6.71"/>
    <d v="2024-06-23T00:00:00"/>
    <d v="2024-06-30T00:00:00"/>
    <s v="Ryan"/>
    <n v="7"/>
  </r>
  <r>
    <d v="2023-03-30T00:00:00"/>
    <x v="6"/>
    <x v="0"/>
    <x v="17"/>
    <x v="4"/>
    <x v="6"/>
    <n v="10"/>
    <n v="52.58"/>
    <s v="Store B"/>
    <x v="0"/>
    <n v="0.1"/>
    <x v="0"/>
    <n v="473.21999999999997"/>
    <n v="315.47999999999996"/>
    <n v="143.73000000000002"/>
    <n v="0.30372765310003808"/>
    <n v="473.22"/>
    <s v="Cash"/>
    <s v="WINTER15"/>
    <x v="0"/>
    <n v="0"/>
    <x v="0"/>
    <x v="1198"/>
    <s v="Cust 4317"/>
    <n v="14.01"/>
    <d v="2023-03-30T00:00:00"/>
    <d v="2023-04-09T00:00:00"/>
    <s v="Wendy"/>
    <n v="10"/>
  </r>
  <r>
    <d v="2024-10-05T00:00:00"/>
    <x v="5"/>
    <x v="1"/>
    <x v="7"/>
    <x v="0"/>
    <x v="1"/>
    <n v="6"/>
    <n v="272.26"/>
    <s v="Store A"/>
    <x v="1"/>
    <n v="0.1"/>
    <x v="3"/>
    <n v="1470.204"/>
    <n v="980.13599999999997"/>
    <n v="446.39799999999997"/>
    <n v="0.30362997243919893"/>
    <n v="1470.204"/>
    <s v="Debit Card"/>
    <s v="SAVE10"/>
    <x v="0"/>
    <n v="0"/>
    <x v="0"/>
    <x v="1199"/>
    <s v="Cust 3627"/>
    <n v="43.67"/>
    <d v="2024-10-05T00:00:00"/>
    <d v="2024-10-15T00:00:00"/>
    <s v="Eric"/>
    <n v="10"/>
  </r>
  <r>
    <d v="2023-03-19T00:00:00"/>
    <x v="6"/>
    <x v="0"/>
    <x v="17"/>
    <x v="3"/>
    <x v="3"/>
    <n v="10"/>
    <n v="124.97"/>
    <s v="Store D"/>
    <x v="1"/>
    <n v="0.15"/>
    <x v="0"/>
    <n v="1062.2450000000001"/>
    <n v="749.81999999999994"/>
    <n v="272.19500000000016"/>
    <n v="0.25624502821853729"/>
    <n v="1062.2449999999999"/>
    <s v="Gift Card"/>
    <s v="WINTER15"/>
    <x v="0"/>
    <n v="1"/>
    <x v="1"/>
    <x v="1200"/>
    <s v="Cust 4433"/>
    <n v="40.229999999999997"/>
    <d v="2023-03-19T00:00:00"/>
    <d v="2023-03-29T00:00:00"/>
    <s v="Cameron"/>
    <n v="10"/>
  </r>
  <r>
    <d v="2025-03-17T00:00:00"/>
    <x v="6"/>
    <x v="2"/>
    <x v="8"/>
    <x v="2"/>
    <x v="1"/>
    <n v="9"/>
    <n v="228.62"/>
    <s v="Store C"/>
    <x v="1"/>
    <n v="0.05"/>
    <x v="0"/>
    <n v="1954.7009999999998"/>
    <n v="1234.548"/>
    <n v="688.72299999999984"/>
    <n v="0.35234186711931897"/>
    <n v="1954.701"/>
    <s v="Gift Card"/>
    <s v="SAVE10"/>
    <x v="0"/>
    <n v="0"/>
    <x v="0"/>
    <x v="1201"/>
    <s v="Cust 6231"/>
    <n v="31.43"/>
    <d v="2025-03-17T00:00:00"/>
    <d v="2025-03-21T00:00:00"/>
    <s v="Ryan"/>
    <n v="4"/>
  </r>
  <r>
    <d v="2024-12-18T00:00:00"/>
    <x v="1"/>
    <x v="1"/>
    <x v="1"/>
    <x v="3"/>
    <x v="0"/>
    <n v="20"/>
    <n v="282.91000000000003"/>
    <s v="Store A"/>
    <x v="0"/>
    <n v="0.15"/>
    <x v="2"/>
    <n v="4809.47"/>
    <n v="3394.92"/>
    <n v="1406.3600000000001"/>
    <n v="0.29241475671955541"/>
    <n v="4809.47"/>
    <s v="Debit Card"/>
    <s v="FREESHIP"/>
    <x v="0"/>
    <n v="0"/>
    <x v="0"/>
    <x v="1202"/>
    <s v="Cust 8987"/>
    <n v="8.19"/>
    <d v="2024-12-18T00:00:00"/>
    <d v="2024-12-28T00:00:00"/>
    <s v="Cameron"/>
    <n v="10"/>
  </r>
  <r>
    <d v="2025-01-06T00:00:00"/>
    <x v="4"/>
    <x v="2"/>
    <x v="12"/>
    <x v="4"/>
    <x v="5"/>
    <n v="17"/>
    <n v="129.62"/>
    <s v="Store D"/>
    <x v="1"/>
    <n v="0.15"/>
    <x v="0"/>
    <n v="1873.009"/>
    <n v="1322.124"/>
    <n v="526.60500000000002"/>
    <n v="0.28115454864338613"/>
    <n v="1873.009"/>
    <s v="Online"/>
    <s v="FREESHIP"/>
    <x v="0"/>
    <n v="0"/>
    <x v="0"/>
    <x v="1203"/>
    <s v="Cust 4510"/>
    <n v="24.28"/>
    <d v="2025-01-06T00:00:00"/>
    <d v="2025-01-08T00:00:00"/>
    <s v="Wendy"/>
    <n v="2"/>
  </r>
  <r>
    <d v="2025-01-14T00:00:00"/>
    <x v="4"/>
    <x v="2"/>
    <x v="12"/>
    <x v="3"/>
    <x v="4"/>
    <n v="6"/>
    <n v="162.35"/>
    <s v="Store B"/>
    <x v="0"/>
    <n v="0.05"/>
    <x v="0"/>
    <n v="925.39499999999987"/>
    <n v="584.46"/>
    <n v="321.75499999999982"/>
    <n v="0.34769476818007433"/>
    <n v="925.39499999999987"/>
    <s v="Credit Card"/>
    <s v="SAVE10"/>
    <x v="0"/>
    <n v="1"/>
    <x v="1"/>
    <x v="1204"/>
    <s v="Cust 7003"/>
    <n v="19.18"/>
    <d v="2025-01-14T00:00:00"/>
    <d v="2025-01-20T00:00:00"/>
    <s v="Cameron"/>
    <n v="6"/>
  </r>
  <r>
    <d v="2023-01-26T00:00:00"/>
    <x v="4"/>
    <x v="0"/>
    <x v="6"/>
    <x v="1"/>
    <x v="6"/>
    <n v="14"/>
    <n v="209.82"/>
    <s v="Store B"/>
    <x v="0"/>
    <n v="0"/>
    <x v="0"/>
    <n v="2937.48"/>
    <n v="1762.4879999999998"/>
    <n v="1138.8820000000003"/>
    <n v="0.38770715034655567"/>
    <n v="2937.48"/>
    <s v="Cash"/>
    <s v="SAVE10"/>
    <x v="0"/>
    <n v="0"/>
    <x v="0"/>
    <x v="1205"/>
    <s v="Cust 6546"/>
    <n v="36.11"/>
    <d v="2023-01-26T00:00:00"/>
    <d v="2023-01-30T00:00:00"/>
    <s v="Sophie"/>
    <n v="4"/>
  </r>
  <r>
    <d v="2024-08-04T00:00:00"/>
    <x v="10"/>
    <x v="1"/>
    <x v="29"/>
    <x v="2"/>
    <x v="0"/>
    <n v="16"/>
    <n v="293.44"/>
    <s v="Store D"/>
    <x v="0"/>
    <n v="0.05"/>
    <x v="4"/>
    <n v="4460.2879999999996"/>
    <n v="2817.0239999999999"/>
    <n v="1600.7039999999997"/>
    <n v="0.35887906789875451"/>
    <n v="4460.2879999999996"/>
    <s v="Gift Card"/>
    <s v="SAVE10"/>
    <x v="0"/>
    <n v="0"/>
    <x v="0"/>
    <x v="1206"/>
    <s v="Cust 2951"/>
    <n v="42.56"/>
    <d v="2024-08-04T00:00:00"/>
    <d v="2024-08-14T00:00:00"/>
    <s v="Ryan"/>
    <n v="10"/>
  </r>
  <r>
    <d v="2024-02-13T00:00:00"/>
    <x v="0"/>
    <x v="1"/>
    <x v="5"/>
    <x v="2"/>
    <x v="1"/>
    <n v="11"/>
    <n v="185.52"/>
    <s v="Store D"/>
    <x v="0"/>
    <n v="0.15"/>
    <x v="4"/>
    <n v="1734.6120000000001"/>
    <n v="1224.432"/>
    <n v="471.65000000000009"/>
    <n v="0.27190518686599657"/>
    <n v="1734.6120000000001"/>
    <s v="Credit Card"/>
    <s v="WINTER15"/>
    <x v="0"/>
    <n v="0"/>
    <x v="0"/>
    <x v="1207"/>
    <s v="Cust 4673"/>
    <n v="38.53"/>
    <d v="2024-02-13T00:00:00"/>
    <d v="2024-02-16T00:00:00"/>
    <s v="Ryan"/>
    <n v="3"/>
  </r>
  <r>
    <d v="2023-02-11T00:00:00"/>
    <x v="0"/>
    <x v="0"/>
    <x v="0"/>
    <x v="3"/>
    <x v="2"/>
    <n v="18"/>
    <n v="268.38"/>
    <s v="Store D"/>
    <x v="0"/>
    <n v="0.15"/>
    <x v="1"/>
    <n v="4106.2139999999999"/>
    <n v="2898.5039999999999"/>
    <n v="1159.33"/>
    <n v="0.28233550418950398"/>
    <n v="4106.2139999999999"/>
    <s v="Cash"/>
    <s v="FREESHIP"/>
    <x v="0"/>
    <n v="0"/>
    <x v="0"/>
    <x v="1208"/>
    <s v="Cust 5988"/>
    <n v="48.38"/>
    <d v="2023-02-11T00:00:00"/>
    <d v="2023-02-14T00:00:00"/>
    <s v="Cameron"/>
    <n v="3"/>
  </r>
  <r>
    <d v="2024-06-17T00:00:00"/>
    <x v="3"/>
    <x v="1"/>
    <x v="23"/>
    <x v="0"/>
    <x v="6"/>
    <n v="18"/>
    <n v="547.04999999999995"/>
    <s v="Store C"/>
    <x v="0"/>
    <n v="0.1"/>
    <x v="3"/>
    <n v="8862.2099999999991"/>
    <n v="5908.1399999999994"/>
    <n v="2943.08"/>
    <n v="0.33209323633721161"/>
    <n v="8862.2099999999991"/>
    <s v="Cash"/>
    <s v="FREESHIP"/>
    <x v="0"/>
    <n v="0"/>
    <x v="0"/>
    <x v="1209"/>
    <s v="Cust 3922"/>
    <n v="10.99"/>
    <d v="2024-06-17T00:00:00"/>
    <d v="2024-06-22T00:00:00"/>
    <s v="Eric"/>
    <n v="5"/>
  </r>
  <r>
    <d v="2024-06-06T00:00:00"/>
    <x v="3"/>
    <x v="1"/>
    <x v="23"/>
    <x v="1"/>
    <x v="0"/>
    <n v="1"/>
    <n v="354.21"/>
    <s v="Store A"/>
    <x v="0"/>
    <n v="0.15"/>
    <x v="3"/>
    <n v="301.07849999999996"/>
    <n v="212.52599999999998"/>
    <n v="62.392499999999984"/>
    <n v="0.20723000812080566"/>
    <n v="301.07850000000002"/>
    <s v="Online"/>
    <m/>
    <x v="1"/>
    <n v="0"/>
    <x v="0"/>
    <x v="1210"/>
    <s v="Cust 9853"/>
    <n v="26.16"/>
    <d v="2024-06-06T00:00:00"/>
    <d v="2024-06-12T00:00:00"/>
    <s v="Sophie"/>
    <n v="6"/>
  </r>
  <r>
    <d v="2023-11-26T00:00:00"/>
    <x v="9"/>
    <x v="0"/>
    <x v="15"/>
    <x v="1"/>
    <x v="3"/>
    <n v="18"/>
    <n v="250.93"/>
    <s v="Store C"/>
    <x v="0"/>
    <n v="0.05"/>
    <x v="5"/>
    <n v="4290.9029999999993"/>
    <n v="2710.0439999999999"/>
    <n v="1533.1889999999994"/>
    <n v="0.35731150296336217"/>
    <n v="4290.9029999999993"/>
    <s v="Gift Card"/>
    <m/>
    <x v="1"/>
    <n v="0"/>
    <x v="0"/>
    <x v="1211"/>
    <s v="Cust 6168"/>
    <n v="47.67"/>
    <d v="2023-11-26T00:00:00"/>
    <d v="2023-12-02T00:00:00"/>
    <s v="Sophie"/>
    <n v="6"/>
  </r>
  <r>
    <d v="2024-04-07T00:00:00"/>
    <x v="7"/>
    <x v="1"/>
    <x v="9"/>
    <x v="4"/>
    <x v="6"/>
    <n v="18"/>
    <n v="587.25"/>
    <s v="Store C"/>
    <x v="0"/>
    <n v="0.15"/>
    <x v="3"/>
    <n v="8984.9249999999993"/>
    <n v="6342.2999999999993"/>
    <n v="2600.4749999999999"/>
    <n v="0.28942645598043393"/>
    <n v="8984.9249999999993"/>
    <s v="Online"/>
    <m/>
    <x v="1"/>
    <n v="0"/>
    <x v="0"/>
    <x v="1212"/>
    <s v="Cust 3175"/>
    <n v="42.15"/>
    <d v="2024-04-07T00:00:00"/>
    <d v="2024-04-09T00:00:00"/>
    <s v="Wendy"/>
    <n v="2"/>
  </r>
  <r>
    <d v="2023-02-03T00:00:00"/>
    <x v="0"/>
    <x v="0"/>
    <x v="0"/>
    <x v="4"/>
    <x v="2"/>
    <n v="2"/>
    <n v="438.06"/>
    <s v="Store B"/>
    <x v="1"/>
    <n v="0"/>
    <x v="2"/>
    <n v="876.12"/>
    <n v="525.67200000000003"/>
    <n v="337.548"/>
    <n v="0.38527598959046705"/>
    <n v="876.12"/>
    <s v="Online"/>
    <s v="FREESHIP"/>
    <x v="0"/>
    <n v="1"/>
    <x v="1"/>
    <x v="1213"/>
    <s v="Cust 1813"/>
    <n v="12.9"/>
    <d v="2023-02-03T00:00:00"/>
    <d v="2023-02-09T00:00:00"/>
    <s v="Wendy"/>
    <n v="6"/>
  </r>
  <r>
    <d v="2024-11-25T00:00:00"/>
    <x v="9"/>
    <x v="1"/>
    <x v="20"/>
    <x v="0"/>
    <x v="3"/>
    <n v="14"/>
    <n v="6.1"/>
    <s v="Store C"/>
    <x v="0"/>
    <n v="0.15"/>
    <x v="3"/>
    <n v="72.589999999999989"/>
    <n v="51.239999999999995"/>
    <n v="11.169999999999995"/>
    <n v="0.15387794462047108"/>
    <n v="72.589999999999989"/>
    <s v="Online"/>
    <s v="FREESHIP"/>
    <x v="0"/>
    <n v="1"/>
    <x v="1"/>
    <x v="1214"/>
    <s v="Cust 7749"/>
    <n v="10.18"/>
    <d v="2024-11-25T00:00:00"/>
    <d v="2024-11-30T00:00:00"/>
    <s v="Eric"/>
    <n v="5"/>
  </r>
  <r>
    <d v="2024-06-30T00:00:00"/>
    <x v="3"/>
    <x v="1"/>
    <x v="23"/>
    <x v="2"/>
    <x v="0"/>
    <n v="2"/>
    <n v="80.14"/>
    <s v="Store D"/>
    <x v="0"/>
    <n v="0"/>
    <x v="3"/>
    <n v="160.28"/>
    <n v="96.167999999999992"/>
    <n v="50.702000000000012"/>
    <n v="0.31633391564761676"/>
    <n v="160.28"/>
    <s v="Online"/>
    <s v="FREESHIP"/>
    <x v="0"/>
    <n v="1"/>
    <x v="1"/>
    <x v="1215"/>
    <s v="Cust 3416"/>
    <n v="13.41"/>
    <d v="2024-06-30T00:00:00"/>
    <d v="2024-07-03T00:00:00"/>
    <s v="Ryan"/>
    <n v="3"/>
  </r>
  <r>
    <d v="2023-08-02T00:00:00"/>
    <x v="10"/>
    <x v="0"/>
    <x v="18"/>
    <x v="1"/>
    <x v="0"/>
    <n v="11"/>
    <n v="66.97"/>
    <s v="Store A"/>
    <x v="1"/>
    <n v="0.15"/>
    <x v="5"/>
    <n v="626.16949999999997"/>
    <n v="442.00199999999995"/>
    <n v="163.81750000000002"/>
    <n v="0.26161845953851159"/>
    <n v="626.16949999999997"/>
    <s v="Gift Card"/>
    <s v="FREESHIP"/>
    <x v="0"/>
    <n v="1"/>
    <x v="1"/>
    <x v="1216"/>
    <s v="Cust 7066"/>
    <n v="20.350000000000001"/>
    <d v="2023-08-02T00:00:00"/>
    <d v="2023-08-11T00:00:00"/>
    <s v="Sophie"/>
    <n v="9"/>
  </r>
  <r>
    <d v="2024-02-22T00:00:00"/>
    <x v="0"/>
    <x v="1"/>
    <x v="5"/>
    <x v="1"/>
    <x v="3"/>
    <n v="6"/>
    <n v="181.34"/>
    <s v="Store A"/>
    <x v="0"/>
    <n v="0"/>
    <x v="1"/>
    <n v="1088.04"/>
    <n v="652.82400000000007"/>
    <n v="407.56599999999992"/>
    <n v="0.37458733134811212"/>
    <n v="1088.04"/>
    <s v="Cash"/>
    <s v="FREESHIP"/>
    <x v="0"/>
    <n v="0"/>
    <x v="0"/>
    <x v="1217"/>
    <s v="Cust 5180"/>
    <n v="27.65"/>
    <d v="2024-02-22T00:00:00"/>
    <d v="2024-02-27T00:00:00"/>
    <s v="Sophie"/>
    <n v="5"/>
  </r>
  <r>
    <d v="2024-11-29T00:00:00"/>
    <x v="9"/>
    <x v="1"/>
    <x v="20"/>
    <x v="2"/>
    <x v="4"/>
    <n v="15"/>
    <n v="570"/>
    <s v="Store D"/>
    <x v="0"/>
    <n v="0.05"/>
    <x v="2"/>
    <n v="8122.5"/>
    <n v="5130"/>
    <n v="2984.88"/>
    <n v="0.36748291782086795"/>
    <n v="8122.5"/>
    <s v="Gift Card"/>
    <m/>
    <x v="1"/>
    <n v="0"/>
    <x v="0"/>
    <x v="1218"/>
    <s v="Cust 6246"/>
    <n v="7.62"/>
    <d v="2024-11-29T00:00:00"/>
    <d v="2024-12-09T00:00:00"/>
    <s v="Ryan"/>
    <n v="10"/>
  </r>
  <r>
    <d v="2023-07-21T00:00:00"/>
    <x v="8"/>
    <x v="0"/>
    <x v="11"/>
    <x v="2"/>
    <x v="4"/>
    <n v="9"/>
    <n v="587.79"/>
    <s v="Store D"/>
    <x v="0"/>
    <n v="0.15"/>
    <x v="5"/>
    <n v="4496.5934999999999"/>
    <n v="3174.0659999999998"/>
    <n v="1297.8875"/>
    <n v="0.2886379433675737"/>
    <n v="4496.5934999999999"/>
    <s v="Online"/>
    <m/>
    <x v="1"/>
    <n v="0"/>
    <x v="0"/>
    <x v="1219"/>
    <s v="Cust 4182"/>
    <n v="24.64"/>
    <d v="2023-07-21T00:00:00"/>
    <d v="2023-07-31T00:00:00"/>
    <s v="Ryan"/>
    <n v="10"/>
  </r>
  <r>
    <d v="2023-04-14T00:00:00"/>
    <x v="7"/>
    <x v="0"/>
    <x v="21"/>
    <x v="3"/>
    <x v="1"/>
    <n v="6"/>
    <n v="196.31"/>
    <s v="Store C"/>
    <x v="1"/>
    <n v="0.1"/>
    <x v="3"/>
    <n v="1060.0740000000001"/>
    <n v="706.71600000000001"/>
    <n v="314.70800000000008"/>
    <n v="0.29687361448351723"/>
    <n v="1060.0740000000001"/>
    <s v="Online"/>
    <s v="WINTER15"/>
    <x v="0"/>
    <n v="0"/>
    <x v="0"/>
    <x v="1220"/>
    <s v="Cust 6843"/>
    <n v="38.65"/>
    <d v="2023-04-14T00:00:00"/>
    <d v="2023-04-17T00:00:00"/>
    <s v="Cameron"/>
    <n v="3"/>
  </r>
  <r>
    <d v="2023-02-01T00:00:00"/>
    <x v="0"/>
    <x v="0"/>
    <x v="0"/>
    <x v="2"/>
    <x v="1"/>
    <n v="8"/>
    <n v="430.06"/>
    <s v="Store B"/>
    <x v="0"/>
    <n v="0.05"/>
    <x v="5"/>
    <n v="3268.4559999999997"/>
    <n v="2064.288"/>
    <n v="1165.7179999999996"/>
    <n v="0.35665708823982939"/>
    <n v="3268.4560000000001"/>
    <s v="Debit Card"/>
    <s v="SAVE10"/>
    <x v="0"/>
    <n v="0"/>
    <x v="0"/>
    <x v="1221"/>
    <s v="Cust 6844"/>
    <n v="38.450000000000003"/>
    <d v="2023-02-01T00:00:00"/>
    <d v="2023-02-05T00:00:00"/>
    <s v="Ryan"/>
    <n v="4"/>
  </r>
  <r>
    <d v="2024-06-30T00:00:00"/>
    <x v="3"/>
    <x v="1"/>
    <x v="23"/>
    <x v="0"/>
    <x v="4"/>
    <n v="14"/>
    <n v="429.72"/>
    <s v="Store A"/>
    <x v="1"/>
    <n v="0.1"/>
    <x v="0"/>
    <n v="5414.4719999999998"/>
    <n v="3609.6480000000001"/>
    <n v="1759.0439999999996"/>
    <n v="0.32487821527195998"/>
    <n v="5414.4719999999998"/>
    <s v="Cash"/>
    <s v="SAVE10"/>
    <x v="0"/>
    <n v="0"/>
    <x v="0"/>
    <x v="1222"/>
    <s v="Cust 3248"/>
    <n v="45.78"/>
    <d v="2024-06-30T00:00:00"/>
    <d v="2024-07-05T00:00:00"/>
    <s v="Eric"/>
    <n v="5"/>
  </r>
  <r>
    <d v="2023-10-18T00:00:00"/>
    <x v="5"/>
    <x v="0"/>
    <x v="19"/>
    <x v="3"/>
    <x v="1"/>
    <n v="13"/>
    <n v="127.34"/>
    <s v="Store D"/>
    <x v="0"/>
    <n v="0"/>
    <x v="1"/>
    <n v="1655.42"/>
    <n v="993.25199999999995"/>
    <n v="656.01800000000014"/>
    <n v="0.39628493071244769"/>
    <n v="1655.42"/>
    <s v="Credit Card"/>
    <s v="WINTER15"/>
    <x v="0"/>
    <n v="0"/>
    <x v="0"/>
    <x v="1223"/>
    <s v="Cust 5226"/>
    <n v="6.15"/>
    <d v="2023-10-18T00:00:00"/>
    <d v="2023-10-21T00:00:00"/>
    <s v="Cameron"/>
    <n v="3"/>
  </r>
  <r>
    <d v="2024-07-04T00:00:00"/>
    <x v="8"/>
    <x v="1"/>
    <x v="10"/>
    <x v="0"/>
    <x v="4"/>
    <n v="6"/>
    <n v="421.97"/>
    <s v="Store B"/>
    <x v="0"/>
    <n v="0.05"/>
    <x v="5"/>
    <n v="2405.2290000000003"/>
    <n v="1519.0920000000001"/>
    <n v="844.82700000000023"/>
    <n v="0.35124597283668213"/>
    <n v="2405.2289999999998"/>
    <s v="Cash"/>
    <s v="WINTER15"/>
    <x v="0"/>
    <n v="0"/>
    <x v="0"/>
    <x v="1224"/>
    <s v="Cust 9804"/>
    <n v="41.31"/>
    <d v="2024-07-04T00:00:00"/>
    <d v="2024-07-13T00:00:00"/>
    <s v="Eric"/>
    <n v="9"/>
  </r>
  <r>
    <d v="2024-07-04T00:00:00"/>
    <x v="8"/>
    <x v="1"/>
    <x v="10"/>
    <x v="0"/>
    <x v="5"/>
    <n v="5"/>
    <n v="225.69"/>
    <s v="Store A"/>
    <x v="0"/>
    <n v="0.15"/>
    <x v="3"/>
    <n v="959.1825"/>
    <n v="677.06999999999994"/>
    <n v="234.51250000000007"/>
    <n v="0.2444920544317688"/>
    <n v="959.1825"/>
    <s v="Gift Card"/>
    <s v="WINTER15"/>
    <x v="0"/>
    <n v="0"/>
    <x v="0"/>
    <x v="1225"/>
    <s v="Cust 3990"/>
    <n v="47.6"/>
    <d v="2024-07-04T00:00:00"/>
    <d v="2024-07-12T00:00:00"/>
    <s v="Eric"/>
    <n v="8"/>
  </r>
  <r>
    <d v="2023-07-27T00:00:00"/>
    <x v="8"/>
    <x v="0"/>
    <x v="11"/>
    <x v="2"/>
    <x v="4"/>
    <n v="10"/>
    <n v="322.11"/>
    <s v="Store A"/>
    <x v="1"/>
    <n v="0.15"/>
    <x v="4"/>
    <n v="2737.9350000000004"/>
    <n v="1932.6599999999999"/>
    <n v="776.55500000000052"/>
    <n v="0.28362798970757175"/>
    <n v="2737.9349999999999"/>
    <s v="Debit Card"/>
    <s v="WINTER15"/>
    <x v="0"/>
    <n v="0"/>
    <x v="0"/>
    <x v="1226"/>
    <s v="Cust 5106"/>
    <n v="28.72"/>
    <d v="2023-07-27T00:00:00"/>
    <d v="2023-08-02T00:00:00"/>
    <s v="Ryan"/>
    <n v="6"/>
  </r>
  <r>
    <d v="2025-03-01T00:00:00"/>
    <x v="6"/>
    <x v="2"/>
    <x v="8"/>
    <x v="4"/>
    <x v="2"/>
    <n v="4"/>
    <n v="209.3"/>
    <s v="Store B"/>
    <x v="1"/>
    <n v="0.05"/>
    <x v="1"/>
    <n v="795.34"/>
    <n v="502.32"/>
    <n v="286.13000000000005"/>
    <n v="0.35975809087937238"/>
    <n v="795.34"/>
    <s v="Gift Card"/>
    <m/>
    <x v="1"/>
    <n v="0"/>
    <x v="0"/>
    <x v="1227"/>
    <s v="Cust 3448"/>
    <n v="6.89"/>
    <d v="2025-03-01T00:00:00"/>
    <d v="2025-03-06T00:00:00"/>
    <s v="Wendy"/>
    <n v="5"/>
  </r>
  <r>
    <d v="2023-02-23T00:00:00"/>
    <x v="0"/>
    <x v="0"/>
    <x v="0"/>
    <x v="3"/>
    <x v="2"/>
    <n v="16"/>
    <n v="326.16000000000003"/>
    <s v="Store C"/>
    <x v="0"/>
    <n v="0.1"/>
    <x v="2"/>
    <n v="4696.7040000000006"/>
    <n v="3131.136"/>
    <n v="1521.2680000000007"/>
    <n v="0.3239011868748809"/>
    <n v="4696.7040000000006"/>
    <s v="Credit Card"/>
    <m/>
    <x v="1"/>
    <n v="0"/>
    <x v="0"/>
    <x v="1228"/>
    <s v="Cust 1439"/>
    <n v="44.3"/>
    <d v="2023-02-23T00:00:00"/>
    <d v="2023-02-25T00:00:00"/>
    <s v="Cameron"/>
    <n v="2"/>
  </r>
  <r>
    <d v="2023-01-11T00:00:00"/>
    <x v="4"/>
    <x v="0"/>
    <x v="6"/>
    <x v="0"/>
    <x v="4"/>
    <n v="13"/>
    <n v="515.41999999999996"/>
    <s v="Store D"/>
    <x v="1"/>
    <n v="0"/>
    <x v="5"/>
    <n v="6700.4599999999991"/>
    <n v="4020.2759999999994"/>
    <n v="2636.8139999999999"/>
    <n v="0.39352731006527913"/>
    <n v="6700.4599999999991"/>
    <s v="Online"/>
    <s v="FREESHIP"/>
    <x v="0"/>
    <n v="0"/>
    <x v="0"/>
    <x v="1229"/>
    <s v="Cust 5342"/>
    <n v="43.37"/>
    <d v="2023-01-11T00:00:00"/>
    <d v="2023-01-20T00:00:00"/>
    <s v="Eric"/>
    <n v="9"/>
  </r>
  <r>
    <d v="2024-04-16T00:00:00"/>
    <x v="7"/>
    <x v="1"/>
    <x v="9"/>
    <x v="4"/>
    <x v="5"/>
    <n v="7"/>
    <n v="129.83000000000001"/>
    <s v="Store A"/>
    <x v="0"/>
    <n v="0"/>
    <x v="3"/>
    <n v="908.81000000000006"/>
    <n v="545.28600000000006"/>
    <n v="350.404"/>
    <n v="0.38556353913359226"/>
    <n v="908.81000000000006"/>
    <s v="Gift Card"/>
    <s v="WINTER15"/>
    <x v="0"/>
    <n v="0"/>
    <x v="0"/>
    <x v="1230"/>
    <s v="Cust 4564"/>
    <n v="13.12"/>
    <d v="2024-04-16T00:00:00"/>
    <d v="2024-04-20T00:00:00"/>
    <s v="Wendy"/>
    <n v="4"/>
  </r>
  <r>
    <d v="2024-03-09T00:00:00"/>
    <x v="6"/>
    <x v="1"/>
    <x v="25"/>
    <x v="3"/>
    <x v="4"/>
    <n v="17"/>
    <n v="376.15"/>
    <s v="Store C"/>
    <x v="1"/>
    <n v="0.05"/>
    <x v="4"/>
    <n v="6074.8224999999993"/>
    <n v="3836.7299999999996"/>
    <n v="2206.1324999999997"/>
    <n v="0.36315999356359796"/>
    <n v="6074.8224999999993"/>
    <s v="Gift Card"/>
    <s v="WINTER15"/>
    <x v="0"/>
    <n v="1"/>
    <x v="1"/>
    <x v="1231"/>
    <s v="Cust 6441"/>
    <n v="31.96"/>
    <d v="2024-03-09T00:00:00"/>
    <d v="2024-03-12T00:00:00"/>
    <s v="Cameron"/>
    <n v="3"/>
  </r>
  <r>
    <d v="2024-10-07T00:00:00"/>
    <x v="5"/>
    <x v="1"/>
    <x v="7"/>
    <x v="1"/>
    <x v="3"/>
    <n v="8"/>
    <n v="385.46"/>
    <s v="Store A"/>
    <x v="0"/>
    <n v="0"/>
    <x v="5"/>
    <n v="3083.68"/>
    <n v="1850.2079999999999"/>
    <n v="1224.5819999999999"/>
    <n v="0.39711708089036474"/>
    <n v="3083.68"/>
    <s v="Cash"/>
    <s v="SAVE10"/>
    <x v="0"/>
    <n v="0"/>
    <x v="0"/>
    <x v="1232"/>
    <s v="Cust 7591"/>
    <n v="8.89"/>
    <d v="2024-10-07T00:00:00"/>
    <d v="2024-10-11T00:00:00"/>
    <s v="Sophie"/>
    <n v="4"/>
  </r>
  <r>
    <d v="2023-10-06T00:00:00"/>
    <x v="5"/>
    <x v="0"/>
    <x v="19"/>
    <x v="4"/>
    <x v="6"/>
    <n v="2"/>
    <n v="474.13"/>
    <s v="Store D"/>
    <x v="0"/>
    <n v="0"/>
    <x v="3"/>
    <n v="948.26"/>
    <n v="568.95600000000002"/>
    <n v="364.89399999999995"/>
    <n v="0.38480374580811166"/>
    <n v="948.26"/>
    <s v="Gift Card"/>
    <s v="FREESHIP"/>
    <x v="0"/>
    <n v="1"/>
    <x v="1"/>
    <x v="1233"/>
    <s v="Cust 9778"/>
    <n v="14.41"/>
    <d v="2023-10-06T00:00:00"/>
    <d v="2023-10-15T00:00:00"/>
    <s v="Wendy"/>
    <n v="9"/>
  </r>
  <r>
    <d v="2023-04-08T00:00:00"/>
    <x v="7"/>
    <x v="0"/>
    <x v="21"/>
    <x v="4"/>
    <x v="4"/>
    <n v="15"/>
    <n v="506.17"/>
    <s v="Store B"/>
    <x v="0"/>
    <n v="0.05"/>
    <x v="1"/>
    <n v="7212.9224999999997"/>
    <n v="4555.53"/>
    <n v="2615.6624999999999"/>
    <n v="0.36263560297507702"/>
    <n v="7212.9224999999997"/>
    <s v="Online"/>
    <m/>
    <x v="1"/>
    <n v="0"/>
    <x v="0"/>
    <x v="1234"/>
    <s v="Cust 1195"/>
    <n v="41.73"/>
    <d v="2023-04-08T00:00:00"/>
    <d v="2023-04-13T00:00:00"/>
    <s v="Wendy"/>
    <n v="5"/>
  </r>
  <r>
    <d v="2024-02-20T00:00:00"/>
    <x v="0"/>
    <x v="1"/>
    <x v="5"/>
    <x v="1"/>
    <x v="1"/>
    <n v="1"/>
    <n v="67.38"/>
    <s v="Store D"/>
    <x v="1"/>
    <n v="0.15"/>
    <x v="1"/>
    <n v="57.272999999999996"/>
    <n v="40.427999999999997"/>
    <n v="10.704999999999998"/>
    <n v="0.18691180835646812"/>
    <n v="57.273000000000003"/>
    <s v="Credit Card"/>
    <s v="WINTER15"/>
    <x v="0"/>
    <n v="0"/>
    <x v="0"/>
    <x v="1235"/>
    <s v="Cust 8126"/>
    <n v="6.14"/>
    <d v="2024-02-20T00:00:00"/>
    <d v="2024-02-27T00:00:00"/>
    <s v="Sophie"/>
    <n v="7"/>
  </r>
  <r>
    <d v="2023-01-30T00:00:00"/>
    <x v="4"/>
    <x v="0"/>
    <x v="6"/>
    <x v="4"/>
    <x v="3"/>
    <n v="15"/>
    <n v="274.3"/>
    <s v="Store B"/>
    <x v="1"/>
    <n v="0.15"/>
    <x v="2"/>
    <n v="3497.3249999999998"/>
    <n v="2468.7000000000003"/>
    <n v="1007.0649999999996"/>
    <n v="0.28795293545781409"/>
    <n v="3497.3249999999998"/>
    <s v="Credit Card"/>
    <m/>
    <x v="1"/>
    <n v="0"/>
    <x v="0"/>
    <x v="1236"/>
    <s v="Cust 4609"/>
    <n v="21.56"/>
    <d v="2023-01-30T00:00:00"/>
    <d v="2023-02-08T00:00:00"/>
    <s v="Wendy"/>
    <n v="9"/>
  </r>
  <r>
    <d v="2023-05-12T00:00:00"/>
    <x v="2"/>
    <x v="0"/>
    <x v="2"/>
    <x v="1"/>
    <x v="4"/>
    <n v="2"/>
    <n v="334.48"/>
    <s v="Store B"/>
    <x v="0"/>
    <n v="0"/>
    <x v="1"/>
    <n v="668.96"/>
    <n v="401.37600000000003"/>
    <n v="236.054"/>
    <n v="0.35286713704855294"/>
    <n v="668.96"/>
    <s v="Debit Card"/>
    <m/>
    <x v="1"/>
    <n v="0"/>
    <x v="0"/>
    <x v="1237"/>
    <s v="Cust 1449"/>
    <n v="31.53"/>
    <d v="2023-05-12T00:00:00"/>
    <d v="2023-05-20T00:00:00"/>
    <s v="Sophie"/>
    <n v="8"/>
  </r>
  <r>
    <d v="2024-01-08T00:00:00"/>
    <x v="4"/>
    <x v="1"/>
    <x v="24"/>
    <x v="1"/>
    <x v="3"/>
    <n v="7"/>
    <n v="562.6"/>
    <s v="Store A"/>
    <x v="1"/>
    <n v="0.15"/>
    <x v="0"/>
    <n v="3347.4700000000003"/>
    <n v="2362.92"/>
    <n v="964.60000000000014"/>
    <n v="0.28815792225173043"/>
    <n v="3347.47"/>
    <s v="Online"/>
    <s v="WINTER15"/>
    <x v="0"/>
    <n v="0"/>
    <x v="0"/>
    <x v="1238"/>
    <s v="Cust 3508"/>
    <n v="19.95"/>
    <d v="2024-01-08T00:00:00"/>
    <d v="2024-01-12T00:00:00"/>
    <s v="Sophie"/>
    <n v="4"/>
  </r>
  <r>
    <d v="2024-06-05T00:00:00"/>
    <x v="3"/>
    <x v="1"/>
    <x v="23"/>
    <x v="2"/>
    <x v="4"/>
    <n v="7"/>
    <n v="14.34"/>
    <s v="Store D"/>
    <x v="1"/>
    <n v="0.05"/>
    <x v="1"/>
    <n v="95.36099999999999"/>
    <n v="60.227999999999994"/>
    <n v="15.682999999999996"/>
    <n v="0.16445926531810695"/>
    <n v="95.36099999999999"/>
    <s v="Debit Card"/>
    <s v="WINTER15"/>
    <x v="0"/>
    <n v="0"/>
    <x v="0"/>
    <x v="1239"/>
    <s v="Cust 4826"/>
    <n v="19.45"/>
    <d v="2024-06-05T00:00:00"/>
    <d v="2024-06-08T00:00:00"/>
    <s v="Ryan"/>
    <n v="3"/>
  </r>
  <r>
    <d v="2025-05-21T00:00:00"/>
    <x v="2"/>
    <x v="2"/>
    <x v="13"/>
    <x v="0"/>
    <x v="1"/>
    <n v="11"/>
    <n v="34.72"/>
    <s v="Store B"/>
    <x v="0"/>
    <n v="0.1"/>
    <x v="4"/>
    <n v="343.72799999999995"/>
    <n v="229.15199999999996"/>
    <n v="105.26599999999999"/>
    <n v="0.30624796350602806"/>
    <n v="343.72800000000001"/>
    <s v="Gift Card"/>
    <s v="FREESHIP"/>
    <x v="0"/>
    <n v="0"/>
    <x v="0"/>
    <x v="1240"/>
    <s v="Cust 1232"/>
    <n v="9.31"/>
    <d v="2025-05-21T00:00:00"/>
    <d v="2025-05-23T00:00:00"/>
    <s v="Eric"/>
    <n v="2"/>
  </r>
  <r>
    <d v="2025-05-21T00:00:00"/>
    <x v="2"/>
    <x v="2"/>
    <x v="13"/>
    <x v="0"/>
    <x v="3"/>
    <n v="7"/>
    <n v="15.06"/>
    <s v="Store A"/>
    <x v="1"/>
    <n v="0"/>
    <x v="1"/>
    <n v="105.42"/>
    <n v="63.251999999999995"/>
    <n v="-4.4019999999999939"/>
    <n v="-4.1756782394232535E-2"/>
    <n v="105.42"/>
    <s v="Cash"/>
    <m/>
    <x v="1"/>
    <n v="1"/>
    <x v="1"/>
    <x v="1241"/>
    <s v="Cust 9675"/>
    <n v="46.57"/>
    <d v="2025-05-21T00:00:00"/>
    <d v="2025-05-26T00:00:00"/>
    <s v="Eric"/>
    <n v="5"/>
  </r>
  <r>
    <d v="2023-03-05T00:00:00"/>
    <x v="6"/>
    <x v="0"/>
    <x v="17"/>
    <x v="0"/>
    <x v="6"/>
    <n v="11"/>
    <n v="488.17"/>
    <s v="Store B"/>
    <x v="0"/>
    <n v="0.05"/>
    <x v="5"/>
    <n v="5101.3764999999994"/>
    <n v="3221.922"/>
    <n v="1841.9844999999993"/>
    <n v="0.36107597625856463"/>
    <n v="5101.3764999999994"/>
    <s v="Cash"/>
    <s v="WINTER15"/>
    <x v="0"/>
    <n v="1"/>
    <x v="1"/>
    <x v="1242"/>
    <s v="Cust 5153"/>
    <n v="37.47"/>
    <d v="2023-03-05T00:00:00"/>
    <d v="2023-03-11T00:00:00"/>
    <s v="Eric"/>
    <n v="6"/>
  </r>
  <r>
    <d v="2024-10-27T00:00:00"/>
    <x v="5"/>
    <x v="1"/>
    <x v="7"/>
    <x v="1"/>
    <x v="5"/>
    <n v="10"/>
    <n v="268.39"/>
    <s v="Store B"/>
    <x v="1"/>
    <n v="0.05"/>
    <x v="1"/>
    <n v="2549.7049999999995"/>
    <n v="1610.34"/>
    <n v="913.50499999999954"/>
    <n v="0.35827870283032731"/>
    <n v="2549.704999999999"/>
    <s v="Credit Card"/>
    <s v="SAVE10"/>
    <x v="0"/>
    <n v="0"/>
    <x v="0"/>
    <x v="1243"/>
    <s v="Cust 6330"/>
    <n v="25.86"/>
    <d v="2024-10-27T00:00:00"/>
    <d v="2024-11-02T00:00:00"/>
    <s v="Sophie"/>
    <n v="6"/>
  </r>
  <r>
    <d v="2025-03-24T00:00:00"/>
    <x v="6"/>
    <x v="2"/>
    <x v="8"/>
    <x v="2"/>
    <x v="5"/>
    <n v="5"/>
    <n v="64.180000000000007"/>
    <s v="Store C"/>
    <x v="1"/>
    <n v="0.1"/>
    <x v="0"/>
    <n v="288.81000000000006"/>
    <n v="192.54000000000002"/>
    <n v="75.100000000000037"/>
    <n v="0.26003254734946857"/>
    <n v="288.81000000000012"/>
    <s v="Gift Card"/>
    <s v="SAVE10"/>
    <x v="0"/>
    <n v="0"/>
    <x v="0"/>
    <x v="1244"/>
    <s v="Cust 8277"/>
    <n v="21.17"/>
    <d v="2025-03-24T00:00:00"/>
    <d v="2025-03-29T00:00:00"/>
    <s v="Ryan"/>
    <n v="5"/>
  </r>
  <r>
    <d v="2024-09-21T00:00:00"/>
    <x v="11"/>
    <x v="1"/>
    <x v="26"/>
    <x v="4"/>
    <x v="1"/>
    <n v="15"/>
    <n v="466.55"/>
    <s v="Store A"/>
    <x v="1"/>
    <n v="0.05"/>
    <x v="1"/>
    <n v="6648.3374999999996"/>
    <n v="4198.95"/>
    <n v="2412.7075"/>
    <n v="0.36290388386570327"/>
    <n v="6648.3374999999996"/>
    <s v="Cash"/>
    <s v="SAVE10"/>
    <x v="0"/>
    <n v="1"/>
    <x v="1"/>
    <x v="1245"/>
    <s v="Cust 5884"/>
    <n v="36.68"/>
    <d v="2024-09-21T00:00:00"/>
    <d v="2024-09-27T00:00:00"/>
    <s v="Wendy"/>
    <n v="6"/>
  </r>
  <r>
    <d v="2025-05-18T00:00:00"/>
    <x v="2"/>
    <x v="2"/>
    <x v="13"/>
    <x v="2"/>
    <x v="2"/>
    <n v="8"/>
    <n v="505.34"/>
    <s v="Store B"/>
    <x v="1"/>
    <n v="0.05"/>
    <x v="5"/>
    <n v="3840.5839999999998"/>
    <n v="2425.6319999999996"/>
    <n v="1392.0720000000001"/>
    <n v="0.36246362532364873"/>
    <n v="3840.5839999999998"/>
    <s v="Debit Card"/>
    <m/>
    <x v="1"/>
    <n v="0"/>
    <x v="0"/>
    <x v="1246"/>
    <s v="Cust 4061"/>
    <n v="22.88"/>
    <d v="2025-05-18T00:00:00"/>
    <d v="2025-05-27T00:00:00"/>
    <s v="Ryan"/>
    <n v="9"/>
  </r>
  <r>
    <d v="2024-07-11T00:00:00"/>
    <x v="8"/>
    <x v="1"/>
    <x v="10"/>
    <x v="0"/>
    <x v="4"/>
    <n v="6"/>
    <n v="100.75"/>
    <s v="Store A"/>
    <x v="0"/>
    <n v="0.1"/>
    <x v="2"/>
    <n v="544.05000000000007"/>
    <n v="362.7"/>
    <n v="168.37000000000009"/>
    <n v="0.30947523205587735"/>
    <n v="544.05000000000007"/>
    <s v="Credit Card"/>
    <s v="FREESHIP"/>
    <x v="0"/>
    <n v="0"/>
    <x v="0"/>
    <x v="1247"/>
    <s v="Cust 8095"/>
    <n v="12.98"/>
    <d v="2024-07-11T00:00:00"/>
    <d v="2024-07-14T00:00:00"/>
    <s v="Eric"/>
    <n v="3"/>
  </r>
  <r>
    <d v="2025-01-27T00:00:00"/>
    <x v="4"/>
    <x v="2"/>
    <x v="12"/>
    <x v="2"/>
    <x v="5"/>
    <n v="8"/>
    <n v="352.72"/>
    <s v="Store C"/>
    <x v="1"/>
    <n v="0.05"/>
    <x v="3"/>
    <n v="2680.672"/>
    <n v="1693.056"/>
    <n v="956.81600000000003"/>
    <n v="0.35693139630659776"/>
    <n v="2680.672"/>
    <s v="Cash"/>
    <m/>
    <x v="1"/>
    <n v="0"/>
    <x v="0"/>
    <x v="1248"/>
    <s v="Cust 2435"/>
    <n v="30.8"/>
    <d v="2025-01-27T00:00:00"/>
    <d v="2025-02-04T00:00:00"/>
    <s v="Ryan"/>
    <n v="8"/>
  </r>
  <r>
    <d v="2023-11-26T00:00:00"/>
    <x v="9"/>
    <x v="0"/>
    <x v="15"/>
    <x v="0"/>
    <x v="0"/>
    <n v="9"/>
    <n v="526.26"/>
    <s v="Store B"/>
    <x v="1"/>
    <n v="0"/>
    <x v="5"/>
    <n v="4736.34"/>
    <n v="2841.8039999999996"/>
    <n v="1879.0660000000005"/>
    <n v="0.39673376489018958"/>
    <n v="4736.34"/>
    <s v="Cash"/>
    <s v="FREESHIP"/>
    <x v="0"/>
    <n v="0"/>
    <x v="0"/>
    <x v="1249"/>
    <s v="Cust 6785"/>
    <n v="15.47"/>
    <d v="2023-11-26T00:00:00"/>
    <d v="2023-12-06T00:00:00"/>
    <s v="Eric"/>
    <n v="10"/>
  </r>
  <r>
    <d v="2024-06-02T00:00:00"/>
    <x v="3"/>
    <x v="1"/>
    <x v="23"/>
    <x v="3"/>
    <x v="6"/>
    <n v="18"/>
    <n v="519.41999999999996"/>
    <s v="Store C"/>
    <x v="1"/>
    <n v="0.15"/>
    <x v="0"/>
    <n v="7947.1259999999993"/>
    <n v="5609.7359999999999"/>
    <n v="2304.4299999999994"/>
    <n v="0.28997023578083442"/>
    <n v="7947.1259999999993"/>
    <s v="Cash"/>
    <s v="WINTER15"/>
    <x v="0"/>
    <n v="0"/>
    <x v="0"/>
    <x v="1250"/>
    <s v="Cust 6485"/>
    <n v="32.96"/>
    <d v="2024-06-02T00:00:00"/>
    <d v="2024-06-04T00:00:00"/>
    <s v="Cameron"/>
    <n v="2"/>
  </r>
  <r>
    <d v="2023-01-17T00:00:00"/>
    <x v="4"/>
    <x v="0"/>
    <x v="6"/>
    <x v="2"/>
    <x v="3"/>
    <n v="18"/>
    <n v="108.46"/>
    <s v="Store D"/>
    <x v="0"/>
    <n v="0.05"/>
    <x v="2"/>
    <n v="1854.6659999999999"/>
    <n v="1171.3679999999999"/>
    <n v="672.57799999999997"/>
    <n v="0.3626410361757858"/>
    <n v="1854.6659999999999"/>
    <s v="Online"/>
    <s v="SAVE10"/>
    <x v="0"/>
    <n v="0"/>
    <x v="0"/>
    <x v="1251"/>
    <s v="Cust 6960"/>
    <n v="10.72"/>
    <d v="2023-01-17T00:00:00"/>
    <d v="2023-01-24T00:00:00"/>
    <s v="Ryan"/>
    <n v="7"/>
  </r>
  <r>
    <d v="2025-05-03T00:00:00"/>
    <x v="2"/>
    <x v="2"/>
    <x v="13"/>
    <x v="2"/>
    <x v="2"/>
    <n v="13"/>
    <n v="420.68"/>
    <s v="Store D"/>
    <x v="0"/>
    <n v="0.05"/>
    <x v="2"/>
    <n v="5195.3980000000001"/>
    <n v="3281.3039999999996"/>
    <n v="1889.5840000000005"/>
    <n v="0.36370341598468497"/>
    <n v="5195.3980000000001"/>
    <s v="Online"/>
    <m/>
    <x v="1"/>
    <n v="0"/>
    <x v="0"/>
    <x v="1252"/>
    <s v="Cust 1135"/>
    <n v="24.51"/>
    <d v="2025-05-03T00:00:00"/>
    <d v="2025-05-11T00:00:00"/>
    <s v="Ryan"/>
    <n v="8"/>
  </r>
  <r>
    <d v="2025-01-05T00:00:00"/>
    <x v="4"/>
    <x v="2"/>
    <x v="12"/>
    <x v="2"/>
    <x v="6"/>
    <n v="17"/>
    <n v="5.91"/>
    <s v="Store A"/>
    <x v="0"/>
    <n v="0.15"/>
    <x v="0"/>
    <n v="85.399500000000003"/>
    <n v="60.281999999999996"/>
    <n v="-19.732499999999995"/>
    <n v="-0.2310610717861345"/>
    <n v="85.399500000000003"/>
    <s v="Online"/>
    <s v="SAVE10"/>
    <x v="0"/>
    <n v="0"/>
    <x v="0"/>
    <x v="1253"/>
    <s v="Cust 6186"/>
    <n v="44.85"/>
    <d v="2025-01-05T00:00:00"/>
    <d v="2025-01-13T00:00:00"/>
    <s v="Ryan"/>
    <n v="8"/>
  </r>
  <r>
    <d v="2024-02-20T00:00:00"/>
    <x v="0"/>
    <x v="1"/>
    <x v="5"/>
    <x v="0"/>
    <x v="1"/>
    <n v="4"/>
    <n v="452.77"/>
    <s v="Store B"/>
    <x v="1"/>
    <n v="0"/>
    <x v="4"/>
    <n v="1811.08"/>
    <n v="1086.6479999999999"/>
    <n v="692.42200000000003"/>
    <n v="0.38232546325949163"/>
    <n v="1811.08"/>
    <s v="Debit Card"/>
    <s v="SAVE10"/>
    <x v="0"/>
    <n v="0"/>
    <x v="0"/>
    <x v="1254"/>
    <s v="Cust 8828"/>
    <n v="32.01"/>
    <d v="2024-02-20T00:00:00"/>
    <d v="2024-03-01T00:00:00"/>
    <s v="Eric"/>
    <n v="10"/>
  </r>
  <r>
    <d v="2023-12-26T00:00:00"/>
    <x v="1"/>
    <x v="0"/>
    <x v="27"/>
    <x v="2"/>
    <x v="4"/>
    <n v="7"/>
    <n v="157"/>
    <s v="Store A"/>
    <x v="0"/>
    <n v="0.15"/>
    <x v="1"/>
    <n v="934.15"/>
    <n v="659.4"/>
    <n v="235.03"/>
    <n v="0.25159770914735324"/>
    <n v="934.15"/>
    <s v="Online"/>
    <s v="SAVE10"/>
    <x v="0"/>
    <n v="1"/>
    <x v="1"/>
    <x v="1255"/>
    <s v="Cust 9097"/>
    <n v="39.72"/>
    <d v="2023-12-26T00:00:00"/>
    <d v="2024-01-04T00:00:00"/>
    <s v="Ryan"/>
    <n v="9"/>
  </r>
  <r>
    <d v="2023-03-07T00:00:00"/>
    <x v="6"/>
    <x v="0"/>
    <x v="17"/>
    <x v="2"/>
    <x v="6"/>
    <n v="11"/>
    <n v="550.86"/>
    <s v="Store C"/>
    <x v="1"/>
    <n v="0.1"/>
    <x v="5"/>
    <n v="5453.5140000000001"/>
    <n v="3635.6760000000004"/>
    <n v="1796.0179999999998"/>
    <n v="0.32933224339389239"/>
    <n v="5453.5140000000001"/>
    <s v="Online"/>
    <s v="FREESHIP"/>
    <x v="0"/>
    <n v="0"/>
    <x v="0"/>
    <x v="1256"/>
    <s v="Cust 4744"/>
    <n v="21.82"/>
    <d v="2023-03-07T00:00:00"/>
    <d v="2023-03-12T00:00:00"/>
    <s v="Ryan"/>
    <n v="5"/>
  </r>
  <r>
    <d v="2024-09-13T00:00:00"/>
    <x v="11"/>
    <x v="1"/>
    <x v="26"/>
    <x v="2"/>
    <x v="3"/>
    <n v="5"/>
    <n v="172.65"/>
    <s v="Store C"/>
    <x v="0"/>
    <n v="0.15"/>
    <x v="1"/>
    <n v="733.76249999999993"/>
    <n v="517.95000000000005"/>
    <n v="187.51249999999987"/>
    <n v="0.25554930921108654"/>
    <n v="733.76249999999993"/>
    <s v="Cash"/>
    <s v="SAVE10"/>
    <x v="0"/>
    <n v="0"/>
    <x v="0"/>
    <x v="1257"/>
    <s v="Cust 4287"/>
    <n v="28.3"/>
    <d v="2024-09-13T00:00:00"/>
    <d v="2024-09-22T00:00:00"/>
    <s v="Ryan"/>
    <n v="9"/>
  </r>
  <r>
    <d v="2024-01-02T00:00:00"/>
    <x v="4"/>
    <x v="1"/>
    <x v="24"/>
    <x v="0"/>
    <x v="5"/>
    <n v="16"/>
    <n v="145.30000000000001"/>
    <s v="Store B"/>
    <x v="0"/>
    <n v="0"/>
    <x v="0"/>
    <n v="2324.8000000000002"/>
    <n v="1394.88"/>
    <n v="900.28000000000009"/>
    <n v="0.38725051617343426"/>
    <n v="2324.8000000000002"/>
    <s v="Credit Card"/>
    <s v="FREESHIP"/>
    <x v="0"/>
    <n v="1"/>
    <x v="1"/>
    <x v="1258"/>
    <s v="Cust 2236"/>
    <n v="29.64"/>
    <d v="2024-01-02T00:00:00"/>
    <d v="2024-01-12T00:00:00"/>
    <s v="Eric"/>
    <n v="10"/>
  </r>
  <r>
    <d v="2025-02-08T00:00:00"/>
    <x v="0"/>
    <x v="2"/>
    <x v="3"/>
    <x v="1"/>
    <x v="6"/>
    <n v="10"/>
    <n v="67.38"/>
    <s v="Store C"/>
    <x v="1"/>
    <n v="0.1"/>
    <x v="4"/>
    <n v="606.41999999999996"/>
    <n v="404.28"/>
    <n v="181.56"/>
    <n v="0.29939645790046504"/>
    <n v="606.41999999999996"/>
    <s v="Gift Card"/>
    <s v="FREESHIP"/>
    <x v="0"/>
    <n v="1"/>
    <x v="1"/>
    <x v="1259"/>
    <s v="Cust 5312"/>
    <n v="20.58"/>
    <d v="2025-02-08T00:00:00"/>
    <d v="2025-02-18T00:00:00"/>
    <s v="Sophie"/>
    <n v="10"/>
  </r>
  <r>
    <d v="2025-03-04T00:00:00"/>
    <x v="6"/>
    <x v="2"/>
    <x v="8"/>
    <x v="1"/>
    <x v="6"/>
    <n v="15"/>
    <n v="141.13"/>
    <s v="Store D"/>
    <x v="0"/>
    <n v="0"/>
    <x v="3"/>
    <n v="2116.9499999999998"/>
    <n v="1270.17"/>
    <n v="827.14999999999975"/>
    <n v="0.39072722548950134"/>
    <n v="2116.9499999999998"/>
    <s v="Cash"/>
    <s v="SAVE10"/>
    <x v="0"/>
    <n v="0"/>
    <x v="0"/>
    <x v="1260"/>
    <s v="Cust 5096"/>
    <n v="19.63"/>
    <d v="2025-03-04T00:00:00"/>
    <d v="2025-03-12T00:00:00"/>
    <s v="Sophie"/>
    <n v="8"/>
  </r>
  <r>
    <d v="2024-03-12T00:00:00"/>
    <x v="6"/>
    <x v="1"/>
    <x v="25"/>
    <x v="3"/>
    <x v="5"/>
    <n v="1"/>
    <n v="534.61"/>
    <s v="Store D"/>
    <x v="1"/>
    <n v="0.05"/>
    <x v="2"/>
    <n v="507.87950000000001"/>
    <n v="320.76600000000002"/>
    <n v="164.43349999999998"/>
    <n v="0.3237647906639271"/>
    <n v="507.87950000000001"/>
    <s v="Online"/>
    <s v="SAVE10"/>
    <x v="0"/>
    <n v="0"/>
    <x v="0"/>
    <x v="1261"/>
    <s v="Cust 1162"/>
    <n v="22.68"/>
    <d v="2024-03-12T00:00:00"/>
    <d v="2024-03-21T00:00:00"/>
    <s v="Cameron"/>
    <n v="9"/>
  </r>
  <r>
    <d v="2024-07-03T00:00:00"/>
    <x v="8"/>
    <x v="1"/>
    <x v="10"/>
    <x v="0"/>
    <x v="1"/>
    <n v="9"/>
    <n v="560.04"/>
    <s v="Store D"/>
    <x v="1"/>
    <n v="0.05"/>
    <x v="3"/>
    <n v="4788.3419999999996"/>
    <n v="3024.2159999999994"/>
    <n v="1741.3160000000003"/>
    <n v="0.36365739957588666"/>
    <n v="4788.3419999999996"/>
    <s v="Gift Card"/>
    <s v="WINTER15"/>
    <x v="0"/>
    <n v="0"/>
    <x v="0"/>
    <x v="1262"/>
    <s v="Cust 1669"/>
    <n v="22.81"/>
    <d v="2024-07-03T00:00:00"/>
    <d v="2024-07-07T00:00:00"/>
    <s v="Eric"/>
    <n v="4"/>
  </r>
  <r>
    <d v="2025-01-05T00:00:00"/>
    <x v="4"/>
    <x v="2"/>
    <x v="12"/>
    <x v="2"/>
    <x v="0"/>
    <n v="8"/>
    <n v="275.32"/>
    <s v="Store D"/>
    <x v="1"/>
    <n v="0.1"/>
    <x v="4"/>
    <n v="1982.3040000000001"/>
    <n v="1321.5359999999998"/>
    <n v="642.50800000000027"/>
    <n v="0.3241218299514102"/>
    <n v="1982.3040000000001"/>
    <s v="Cash"/>
    <s v="SAVE10"/>
    <x v="0"/>
    <n v="0"/>
    <x v="0"/>
    <x v="1263"/>
    <s v="Cust 6213"/>
    <n v="18.260000000000002"/>
    <d v="2025-01-05T00:00:00"/>
    <d v="2025-01-13T00:00:00"/>
    <s v="Ryan"/>
    <n v="8"/>
  </r>
  <r>
    <d v="2024-03-21T00:00:00"/>
    <x v="6"/>
    <x v="1"/>
    <x v="25"/>
    <x v="0"/>
    <x v="1"/>
    <n v="3"/>
    <n v="105.73"/>
    <s v="Store D"/>
    <x v="1"/>
    <n v="0.05"/>
    <x v="5"/>
    <n v="301.33049999999997"/>
    <n v="190.31400000000002"/>
    <n v="98.896499999999946"/>
    <n v="0.32819943550354164"/>
    <n v="301.33049999999997"/>
    <s v="Debit Card"/>
    <s v="FREESHIP"/>
    <x v="0"/>
    <n v="1"/>
    <x v="1"/>
    <x v="1264"/>
    <s v="Cust 7659"/>
    <n v="12.12"/>
    <d v="2024-03-21T00:00:00"/>
    <d v="2024-03-28T00:00:00"/>
    <s v="Eric"/>
    <n v="7"/>
  </r>
  <r>
    <d v="2025-03-28T00:00:00"/>
    <x v="6"/>
    <x v="2"/>
    <x v="8"/>
    <x v="3"/>
    <x v="4"/>
    <n v="15"/>
    <n v="568.80999999999995"/>
    <s v="Store D"/>
    <x v="1"/>
    <n v="0.1"/>
    <x v="2"/>
    <n v="7678.9349999999995"/>
    <n v="5119.2899999999991"/>
    <n v="2551.1050000000005"/>
    <n v="0.33222119994504457"/>
    <n v="7678.9349999999986"/>
    <s v="Gift Card"/>
    <m/>
    <x v="1"/>
    <n v="0"/>
    <x v="0"/>
    <x v="1265"/>
    <s v="Cust 2894"/>
    <n v="8.5399999999999991"/>
    <d v="2025-03-28T00:00:00"/>
    <d v="2025-04-03T00:00:00"/>
    <s v="Cameron"/>
    <n v="6"/>
  </r>
  <r>
    <d v="2025-04-13T00:00:00"/>
    <x v="7"/>
    <x v="2"/>
    <x v="28"/>
    <x v="3"/>
    <x v="0"/>
    <n v="20"/>
    <n v="190.39"/>
    <s v="Store B"/>
    <x v="1"/>
    <n v="0.1"/>
    <x v="5"/>
    <n v="3427.02"/>
    <n v="2284.6799999999998"/>
    <n v="1092.4100000000001"/>
    <n v="0.31876382396367692"/>
    <n v="3427.02"/>
    <s v="Gift Card"/>
    <s v="SAVE10"/>
    <x v="0"/>
    <n v="0"/>
    <x v="0"/>
    <x v="1266"/>
    <s v="Cust 1457"/>
    <n v="49.93"/>
    <d v="2025-04-13T00:00:00"/>
    <d v="2025-04-18T00:00:00"/>
    <s v="Cameron"/>
    <n v="5"/>
  </r>
  <r>
    <d v="2024-04-30T00:00:00"/>
    <x v="7"/>
    <x v="1"/>
    <x v="9"/>
    <x v="4"/>
    <x v="3"/>
    <n v="19"/>
    <n v="433.39"/>
    <s v="Store C"/>
    <x v="1"/>
    <n v="0.05"/>
    <x v="5"/>
    <n v="7822.6894999999995"/>
    <n v="4940.6459999999997"/>
    <n v="2874.4534999999996"/>
    <n v="0.36745079809188386"/>
    <n v="7822.6894999999986"/>
    <s v="Online"/>
    <s v="WINTER15"/>
    <x v="0"/>
    <n v="0"/>
    <x v="0"/>
    <x v="1267"/>
    <s v="Cust 2410"/>
    <n v="7.59"/>
    <d v="2024-04-30T00:00:00"/>
    <d v="2024-05-09T00:00:00"/>
    <s v="Wendy"/>
    <n v="9"/>
  </r>
  <r>
    <d v="2025-02-15T00:00:00"/>
    <x v="0"/>
    <x v="2"/>
    <x v="3"/>
    <x v="1"/>
    <x v="1"/>
    <n v="1"/>
    <n v="92.72"/>
    <s v="Store C"/>
    <x v="0"/>
    <n v="0.15"/>
    <x v="0"/>
    <n v="78.811999999999998"/>
    <n v="55.631999999999998"/>
    <n v="-25.28"/>
    <n v="-0.32076333553266001"/>
    <n v="78.811999999999998"/>
    <s v="Debit Card"/>
    <s v="WINTER15"/>
    <x v="0"/>
    <n v="0"/>
    <x v="0"/>
    <x v="1268"/>
    <s v="Cust 4723"/>
    <n v="48.46"/>
    <d v="2025-02-15T00:00:00"/>
    <d v="2025-02-19T00:00:00"/>
    <s v="Sophie"/>
    <n v="4"/>
  </r>
  <r>
    <d v="2025-02-18T00:00:00"/>
    <x v="0"/>
    <x v="2"/>
    <x v="3"/>
    <x v="4"/>
    <x v="0"/>
    <n v="1"/>
    <n v="263.27999999999997"/>
    <s v="Store D"/>
    <x v="0"/>
    <n v="0.1"/>
    <x v="0"/>
    <n v="236.95199999999997"/>
    <n v="157.96799999999999"/>
    <n v="42.703999999999979"/>
    <n v="0.18022215469799785"/>
    <n v="236.952"/>
    <s v="Credit Card"/>
    <s v="SAVE10"/>
    <x v="0"/>
    <n v="0"/>
    <x v="0"/>
    <x v="1269"/>
    <s v="Cust 1586"/>
    <n v="36.28"/>
    <d v="2025-02-18T00:00:00"/>
    <d v="2025-02-23T00:00:00"/>
    <s v="Wendy"/>
    <n v="5"/>
  </r>
  <r>
    <d v="2023-09-08T00:00:00"/>
    <x v="11"/>
    <x v="0"/>
    <x v="22"/>
    <x v="4"/>
    <x v="1"/>
    <n v="11"/>
    <n v="358.59"/>
    <s v="Store B"/>
    <x v="0"/>
    <n v="0"/>
    <x v="2"/>
    <n v="3944.49"/>
    <n v="2366.6939999999995"/>
    <n v="1548.6060000000002"/>
    <n v="0.39259980377691422"/>
    <n v="3944.49"/>
    <s v="Credit Card"/>
    <m/>
    <x v="1"/>
    <n v="0"/>
    <x v="0"/>
    <x v="1270"/>
    <s v="Cust 5049"/>
    <n v="29.19"/>
    <d v="2023-09-08T00:00:00"/>
    <d v="2023-09-10T00:00:00"/>
    <s v="Wendy"/>
    <n v="2"/>
  </r>
  <r>
    <d v="2024-02-04T00:00:00"/>
    <x v="0"/>
    <x v="1"/>
    <x v="5"/>
    <x v="3"/>
    <x v="5"/>
    <n v="18"/>
    <n v="595.53"/>
    <s v="Store B"/>
    <x v="1"/>
    <n v="0"/>
    <x v="2"/>
    <n v="10719.539999999999"/>
    <n v="6431.7240000000002"/>
    <n v="4244.905999999999"/>
    <n v="0.39599702972329032"/>
    <n v="10719.54"/>
    <s v="Cash"/>
    <s v="WINTER15"/>
    <x v="0"/>
    <n v="0"/>
    <x v="0"/>
    <x v="1271"/>
    <s v="Cust 9534"/>
    <n v="42.91"/>
    <d v="2024-02-04T00:00:00"/>
    <d v="2024-02-06T00:00:00"/>
    <s v="Cameron"/>
    <n v="2"/>
  </r>
  <r>
    <d v="2024-11-25T00:00:00"/>
    <x v="9"/>
    <x v="1"/>
    <x v="20"/>
    <x v="2"/>
    <x v="4"/>
    <n v="14"/>
    <n v="574.32000000000005"/>
    <s v="Store D"/>
    <x v="0"/>
    <n v="0.15"/>
    <x v="4"/>
    <n v="6834.4080000000004"/>
    <n v="4824.2880000000005"/>
    <n v="1998.05"/>
    <n v="0.29235158334123451"/>
    <n v="6834.4080000000004"/>
    <s v="Credit Card"/>
    <s v="SAVE10"/>
    <x v="0"/>
    <n v="0"/>
    <x v="0"/>
    <x v="1272"/>
    <s v="Cust 5693"/>
    <n v="12.07"/>
    <d v="2024-11-25T00:00:00"/>
    <d v="2024-12-05T00:00:00"/>
    <s v="Ryan"/>
    <n v="10"/>
  </r>
  <r>
    <d v="2024-12-30T00:00:00"/>
    <x v="1"/>
    <x v="1"/>
    <x v="1"/>
    <x v="2"/>
    <x v="0"/>
    <n v="18"/>
    <n v="444.13"/>
    <s v="Store D"/>
    <x v="1"/>
    <n v="0"/>
    <x v="2"/>
    <n v="7994.34"/>
    <n v="4796.6040000000003"/>
    <n v="3192.326"/>
    <n v="0.39932327121438416"/>
    <n v="7994.34"/>
    <s v="Cash"/>
    <s v="SAVE10"/>
    <x v="0"/>
    <n v="0"/>
    <x v="0"/>
    <x v="1273"/>
    <s v="Cust 6950"/>
    <n v="5.41"/>
    <d v="2024-12-30T00:00:00"/>
    <d v="2025-01-02T00:00:00"/>
    <s v="Ryan"/>
    <n v="3"/>
  </r>
  <r>
    <d v="2023-09-05T00:00:00"/>
    <x v="11"/>
    <x v="0"/>
    <x v="22"/>
    <x v="4"/>
    <x v="5"/>
    <n v="19"/>
    <n v="431.47"/>
    <s v="Store A"/>
    <x v="1"/>
    <n v="0.1"/>
    <x v="0"/>
    <n v="7378.1370000000006"/>
    <n v="4918.7579999999998"/>
    <n v="2410.1490000000008"/>
    <n v="0.32666091724780938"/>
    <n v="7378.1370000000006"/>
    <s v="Gift Card"/>
    <s v="WINTER15"/>
    <x v="0"/>
    <n v="0"/>
    <x v="0"/>
    <x v="1274"/>
    <s v="Cust 7098"/>
    <n v="49.23"/>
    <d v="2023-09-05T00:00:00"/>
    <d v="2023-09-10T00:00:00"/>
    <s v="Wendy"/>
    <n v="5"/>
  </r>
  <r>
    <d v="2023-08-01T00:00:00"/>
    <x v="10"/>
    <x v="0"/>
    <x v="18"/>
    <x v="4"/>
    <x v="6"/>
    <n v="19"/>
    <n v="67.489999999999995"/>
    <s v="Store C"/>
    <x v="1"/>
    <n v="0"/>
    <x v="2"/>
    <n v="1282.31"/>
    <n v="769.38599999999985"/>
    <n v="480.88400000000007"/>
    <n v="0.37501384220664274"/>
    <n v="1282.31"/>
    <s v="Debit Card"/>
    <s v="SAVE10"/>
    <x v="0"/>
    <n v="0"/>
    <x v="0"/>
    <x v="1275"/>
    <s v="Cust 8300"/>
    <n v="32.04"/>
    <d v="2023-08-01T00:00:00"/>
    <d v="2023-08-11T00:00:00"/>
    <s v="Wendy"/>
    <n v="10"/>
  </r>
  <r>
    <d v="2023-01-06T00:00:00"/>
    <x v="4"/>
    <x v="0"/>
    <x v="6"/>
    <x v="3"/>
    <x v="5"/>
    <n v="11"/>
    <n v="25.67"/>
    <s v="Store C"/>
    <x v="1"/>
    <n v="0.15"/>
    <x v="3"/>
    <n v="240.0145"/>
    <n v="169.42200000000003"/>
    <n v="40.472499999999968"/>
    <n v="0.16862522889242096"/>
    <n v="240.0145"/>
    <s v="Credit Card"/>
    <s v="SAVE10"/>
    <x v="0"/>
    <n v="0"/>
    <x v="0"/>
    <x v="1276"/>
    <s v="Cust 9557"/>
    <n v="30.12"/>
    <d v="2023-01-06T00:00:00"/>
    <d v="2023-01-08T00:00:00"/>
    <s v="Cameron"/>
    <n v="2"/>
  </r>
  <r>
    <d v="2025-05-02T00:00:00"/>
    <x v="2"/>
    <x v="2"/>
    <x v="13"/>
    <x v="3"/>
    <x v="1"/>
    <n v="4"/>
    <n v="368.69"/>
    <s v="Store D"/>
    <x v="0"/>
    <n v="0"/>
    <x v="4"/>
    <n v="1474.76"/>
    <n v="884.85599999999999"/>
    <n v="541.33399999999995"/>
    <n v="0.36706582766009382"/>
    <n v="1474.76"/>
    <s v="Gift Card"/>
    <s v="WINTER15"/>
    <x v="0"/>
    <n v="0"/>
    <x v="0"/>
    <x v="1277"/>
    <s v="Cust 8787"/>
    <n v="48.57"/>
    <d v="2025-05-02T00:00:00"/>
    <d v="2025-05-06T00:00:00"/>
    <s v="Cameron"/>
    <n v="4"/>
  </r>
  <r>
    <d v="2023-12-21T00:00:00"/>
    <x v="1"/>
    <x v="0"/>
    <x v="27"/>
    <x v="4"/>
    <x v="4"/>
    <n v="7"/>
    <n v="257.01"/>
    <s v="Store D"/>
    <x v="1"/>
    <n v="0.05"/>
    <x v="0"/>
    <n v="1709.1164999999999"/>
    <n v="1079.442"/>
    <n v="594.15449999999987"/>
    <n v="0.34763838509545719"/>
    <n v="1709.1165000000001"/>
    <s v="Credit Card"/>
    <m/>
    <x v="1"/>
    <n v="0"/>
    <x v="0"/>
    <x v="1278"/>
    <s v="Cust 9717"/>
    <n v="35.520000000000003"/>
    <d v="2023-12-21T00:00:00"/>
    <d v="2023-12-28T00:00:00"/>
    <s v="Wendy"/>
    <n v="7"/>
  </r>
  <r>
    <d v="2024-09-10T00:00:00"/>
    <x v="11"/>
    <x v="1"/>
    <x v="26"/>
    <x v="0"/>
    <x v="0"/>
    <n v="14"/>
    <n v="85.54"/>
    <s v="Store B"/>
    <x v="0"/>
    <n v="0"/>
    <x v="2"/>
    <n v="1197.5600000000002"/>
    <n v="718.53600000000006"/>
    <n v="462.94400000000013"/>
    <n v="0.38657269781889847"/>
    <n v="1197.56"/>
    <s v="Gift Card"/>
    <s v="FREESHIP"/>
    <x v="0"/>
    <n v="0"/>
    <x v="0"/>
    <x v="1279"/>
    <s v="Cust 2719"/>
    <n v="16.079999999999998"/>
    <d v="2024-09-10T00:00:00"/>
    <d v="2024-09-14T00:00:00"/>
    <s v="Eric"/>
    <n v="4"/>
  </r>
  <r>
    <d v="2024-04-05T00:00:00"/>
    <x v="7"/>
    <x v="1"/>
    <x v="9"/>
    <x v="3"/>
    <x v="3"/>
    <n v="9"/>
    <n v="267.60000000000002"/>
    <s v="Store D"/>
    <x v="1"/>
    <n v="0.15"/>
    <x v="0"/>
    <n v="2047.14"/>
    <n v="1445.04"/>
    <n v="593.62000000000012"/>
    <n v="0.28997528258936861"/>
    <n v="2047.14"/>
    <s v="Credit Card"/>
    <s v="FREESHIP"/>
    <x v="0"/>
    <n v="0"/>
    <x v="0"/>
    <x v="1280"/>
    <s v="Cust 6203"/>
    <n v="8.48"/>
    <d v="2024-04-05T00:00:00"/>
    <d v="2024-04-10T00:00:00"/>
    <s v="Cameron"/>
    <n v="5"/>
  </r>
  <r>
    <d v="2023-07-26T00:00:00"/>
    <x v="8"/>
    <x v="0"/>
    <x v="11"/>
    <x v="0"/>
    <x v="2"/>
    <n v="15"/>
    <n v="261.85000000000002"/>
    <s v="Store D"/>
    <x v="0"/>
    <n v="0.15"/>
    <x v="4"/>
    <n v="3338.5875000000001"/>
    <n v="2356.65"/>
    <n v="941.25750000000005"/>
    <n v="0.28193285333992296"/>
    <n v="3338.5875000000001"/>
    <s v="Online"/>
    <s v="SAVE10"/>
    <x v="0"/>
    <n v="0"/>
    <x v="0"/>
    <x v="1281"/>
    <s v="Cust 9151"/>
    <n v="40.68"/>
    <d v="2023-07-26T00:00:00"/>
    <d v="2023-07-31T00:00:00"/>
    <s v="Eric"/>
    <n v="5"/>
  </r>
  <r>
    <d v="2023-11-12T00:00:00"/>
    <x v="9"/>
    <x v="0"/>
    <x v="15"/>
    <x v="0"/>
    <x v="6"/>
    <n v="11"/>
    <n v="199.57"/>
    <s v="Store A"/>
    <x v="1"/>
    <n v="0.05"/>
    <x v="5"/>
    <n v="2085.5065"/>
    <n v="1317.1619999999998"/>
    <n v="719.4045000000001"/>
    <n v="0.34495433123799907"/>
    <n v="2085.5065"/>
    <s v="Debit Card"/>
    <s v="SAVE10"/>
    <x v="0"/>
    <n v="0"/>
    <x v="0"/>
    <x v="1282"/>
    <s v="Cust 5096"/>
    <n v="48.94"/>
    <d v="2023-11-12T00:00:00"/>
    <d v="2023-11-14T00:00:00"/>
    <s v="Eric"/>
    <n v="2"/>
  </r>
  <r>
    <d v="2025-04-18T00:00:00"/>
    <x v="7"/>
    <x v="2"/>
    <x v="28"/>
    <x v="3"/>
    <x v="1"/>
    <n v="5"/>
    <n v="504.96"/>
    <s v="Store C"/>
    <x v="1"/>
    <n v="0.05"/>
    <x v="4"/>
    <n v="2398.5599999999995"/>
    <n v="1514.88"/>
    <n v="861.55999999999938"/>
    <n v="0.35919885264492007"/>
    <n v="2398.559999999999"/>
    <s v="Gift Card"/>
    <s v="FREESHIP"/>
    <x v="0"/>
    <n v="0"/>
    <x v="0"/>
    <x v="1283"/>
    <s v="Cust 4250"/>
    <n v="22.12"/>
    <d v="2025-04-18T00:00:00"/>
    <d v="2025-04-20T00:00:00"/>
    <s v="Cameron"/>
    <n v="2"/>
  </r>
  <r>
    <d v="2023-08-12T00:00:00"/>
    <x v="10"/>
    <x v="0"/>
    <x v="18"/>
    <x v="1"/>
    <x v="3"/>
    <n v="8"/>
    <n v="28.34"/>
    <s v="Store C"/>
    <x v="0"/>
    <n v="0.05"/>
    <x v="1"/>
    <n v="215.38399999999999"/>
    <n v="136.03199999999998"/>
    <n v="56.162000000000006"/>
    <n v="0.26075288786539397"/>
    <n v="215.38399999999999"/>
    <s v="Cash"/>
    <m/>
    <x v="1"/>
    <n v="1"/>
    <x v="1"/>
    <x v="1284"/>
    <s v="Cust 1276"/>
    <n v="23.19"/>
    <d v="2023-08-12T00:00:00"/>
    <d v="2023-08-19T00:00:00"/>
    <s v="Sophie"/>
    <n v="7"/>
  </r>
  <r>
    <d v="2024-12-12T00:00:00"/>
    <x v="1"/>
    <x v="1"/>
    <x v="1"/>
    <x v="4"/>
    <x v="6"/>
    <n v="17"/>
    <n v="495.13"/>
    <s v="Store D"/>
    <x v="0"/>
    <n v="0.1"/>
    <x v="1"/>
    <n v="7575.4889999999996"/>
    <n v="5050.3259999999991"/>
    <n v="2498.7930000000006"/>
    <n v="0.32985236992621869"/>
    <n v="7575.4889999999996"/>
    <s v="Online"/>
    <s v="FREESHIP"/>
    <x v="0"/>
    <n v="1"/>
    <x v="1"/>
    <x v="1285"/>
    <s v="Cust 6063"/>
    <n v="26.37"/>
    <d v="2024-12-12T00:00:00"/>
    <d v="2024-12-21T00:00:00"/>
    <s v="Wendy"/>
    <n v="9"/>
  </r>
  <r>
    <d v="2025-05-07T00:00:00"/>
    <x v="2"/>
    <x v="2"/>
    <x v="13"/>
    <x v="4"/>
    <x v="1"/>
    <n v="14"/>
    <n v="142.05000000000001"/>
    <s v="Store D"/>
    <x v="1"/>
    <n v="0.05"/>
    <x v="2"/>
    <n v="1889.2650000000001"/>
    <n v="1193.22"/>
    <n v="662.3950000000001"/>
    <n v="0.35060989326537045"/>
    <n v="1889.2650000000001"/>
    <s v="Gift Card"/>
    <s v="SAVE10"/>
    <x v="0"/>
    <n v="0"/>
    <x v="0"/>
    <x v="1286"/>
    <s v="Cust 7604"/>
    <n v="33.65"/>
    <d v="2025-05-07T00:00:00"/>
    <d v="2025-05-13T00:00:00"/>
    <s v="Wendy"/>
    <n v="6"/>
  </r>
  <r>
    <d v="2025-03-10T00:00:00"/>
    <x v="6"/>
    <x v="2"/>
    <x v="8"/>
    <x v="0"/>
    <x v="3"/>
    <n v="16"/>
    <n v="504.36"/>
    <s v="Store D"/>
    <x v="0"/>
    <n v="0"/>
    <x v="5"/>
    <n v="8069.76"/>
    <n v="4841.8559999999998"/>
    <n v="3216.2340000000004"/>
    <n v="0.39855386033785395"/>
    <n v="8069.76"/>
    <s v="Debit Card"/>
    <m/>
    <x v="1"/>
    <n v="1"/>
    <x v="1"/>
    <x v="1287"/>
    <s v="Cust 9402"/>
    <n v="11.67"/>
    <d v="2025-03-10T00:00:00"/>
    <d v="2025-03-13T00:00:00"/>
    <s v="Eric"/>
    <n v="3"/>
  </r>
  <r>
    <d v="2025-06-01T00:00:00"/>
    <x v="3"/>
    <x v="2"/>
    <x v="16"/>
    <x v="0"/>
    <x v="2"/>
    <n v="7"/>
    <n v="122.2"/>
    <s v="Store B"/>
    <x v="1"/>
    <n v="0"/>
    <x v="3"/>
    <n v="855.4"/>
    <n v="513.24"/>
    <n v="311.95"/>
    <n v="0.36468318915127423"/>
    <n v="855.4"/>
    <s v="Credit Card"/>
    <m/>
    <x v="1"/>
    <n v="0"/>
    <x v="0"/>
    <x v="1288"/>
    <s v="Cust 4398"/>
    <n v="30.21"/>
    <d v="2025-06-01T00:00:00"/>
    <d v="2025-06-10T00:00:00"/>
    <s v="Eric"/>
    <n v="9"/>
  </r>
  <r>
    <d v="2025-05-19T00:00:00"/>
    <x v="2"/>
    <x v="2"/>
    <x v="13"/>
    <x v="4"/>
    <x v="3"/>
    <n v="7"/>
    <n v="338.42"/>
    <s v="Store B"/>
    <x v="1"/>
    <n v="0.15"/>
    <x v="1"/>
    <n v="2013.5989999999999"/>
    <n v="1421.364"/>
    <n v="586.41499999999985"/>
    <n v="0.2912272999738279"/>
    <n v="2013.5989999999999"/>
    <s v="Online"/>
    <s v="FREESHIP"/>
    <x v="0"/>
    <n v="0"/>
    <x v="0"/>
    <x v="1289"/>
    <s v="Cust 8770"/>
    <n v="5.82"/>
    <d v="2025-05-19T00:00:00"/>
    <d v="2025-05-21T00:00:00"/>
    <s v="Wendy"/>
    <n v="2"/>
  </r>
  <r>
    <d v="2023-02-08T00:00:00"/>
    <x v="0"/>
    <x v="0"/>
    <x v="0"/>
    <x v="0"/>
    <x v="5"/>
    <n v="4"/>
    <n v="224.75"/>
    <s v="Store D"/>
    <x v="0"/>
    <n v="0"/>
    <x v="2"/>
    <n v="899"/>
    <n v="539.4"/>
    <n v="315.74"/>
    <n v="0.35121245828698555"/>
    <n v="899"/>
    <s v="Debit Card"/>
    <m/>
    <x v="1"/>
    <n v="0"/>
    <x v="0"/>
    <x v="1290"/>
    <s v="Cust 2148"/>
    <n v="43.86"/>
    <d v="2023-02-08T00:00:00"/>
    <d v="2023-02-16T00:00:00"/>
    <s v="Eric"/>
    <n v="8"/>
  </r>
  <r>
    <d v="2025-04-24T00:00:00"/>
    <x v="7"/>
    <x v="2"/>
    <x v="28"/>
    <x v="3"/>
    <x v="2"/>
    <n v="16"/>
    <n v="509.71"/>
    <s v="Store C"/>
    <x v="0"/>
    <n v="0.1"/>
    <x v="3"/>
    <n v="7339.8239999999996"/>
    <n v="4893.2159999999994"/>
    <n v="2404.828"/>
    <n v="0.32764109875114172"/>
    <n v="7339.8239999999996"/>
    <s v="Cash"/>
    <m/>
    <x v="1"/>
    <n v="0"/>
    <x v="0"/>
    <x v="1291"/>
    <s v="Cust 4107"/>
    <n v="41.78"/>
    <d v="2025-04-24T00:00:00"/>
    <d v="2025-05-03T00:00:00"/>
    <s v="Cameron"/>
    <n v="9"/>
  </r>
  <r>
    <d v="2024-09-01T00:00:00"/>
    <x v="11"/>
    <x v="1"/>
    <x v="26"/>
    <x v="2"/>
    <x v="5"/>
    <n v="14"/>
    <n v="297.56"/>
    <s v="Store B"/>
    <x v="0"/>
    <n v="0.1"/>
    <x v="4"/>
    <n v="3749.2560000000003"/>
    <n v="2499.5039999999999"/>
    <n v="1218.3120000000004"/>
    <n v="0.3249476696176522"/>
    <n v="3749.2559999999999"/>
    <s v="Debit Card"/>
    <s v="FREESHIP"/>
    <x v="0"/>
    <n v="0"/>
    <x v="0"/>
    <x v="1292"/>
    <s v="Cust 4450"/>
    <n v="31.44"/>
    <d v="2024-09-01T00:00:00"/>
    <d v="2024-09-08T00:00:00"/>
    <s v="Ryan"/>
    <n v="7"/>
  </r>
  <r>
    <d v="2024-11-07T00:00:00"/>
    <x v="9"/>
    <x v="1"/>
    <x v="20"/>
    <x v="3"/>
    <x v="6"/>
    <n v="13"/>
    <n v="365.11"/>
    <s v="Store C"/>
    <x v="1"/>
    <n v="0.05"/>
    <x v="4"/>
    <n v="4509.1085000000003"/>
    <n v="2847.8580000000002"/>
    <n v="1647.2805000000001"/>
    <n v="0.36532287923433199"/>
    <n v="4509.1085000000003"/>
    <s v="Online"/>
    <m/>
    <x v="1"/>
    <n v="0"/>
    <x v="0"/>
    <x v="1293"/>
    <s v="Cust 8233"/>
    <n v="13.97"/>
    <d v="2024-11-07T00:00:00"/>
    <d v="2024-11-13T00:00:00"/>
    <s v="Cameron"/>
    <n v="6"/>
  </r>
  <r>
    <d v="2024-11-29T00:00:00"/>
    <x v="9"/>
    <x v="1"/>
    <x v="20"/>
    <x v="0"/>
    <x v="3"/>
    <n v="1"/>
    <n v="139.13"/>
    <s v="Store C"/>
    <x v="0"/>
    <n v="0"/>
    <x v="3"/>
    <n v="139.13"/>
    <n v="83.477999999999994"/>
    <n v="19.731999999999999"/>
    <n v="0.14182419320060374"/>
    <n v="139.13"/>
    <s v="Cash"/>
    <m/>
    <x v="1"/>
    <n v="1"/>
    <x v="1"/>
    <x v="1294"/>
    <s v="Cust 9012"/>
    <n v="35.92"/>
    <d v="2024-11-29T00:00:00"/>
    <d v="2024-12-02T00:00:00"/>
    <s v="Eric"/>
    <n v="3"/>
  </r>
  <r>
    <d v="2023-04-10T00:00:00"/>
    <x v="7"/>
    <x v="0"/>
    <x v="21"/>
    <x v="4"/>
    <x v="3"/>
    <n v="6"/>
    <n v="543.89"/>
    <s v="Store C"/>
    <x v="1"/>
    <n v="0"/>
    <x v="5"/>
    <n v="3263.34"/>
    <n v="1958.0039999999999"/>
    <n v="1292.1460000000002"/>
    <n v="0.39595812878829667"/>
    <n v="3263.34"/>
    <s v="Cash"/>
    <m/>
    <x v="1"/>
    <n v="1"/>
    <x v="1"/>
    <x v="1295"/>
    <s v="Cust 1496"/>
    <n v="13.19"/>
    <d v="2023-04-10T00:00:00"/>
    <d v="2023-04-20T00:00:00"/>
    <s v="Wendy"/>
    <n v="10"/>
  </r>
  <r>
    <d v="2024-01-10T00:00:00"/>
    <x v="4"/>
    <x v="1"/>
    <x v="24"/>
    <x v="2"/>
    <x v="6"/>
    <n v="19"/>
    <n v="219.7"/>
    <s v="Store A"/>
    <x v="1"/>
    <n v="0"/>
    <x v="1"/>
    <n v="4174.3"/>
    <n v="2504.58"/>
    <n v="1654.3400000000001"/>
    <n v="0.39631554991256018"/>
    <n v="4174.3"/>
    <s v="Cash"/>
    <s v="FREESHIP"/>
    <x v="0"/>
    <n v="0"/>
    <x v="0"/>
    <x v="1296"/>
    <s v="Cust 9365"/>
    <n v="15.38"/>
    <d v="2024-01-10T00:00:00"/>
    <d v="2024-01-16T00:00:00"/>
    <s v="Ryan"/>
    <n v="6"/>
  </r>
  <r>
    <d v="2025-05-17T00:00:00"/>
    <x v="2"/>
    <x v="2"/>
    <x v="13"/>
    <x v="1"/>
    <x v="1"/>
    <n v="6"/>
    <n v="94.34"/>
    <s v="Store C"/>
    <x v="1"/>
    <n v="0.05"/>
    <x v="1"/>
    <n v="537.73799999999994"/>
    <n v="339.62400000000002"/>
    <n v="148.85399999999993"/>
    <n v="0.27681510326590264"/>
    <n v="537.73799999999994"/>
    <s v="Cash"/>
    <s v="WINTER15"/>
    <x v="0"/>
    <n v="1"/>
    <x v="1"/>
    <x v="1297"/>
    <s v="Cust 1392"/>
    <n v="49.26"/>
    <d v="2025-05-17T00:00:00"/>
    <d v="2025-05-23T00:00:00"/>
    <s v="Sophie"/>
    <n v="6"/>
  </r>
  <r>
    <d v="2024-07-26T00:00:00"/>
    <x v="8"/>
    <x v="1"/>
    <x v="10"/>
    <x v="3"/>
    <x v="0"/>
    <n v="9"/>
    <n v="486.58"/>
    <s v="Store A"/>
    <x v="1"/>
    <n v="0.15"/>
    <x v="1"/>
    <n v="3722.337"/>
    <n v="2627.5319999999997"/>
    <n v="1056.0850000000003"/>
    <n v="0.2837155797554064"/>
    <n v="3722.337"/>
    <s v="Online"/>
    <s v="FREESHIP"/>
    <x v="0"/>
    <n v="0"/>
    <x v="0"/>
    <x v="1298"/>
    <s v="Cust 3474"/>
    <n v="38.72"/>
    <d v="2024-07-26T00:00:00"/>
    <d v="2024-07-30T00:00:00"/>
    <s v="Cameron"/>
    <n v="4"/>
  </r>
  <r>
    <d v="2024-12-26T00:00:00"/>
    <x v="1"/>
    <x v="1"/>
    <x v="1"/>
    <x v="1"/>
    <x v="2"/>
    <n v="12"/>
    <n v="578.86"/>
    <s v="Store D"/>
    <x v="1"/>
    <n v="0.15"/>
    <x v="2"/>
    <n v="5904.3719999999994"/>
    <n v="4167.7919999999995"/>
    <n v="1710.74"/>
    <n v="0.28974122904180161"/>
    <n v="5904.3719999999994"/>
    <s v="Cash"/>
    <s v="FREESHIP"/>
    <x v="0"/>
    <n v="0"/>
    <x v="0"/>
    <x v="1299"/>
    <s v="Cust 2111"/>
    <n v="25.84"/>
    <d v="2024-12-26T00:00:00"/>
    <d v="2025-01-03T00:00:00"/>
    <s v="Sophie"/>
    <n v="8"/>
  </r>
  <r>
    <d v="2025-01-23T00:00:00"/>
    <x v="4"/>
    <x v="2"/>
    <x v="12"/>
    <x v="0"/>
    <x v="5"/>
    <n v="7"/>
    <n v="196.88"/>
    <s v="Store C"/>
    <x v="1"/>
    <n v="0"/>
    <x v="4"/>
    <n v="1378.1599999999999"/>
    <n v="826.89599999999996"/>
    <n v="506.34399999999988"/>
    <n v="0.36740581645092002"/>
    <n v="1378.16"/>
    <s v="Debit Card"/>
    <s v="SAVE10"/>
    <x v="0"/>
    <n v="0"/>
    <x v="0"/>
    <x v="1300"/>
    <s v="Cust 9506"/>
    <n v="44.92"/>
    <d v="2025-01-23T00:00:00"/>
    <d v="2025-01-31T00:00:00"/>
    <s v="Eric"/>
    <n v="8"/>
  </r>
  <r>
    <d v="2024-03-25T00:00:00"/>
    <x v="6"/>
    <x v="1"/>
    <x v="25"/>
    <x v="1"/>
    <x v="1"/>
    <n v="7"/>
    <n v="446.32"/>
    <s v="Store B"/>
    <x v="0"/>
    <n v="0.1"/>
    <x v="1"/>
    <n v="2811.8159999999998"/>
    <n v="1874.5439999999999"/>
    <n v="890.04199999999992"/>
    <n v="0.31653635942038882"/>
    <n v="2811.8159999999998"/>
    <s v="Debit Card"/>
    <m/>
    <x v="1"/>
    <n v="0"/>
    <x v="0"/>
    <x v="1301"/>
    <s v="Cust 2341"/>
    <n v="47.23"/>
    <d v="2024-03-25T00:00:00"/>
    <d v="2024-04-01T00:00:00"/>
    <s v="Sophie"/>
    <n v="7"/>
  </r>
  <r>
    <d v="2025-03-04T00:00:00"/>
    <x v="6"/>
    <x v="2"/>
    <x v="8"/>
    <x v="3"/>
    <x v="5"/>
    <n v="11"/>
    <n v="447.38"/>
    <s v="Store D"/>
    <x v="0"/>
    <n v="0"/>
    <x v="1"/>
    <n v="4921.18"/>
    <n v="2952.7080000000001"/>
    <n v="1931.7520000000002"/>
    <n v="0.39253837494259508"/>
    <n v="4921.18"/>
    <s v="Gift Card"/>
    <s v="SAVE10"/>
    <x v="0"/>
    <n v="0"/>
    <x v="0"/>
    <x v="1302"/>
    <s v="Cust 7035"/>
    <n v="36.72"/>
    <d v="2025-03-04T00:00:00"/>
    <d v="2025-03-11T00:00:00"/>
    <s v="Cameron"/>
    <n v="7"/>
  </r>
  <r>
    <d v="2023-10-20T00:00:00"/>
    <x v="5"/>
    <x v="0"/>
    <x v="19"/>
    <x v="1"/>
    <x v="2"/>
    <n v="14"/>
    <n v="275.33999999999997"/>
    <s v="Store B"/>
    <x v="1"/>
    <n v="0.1"/>
    <x v="3"/>
    <n v="3469.2839999999997"/>
    <n v="2312.8559999999998"/>
    <n v="1123.6279999999999"/>
    <n v="0.32387893294408876"/>
    <n v="3469.2840000000001"/>
    <s v="Online"/>
    <m/>
    <x v="1"/>
    <n v="1"/>
    <x v="1"/>
    <x v="1303"/>
    <s v="Cust 5935"/>
    <n v="32.799999999999997"/>
    <d v="2023-10-20T00:00:00"/>
    <d v="2023-10-24T00:00:00"/>
    <s v="Sophie"/>
    <n v="4"/>
  </r>
  <r>
    <d v="2024-09-19T00:00:00"/>
    <x v="11"/>
    <x v="1"/>
    <x v="26"/>
    <x v="3"/>
    <x v="2"/>
    <n v="2"/>
    <n v="27.64"/>
    <s v="Store B"/>
    <x v="1"/>
    <n v="0.15"/>
    <x v="2"/>
    <n v="46.988"/>
    <n v="33.167999999999999"/>
    <n v="-7.91"/>
    <n v="-0.16834085298374055"/>
    <n v="46.988"/>
    <s v="Credit Card"/>
    <s v="FREESHIP"/>
    <x v="0"/>
    <n v="0"/>
    <x v="0"/>
    <x v="1304"/>
    <s v="Cust 3291"/>
    <n v="21.73"/>
    <d v="2024-09-19T00:00:00"/>
    <d v="2024-09-28T00:00:00"/>
    <s v="Cameron"/>
    <n v="9"/>
  </r>
  <r>
    <d v="2023-09-23T00:00:00"/>
    <x v="11"/>
    <x v="0"/>
    <x v="22"/>
    <x v="2"/>
    <x v="4"/>
    <n v="17"/>
    <n v="439.3"/>
    <s v="Store B"/>
    <x v="1"/>
    <n v="0"/>
    <x v="2"/>
    <n v="7468.1"/>
    <n v="4480.8599999999997"/>
    <n v="2974.3700000000008"/>
    <n v="0.39827667010350698"/>
    <n v="7468.1"/>
    <s v="Online"/>
    <s v="FREESHIP"/>
    <x v="0"/>
    <n v="0"/>
    <x v="0"/>
    <x v="1305"/>
    <s v="Cust 5258"/>
    <n v="12.87"/>
    <d v="2023-09-23T00:00:00"/>
    <d v="2023-09-26T00:00:00"/>
    <s v="Ryan"/>
    <n v="3"/>
  </r>
  <r>
    <d v="2024-12-31T00:00:00"/>
    <x v="1"/>
    <x v="1"/>
    <x v="1"/>
    <x v="0"/>
    <x v="6"/>
    <n v="15"/>
    <n v="573.80999999999995"/>
    <s v="Store C"/>
    <x v="1"/>
    <n v="0"/>
    <x v="1"/>
    <n v="8607.15"/>
    <n v="5164.2899999999991"/>
    <n v="3406.9900000000007"/>
    <n v="0.39583253457880957"/>
    <n v="8607.15"/>
    <s v="Gift Card"/>
    <s v="SAVE10"/>
    <x v="0"/>
    <n v="0"/>
    <x v="0"/>
    <x v="1306"/>
    <s v="Cust 4715"/>
    <n v="35.869999999999997"/>
    <d v="2024-12-31T00:00:00"/>
    <d v="2025-01-02T00:00:00"/>
    <s v="Eric"/>
    <n v="2"/>
  </r>
  <r>
    <d v="2024-01-23T00:00:00"/>
    <x v="4"/>
    <x v="1"/>
    <x v="24"/>
    <x v="2"/>
    <x v="2"/>
    <n v="19"/>
    <n v="360.06"/>
    <s v="Store C"/>
    <x v="0"/>
    <n v="0.05"/>
    <x v="0"/>
    <n v="6499.0829999999996"/>
    <n v="4104.6840000000002"/>
    <n v="2361.2089999999994"/>
    <n v="0.36331417832331109"/>
    <n v="6499.0829999999996"/>
    <s v="Debit Card"/>
    <s v="FREESHIP"/>
    <x v="0"/>
    <n v="0"/>
    <x v="0"/>
    <x v="1307"/>
    <s v="Cust 3106"/>
    <n v="33.19"/>
    <d v="2024-01-23T00:00:00"/>
    <d v="2024-01-31T00:00:00"/>
    <s v="Ryan"/>
    <n v="8"/>
  </r>
  <r>
    <d v="2023-06-13T00:00:00"/>
    <x v="3"/>
    <x v="0"/>
    <x v="4"/>
    <x v="0"/>
    <x v="0"/>
    <n v="7"/>
    <n v="535.20000000000005"/>
    <s v="Store C"/>
    <x v="1"/>
    <n v="0.1"/>
    <x v="2"/>
    <n v="3371.7600000000007"/>
    <n v="2247.84"/>
    <n v="1113.4800000000005"/>
    <n v="0.33023702754644468"/>
    <n v="3371.7600000000011"/>
    <s v="Debit Card"/>
    <m/>
    <x v="1"/>
    <n v="0"/>
    <x v="0"/>
    <x v="1308"/>
    <s v="Cust 9606"/>
    <n v="10.44"/>
    <d v="2023-06-13T00:00:00"/>
    <d v="2023-06-23T00:00:00"/>
    <s v="Eric"/>
    <n v="10"/>
  </r>
  <r>
    <d v="2023-07-01T00:00:00"/>
    <x v="8"/>
    <x v="0"/>
    <x v="11"/>
    <x v="0"/>
    <x v="3"/>
    <n v="19"/>
    <n v="161.13"/>
    <s v="Store A"/>
    <x v="0"/>
    <n v="0"/>
    <x v="4"/>
    <n v="3061.47"/>
    <n v="1836.8820000000001"/>
    <n v="1219.1279999999997"/>
    <n v="0.39821654303324866"/>
    <n v="3061.47"/>
    <s v="Credit Card"/>
    <s v="FREESHIP"/>
    <x v="0"/>
    <n v="0"/>
    <x v="0"/>
    <x v="1309"/>
    <s v="Cust 9182"/>
    <n v="5.46"/>
    <d v="2023-07-01T00:00:00"/>
    <d v="2023-07-06T00:00:00"/>
    <s v="Eric"/>
    <n v="5"/>
  </r>
  <r>
    <d v="2025-03-22T00:00:00"/>
    <x v="6"/>
    <x v="2"/>
    <x v="8"/>
    <x v="1"/>
    <x v="0"/>
    <n v="11"/>
    <n v="29.6"/>
    <s v="Store D"/>
    <x v="1"/>
    <n v="0.15"/>
    <x v="3"/>
    <n v="276.76"/>
    <n v="195.36"/>
    <n v="46.439999999999976"/>
    <n v="0.16779881485763831"/>
    <n v="276.76"/>
    <s v="Cash"/>
    <s v="FREESHIP"/>
    <x v="0"/>
    <n v="1"/>
    <x v="1"/>
    <x v="1310"/>
    <s v="Cust 6299"/>
    <n v="34.96"/>
    <d v="2025-03-22T00:00:00"/>
    <d v="2025-03-25T00:00:00"/>
    <s v="Sophie"/>
    <n v="3"/>
  </r>
  <r>
    <d v="2025-02-07T00:00:00"/>
    <x v="0"/>
    <x v="2"/>
    <x v="3"/>
    <x v="1"/>
    <x v="0"/>
    <n v="16"/>
    <n v="172.89"/>
    <s v="Store B"/>
    <x v="0"/>
    <n v="0.15"/>
    <x v="4"/>
    <n v="2351.3039999999996"/>
    <n v="1659.7439999999999"/>
    <n v="649.68999999999971"/>
    <n v="0.2763105068506666"/>
    <n v="2351.3040000000001"/>
    <s v="Credit Card"/>
    <s v="FREESHIP"/>
    <x v="0"/>
    <n v="1"/>
    <x v="1"/>
    <x v="1311"/>
    <s v="Cust 9628"/>
    <n v="41.87"/>
    <d v="2025-02-07T00:00:00"/>
    <d v="2025-02-15T00:00:00"/>
    <s v="Sophie"/>
    <n v="8"/>
  </r>
  <r>
    <d v="2023-10-18T00:00:00"/>
    <x v="5"/>
    <x v="0"/>
    <x v="19"/>
    <x v="2"/>
    <x v="1"/>
    <n v="5"/>
    <n v="48.06"/>
    <s v="Store A"/>
    <x v="0"/>
    <n v="0"/>
    <x v="1"/>
    <n v="240.3"/>
    <n v="144.18"/>
    <n v="76.95"/>
    <n v="0.3202247191011236"/>
    <n v="240.3"/>
    <s v="Gift Card"/>
    <s v="FREESHIP"/>
    <x v="0"/>
    <n v="0"/>
    <x v="0"/>
    <x v="1312"/>
    <s v="Cust 3831"/>
    <n v="19.170000000000002"/>
    <d v="2023-10-18T00:00:00"/>
    <d v="2023-10-26T00:00:00"/>
    <s v="Ryan"/>
    <n v="8"/>
  </r>
  <r>
    <d v="2024-01-02T00:00:00"/>
    <x v="4"/>
    <x v="1"/>
    <x v="24"/>
    <x v="3"/>
    <x v="2"/>
    <n v="7"/>
    <n v="55.76"/>
    <s v="Store C"/>
    <x v="0"/>
    <n v="0.1"/>
    <x v="1"/>
    <n v="351.28800000000001"/>
    <n v="234.19199999999998"/>
    <n v="78.116000000000042"/>
    <n v="0.22237024891257326"/>
    <n v="351.28800000000001"/>
    <s v="Online"/>
    <m/>
    <x v="1"/>
    <n v="0"/>
    <x v="0"/>
    <x v="1313"/>
    <s v="Cust 7955"/>
    <n v="38.979999999999997"/>
    <d v="2024-01-02T00:00:00"/>
    <d v="2024-01-11T00:00:00"/>
    <s v="Cameron"/>
    <n v="9"/>
  </r>
  <r>
    <d v="2025-03-08T00:00:00"/>
    <x v="6"/>
    <x v="2"/>
    <x v="8"/>
    <x v="1"/>
    <x v="0"/>
    <n v="4"/>
    <n v="24.58"/>
    <s v="Store B"/>
    <x v="0"/>
    <n v="0.15"/>
    <x v="3"/>
    <n v="83.571999999999989"/>
    <n v="58.99199999999999"/>
    <n v="-15.29"/>
    <n v="-0.18295601397597283"/>
    <n v="83.571999999999989"/>
    <s v="Debit Card"/>
    <s v="WINTER15"/>
    <x v="0"/>
    <n v="0"/>
    <x v="0"/>
    <x v="1314"/>
    <s v="Cust 3939"/>
    <n v="39.869999999999997"/>
    <d v="2025-03-08T00:00:00"/>
    <d v="2025-03-17T00:00:00"/>
    <s v="Sophie"/>
    <n v="9"/>
  </r>
  <r>
    <d v="2023-07-03T00:00:00"/>
    <x v="8"/>
    <x v="0"/>
    <x v="11"/>
    <x v="4"/>
    <x v="2"/>
    <n v="2"/>
    <n v="504.82"/>
    <s v="Store D"/>
    <x v="1"/>
    <n v="0"/>
    <x v="3"/>
    <n v="1009.64"/>
    <n v="605.78399999999999"/>
    <n v="378.31599999999997"/>
    <n v="0.37470385483934865"/>
    <n v="1009.64"/>
    <s v="Debit Card"/>
    <s v="FREESHIP"/>
    <x v="0"/>
    <n v="0"/>
    <x v="0"/>
    <x v="1315"/>
    <s v="Cust 7916"/>
    <n v="25.54"/>
    <d v="2023-07-03T00:00:00"/>
    <d v="2023-07-08T00:00:00"/>
    <s v="Wendy"/>
    <n v="5"/>
  </r>
  <r>
    <d v="2023-11-15T00:00:00"/>
    <x v="9"/>
    <x v="0"/>
    <x v="15"/>
    <x v="2"/>
    <x v="5"/>
    <n v="17"/>
    <n v="275.89"/>
    <s v="Store B"/>
    <x v="0"/>
    <n v="0.1"/>
    <x v="5"/>
    <n v="4221.1170000000002"/>
    <n v="2814.078"/>
    <n v="1391.6090000000002"/>
    <n v="0.32967790279208087"/>
    <n v="4221.1170000000002"/>
    <s v="Gift Card"/>
    <s v="FREESHIP"/>
    <x v="0"/>
    <n v="0"/>
    <x v="0"/>
    <x v="1316"/>
    <s v="Cust 2477"/>
    <n v="15.43"/>
    <d v="2023-11-15T00:00:00"/>
    <d v="2023-11-22T00:00:00"/>
    <s v="Ryan"/>
    <n v="7"/>
  </r>
  <r>
    <d v="2024-02-10T00:00:00"/>
    <x v="0"/>
    <x v="1"/>
    <x v="5"/>
    <x v="4"/>
    <x v="2"/>
    <n v="9"/>
    <n v="130.57"/>
    <s v="Store C"/>
    <x v="0"/>
    <n v="0.1"/>
    <x v="0"/>
    <n v="1057.617"/>
    <n v="705.07799999999997"/>
    <n v="315.399"/>
    <n v="0.29821665120738416"/>
    <n v="1057.617"/>
    <s v="Cash"/>
    <s v="WINTER15"/>
    <x v="0"/>
    <n v="0"/>
    <x v="0"/>
    <x v="1317"/>
    <s v="Cust 3781"/>
    <n v="37.14"/>
    <d v="2024-02-10T00:00:00"/>
    <d v="2024-02-17T00:00:00"/>
    <s v="Wendy"/>
    <n v="7"/>
  </r>
  <r>
    <d v="2025-04-09T00:00:00"/>
    <x v="7"/>
    <x v="2"/>
    <x v="28"/>
    <x v="4"/>
    <x v="4"/>
    <n v="12"/>
    <n v="312.72000000000003"/>
    <s v="Store C"/>
    <x v="1"/>
    <n v="0"/>
    <x v="0"/>
    <n v="3752.6400000000003"/>
    <n v="2251.5839999999998"/>
    <n v="1482.5960000000005"/>
    <n v="0.39508079645263078"/>
    <n v="3752.64"/>
    <s v="Gift Card"/>
    <m/>
    <x v="1"/>
    <n v="0"/>
    <x v="0"/>
    <x v="1318"/>
    <s v="Cust 2641"/>
    <n v="18.46"/>
    <d v="2025-04-09T00:00:00"/>
    <d v="2025-04-19T00:00:00"/>
    <s v="Wendy"/>
    <n v="10"/>
  </r>
  <r>
    <d v="2023-09-09T00:00:00"/>
    <x v="11"/>
    <x v="0"/>
    <x v="22"/>
    <x v="4"/>
    <x v="5"/>
    <n v="18"/>
    <n v="222.66"/>
    <s v="Store C"/>
    <x v="0"/>
    <n v="0.05"/>
    <x v="1"/>
    <n v="3807.4859999999999"/>
    <n v="2404.7280000000001"/>
    <n v="1389.8479999999997"/>
    <n v="0.36503036386739168"/>
    <n v="3807.4859999999999"/>
    <s v="Gift Card"/>
    <s v="SAVE10"/>
    <x v="0"/>
    <n v="0"/>
    <x v="0"/>
    <x v="1319"/>
    <s v="Cust 1969"/>
    <n v="12.91"/>
    <d v="2023-09-09T00:00:00"/>
    <d v="2023-09-12T00:00:00"/>
    <s v="Wendy"/>
    <n v="3"/>
  </r>
  <r>
    <d v="2023-03-19T00:00:00"/>
    <x v="6"/>
    <x v="0"/>
    <x v="17"/>
    <x v="0"/>
    <x v="1"/>
    <n v="13"/>
    <n v="374.05"/>
    <s v="Store D"/>
    <x v="0"/>
    <n v="0.05"/>
    <x v="4"/>
    <n v="4619.5174999999999"/>
    <n v="2917.59"/>
    <n v="1675.6074999999998"/>
    <n v="0.36272348789673375"/>
    <n v="4619.5174999999999"/>
    <s v="Debit Card"/>
    <s v="FREESHIP"/>
    <x v="0"/>
    <n v="0"/>
    <x v="0"/>
    <x v="1320"/>
    <s v="Cust 4494"/>
    <n v="26.32"/>
    <d v="2023-03-19T00:00:00"/>
    <d v="2023-03-26T00:00:00"/>
    <s v="Eric"/>
    <n v="7"/>
  </r>
  <r>
    <d v="2024-12-31T00:00:00"/>
    <x v="1"/>
    <x v="1"/>
    <x v="1"/>
    <x v="3"/>
    <x v="6"/>
    <n v="11"/>
    <n v="331.29"/>
    <s v="Store B"/>
    <x v="0"/>
    <n v="0.1"/>
    <x v="1"/>
    <n v="3279.7710000000002"/>
    <n v="2186.5140000000001"/>
    <n v="1087.037"/>
    <n v="0.33143685946366375"/>
    <n v="3279.7710000000002"/>
    <s v="Credit Card"/>
    <s v="WINTER15"/>
    <x v="0"/>
    <n v="0"/>
    <x v="0"/>
    <x v="1321"/>
    <s v="Cust 8850"/>
    <n v="6.22"/>
    <d v="2024-12-31T00:00:00"/>
    <d v="2025-01-02T00:00:00"/>
    <s v="Cameron"/>
    <n v="2"/>
  </r>
  <r>
    <d v="2023-11-24T00:00:00"/>
    <x v="9"/>
    <x v="0"/>
    <x v="15"/>
    <x v="3"/>
    <x v="1"/>
    <n v="5"/>
    <n v="533.52"/>
    <s v="Store D"/>
    <x v="0"/>
    <n v="0"/>
    <x v="3"/>
    <n v="2667.6"/>
    <n v="1600.56"/>
    <n v="1057.96"/>
    <n v="0.39659619133303348"/>
    <n v="2667.6"/>
    <s v="Credit Card"/>
    <s v="FREESHIP"/>
    <x v="0"/>
    <n v="1"/>
    <x v="1"/>
    <x v="1322"/>
    <s v="Cust 3061"/>
    <n v="9.08"/>
    <d v="2023-11-24T00:00:00"/>
    <d v="2023-11-26T00:00:00"/>
    <s v="Cameron"/>
    <n v="2"/>
  </r>
  <r>
    <d v="2025-05-15T00:00:00"/>
    <x v="2"/>
    <x v="2"/>
    <x v="13"/>
    <x v="0"/>
    <x v="3"/>
    <n v="10"/>
    <n v="492.24"/>
    <s v="Store A"/>
    <x v="1"/>
    <n v="0"/>
    <x v="1"/>
    <n v="4922.3999999999996"/>
    <n v="2953.44"/>
    <n v="1930.0699999999995"/>
    <n v="0.39209938241508202"/>
    <n v="4922.3999999999996"/>
    <s v="Gift Card"/>
    <s v="WINTER15"/>
    <x v="0"/>
    <n v="0"/>
    <x v="0"/>
    <x v="1323"/>
    <s v="Cust 4732"/>
    <n v="38.89"/>
    <d v="2025-05-15T00:00:00"/>
    <d v="2025-05-22T00:00:00"/>
    <s v="Eric"/>
    <n v="7"/>
  </r>
  <r>
    <d v="2025-04-06T00:00:00"/>
    <x v="7"/>
    <x v="2"/>
    <x v="28"/>
    <x v="1"/>
    <x v="5"/>
    <n v="9"/>
    <n v="543.57000000000005"/>
    <s v="Store D"/>
    <x v="1"/>
    <n v="0.15"/>
    <x v="4"/>
    <n v="4158.3104999999996"/>
    <n v="2935.2779999999998"/>
    <n v="1215.4924999999998"/>
    <n v="0.29230441064946927"/>
    <n v="4158.3104999999996"/>
    <s v="Debit Card"/>
    <s v="SAVE10"/>
    <x v="0"/>
    <n v="0"/>
    <x v="0"/>
    <x v="1324"/>
    <s v="Cust 9889"/>
    <n v="7.54"/>
    <d v="2025-04-06T00:00:00"/>
    <d v="2025-04-11T00:00:00"/>
    <s v="Sophie"/>
    <n v="5"/>
  </r>
  <r>
    <d v="2024-02-06T00:00:00"/>
    <x v="0"/>
    <x v="1"/>
    <x v="5"/>
    <x v="1"/>
    <x v="2"/>
    <n v="17"/>
    <n v="141.76"/>
    <s v="Store D"/>
    <x v="0"/>
    <n v="0.1"/>
    <x v="5"/>
    <n v="2168.9280000000003"/>
    <n v="1445.952"/>
    <n v="712.99600000000032"/>
    <n v="0.32873198188229402"/>
    <n v="2168.9279999999999"/>
    <s v="Cash"/>
    <s v="WINTER15"/>
    <x v="0"/>
    <n v="1"/>
    <x v="1"/>
    <x v="1325"/>
    <s v="Cust 2165"/>
    <n v="9.98"/>
    <d v="2024-02-06T00:00:00"/>
    <d v="2024-02-14T00:00:00"/>
    <s v="Sophie"/>
    <n v="8"/>
  </r>
  <r>
    <d v="2025-05-14T00:00:00"/>
    <x v="2"/>
    <x v="2"/>
    <x v="13"/>
    <x v="2"/>
    <x v="0"/>
    <n v="12"/>
    <n v="502.7"/>
    <s v="Store D"/>
    <x v="0"/>
    <n v="0.1"/>
    <x v="1"/>
    <n v="5429.16"/>
    <n v="3619.44"/>
    <n v="1803.2299999999998"/>
    <n v="0.33213793662371338"/>
    <n v="5429.16"/>
    <s v="Credit Card"/>
    <s v="FREESHIP"/>
    <x v="0"/>
    <n v="0"/>
    <x v="0"/>
    <x v="1326"/>
    <s v="Cust 6121"/>
    <n v="6.49"/>
    <d v="2025-05-14T00:00:00"/>
    <d v="2025-05-20T00:00:00"/>
    <s v="Ryan"/>
    <n v="6"/>
  </r>
  <r>
    <d v="2023-01-13T00:00:00"/>
    <x v="4"/>
    <x v="0"/>
    <x v="6"/>
    <x v="0"/>
    <x v="5"/>
    <n v="10"/>
    <n v="155.43"/>
    <s v="Store D"/>
    <x v="0"/>
    <n v="0.05"/>
    <x v="2"/>
    <n v="1476.585"/>
    <n v="932.57999999999993"/>
    <n v="517.5150000000001"/>
    <n v="0.35048100854336195"/>
    <n v="1476.585"/>
    <s v="Gift Card"/>
    <s v="WINTER15"/>
    <x v="0"/>
    <n v="0"/>
    <x v="0"/>
    <x v="1327"/>
    <s v="Cust 4071"/>
    <n v="26.49"/>
    <d v="2023-01-13T00:00:00"/>
    <d v="2023-01-18T00:00:00"/>
    <s v="Eric"/>
    <n v="5"/>
  </r>
  <r>
    <d v="2024-02-19T00:00:00"/>
    <x v="0"/>
    <x v="1"/>
    <x v="5"/>
    <x v="2"/>
    <x v="5"/>
    <n v="18"/>
    <n v="203.73"/>
    <s v="Store B"/>
    <x v="0"/>
    <n v="0"/>
    <x v="3"/>
    <n v="3667.14"/>
    <n v="2200.2839999999997"/>
    <n v="1441.8760000000002"/>
    <n v="0.39318815207491403"/>
    <n v="3667.14"/>
    <s v="Gift Card"/>
    <s v="SAVE10"/>
    <x v="0"/>
    <n v="1"/>
    <x v="1"/>
    <x v="1328"/>
    <s v="Cust 5249"/>
    <n v="24.98"/>
    <d v="2024-02-19T00:00:00"/>
    <d v="2024-02-28T00:00:00"/>
    <s v="Ryan"/>
    <n v="9"/>
  </r>
  <r>
    <d v="2023-10-07T00:00:00"/>
    <x v="5"/>
    <x v="0"/>
    <x v="19"/>
    <x v="1"/>
    <x v="1"/>
    <n v="3"/>
    <n v="464.11"/>
    <s v="Store B"/>
    <x v="0"/>
    <n v="0.15"/>
    <x v="1"/>
    <n v="1183.4804999999999"/>
    <n v="835.39800000000002"/>
    <n v="320.63249999999988"/>
    <n v="0.27092334854693417"/>
    <n v="1183.4804999999999"/>
    <s v="Gift Card"/>
    <m/>
    <x v="1"/>
    <n v="0"/>
    <x v="0"/>
    <x v="1329"/>
    <s v="Cust 4262"/>
    <n v="27.45"/>
    <d v="2023-10-07T00:00:00"/>
    <d v="2023-10-12T00:00:00"/>
    <s v="Sophie"/>
    <n v="5"/>
  </r>
  <r>
    <d v="2024-09-17T00:00:00"/>
    <x v="11"/>
    <x v="1"/>
    <x v="26"/>
    <x v="3"/>
    <x v="3"/>
    <n v="2"/>
    <n v="442.03"/>
    <s v="Store B"/>
    <x v="1"/>
    <n v="0.15"/>
    <x v="3"/>
    <n v="751.45099999999991"/>
    <n v="530.43599999999992"/>
    <n v="192.30499999999998"/>
    <n v="0.25591156309593038"/>
    <n v="751.45099999999991"/>
    <s v="Debit Card"/>
    <s v="WINTER15"/>
    <x v="0"/>
    <n v="0"/>
    <x v="0"/>
    <x v="1330"/>
    <s v="Cust 9314"/>
    <n v="28.71"/>
    <d v="2024-09-17T00:00:00"/>
    <d v="2024-09-19T00:00:00"/>
    <s v="Cameron"/>
    <n v="2"/>
  </r>
  <r>
    <d v="2023-05-07T00:00:00"/>
    <x v="2"/>
    <x v="0"/>
    <x v="2"/>
    <x v="2"/>
    <x v="1"/>
    <n v="7"/>
    <n v="82.91"/>
    <s v="Store A"/>
    <x v="1"/>
    <n v="0.05"/>
    <x v="0"/>
    <n v="551.35149999999999"/>
    <n v="348.22199999999998"/>
    <n v="186.09950000000001"/>
    <n v="0.33753331586111585"/>
    <n v="551.35149999999999"/>
    <s v="Debit Card"/>
    <s v="WINTER15"/>
    <x v="0"/>
    <n v="1"/>
    <x v="1"/>
    <x v="1331"/>
    <s v="Cust 7703"/>
    <n v="17.03"/>
    <d v="2023-05-07T00:00:00"/>
    <d v="2023-05-17T00:00:00"/>
    <s v="Ryan"/>
    <n v="10"/>
  </r>
  <r>
    <d v="2023-12-12T00:00:00"/>
    <x v="1"/>
    <x v="0"/>
    <x v="27"/>
    <x v="2"/>
    <x v="1"/>
    <n v="13"/>
    <n v="468.16"/>
    <s v="Store B"/>
    <x v="1"/>
    <n v="0.15"/>
    <x v="1"/>
    <n v="5173.1679999999997"/>
    <n v="3651.6480000000001"/>
    <n v="1492.4099999999996"/>
    <n v="0.28849053423356824"/>
    <n v="5173.1679999999997"/>
    <s v="Cash"/>
    <s v="SAVE10"/>
    <x v="0"/>
    <n v="0"/>
    <x v="0"/>
    <x v="1332"/>
    <s v="Cust 8367"/>
    <n v="29.11"/>
    <d v="2023-12-12T00:00:00"/>
    <d v="2023-12-21T00:00:00"/>
    <s v="Ryan"/>
    <n v="9"/>
  </r>
  <r>
    <d v="2025-03-11T00:00:00"/>
    <x v="6"/>
    <x v="2"/>
    <x v="8"/>
    <x v="3"/>
    <x v="5"/>
    <n v="3"/>
    <n v="11.32"/>
    <s v="Store C"/>
    <x v="1"/>
    <n v="0.05"/>
    <x v="0"/>
    <n v="32.262"/>
    <n v="20.375999999999998"/>
    <n v="-4.5039999999999978"/>
    <n v="-0.13960696794991004"/>
    <n v="32.262"/>
    <s v="Online"/>
    <s v="WINTER15"/>
    <x v="0"/>
    <n v="0"/>
    <x v="0"/>
    <x v="1333"/>
    <s v="Cust 7872"/>
    <n v="16.39"/>
    <d v="2025-03-11T00:00:00"/>
    <d v="2025-03-14T00:00:00"/>
    <s v="Cameron"/>
    <n v="3"/>
  </r>
  <r>
    <d v="2024-03-29T00:00:00"/>
    <x v="6"/>
    <x v="1"/>
    <x v="25"/>
    <x v="0"/>
    <x v="3"/>
    <n v="1"/>
    <n v="378.36"/>
    <s v="Store A"/>
    <x v="1"/>
    <n v="0.05"/>
    <x v="0"/>
    <n v="359.44200000000001"/>
    <n v="227.01599999999999"/>
    <n v="124.83600000000001"/>
    <n v="0.34730498940023707"/>
    <n v="359.44200000000001"/>
    <s v="Cash"/>
    <m/>
    <x v="1"/>
    <n v="0"/>
    <x v="0"/>
    <x v="1334"/>
    <s v="Cust 4732"/>
    <n v="7.59"/>
    <d v="2024-03-29T00:00:00"/>
    <d v="2024-04-07T00:00:00"/>
    <s v="Eric"/>
    <n v="9"/>
  </r>
  <r>
    <d v="2024-07-28T00:00:00"/>
    <x v="8"/>
    <x v="1"/>
    <x v="10"/>
    <x v="4"/>
    <x v="5"/>
    <n v="6"/>
    <n v="61.06"/>
    <s v="Store D"/>
    <x v="0"/>
    <n v="0"/>
    <x v="5"/>
    <n v="366.36"/>
    <n v="219.81600000000003"/>
    <n v="97.453999999999979"/>
    <n v="0.2660061142046074"/>
    <n v="366.36"/>
    <s v="Debit Card"/>
    <s v="SAVE10"/>
    <x v="0"/>
    <n v="1"/>
    <x v="1"/>
    <x v="1335"/>
    <s v="Cust 1007"/>
    <n v="49.09"/>
    <d v="2024-07-28T00:00:00"/>
    <d v="2024-08-05T00:00:00"/>
    <s v="Wendy"/>
    <n v="8"/>
  </r>
  <r>
    <d v="2024-07-11T00:00:00"/>
    <x v="8"/>
    <x v="1"/>
    <x v="10"/>
    <x v="1"/>
    <x v="5"/>
    <n v="14"/>
    <n v="98.06"/>
    <s v="Store A"/>
    <x v="0"/>
    <n v="0.1"/>
    <x v="1"/>
    <n v="1235.5560000000003"/>
    <n v="823.70399999999995"/>
    <n v="401.51200000000034"/>
    <n v="0.32496463130768677"/>
    <n v="1235.556"/>
    <s v="Debit Card"/>
    <s v="SAVE10"/>
    <x v="0"/>
    <n v="1"/>
    <x v="1"/>
    <x v="1336"/>
    <s v="Cust 1946"/>
    <n v="10.34"/>
    <d v="2024-07-11T00:00:00"/>
    <d v="2024-07-21T00:00:00"/>
    <s v="Sophie"/>
    <n v="10"/>
  </r>
  <r>
    <d v="2024-07-05T00:00:00"/>
    <x v="8"/>
    <x v="1"/>
    <x v="10"/>
    <x v="4"/>
    <x v="0"/>
    <n v="16"/>
    <n v="123.86"/>
    <s v="Store A"/>
    <x v="0"/>
    <n v="0.15"/>
    <x v="1"/>
    <n v="1684.4959999999999"/>
    <n v="1189.056"/>
    <n v="477.41999999999985"/>
    <n v="0.28342008529554236"/>
    <n v="1684.4960000000001"/>
    <s v="Gift Card"/>
    <m/>
    <x v="1"/>
    <n v="1"/>
    <x v="1"/>
    <x v="1337"/>
    <s v="Cust 6347"/>
    <n v="18.02"/>
    <d v="2024-07-05T00:00:00"/>
    <d v="2024-07-14T00:00:00"/>
    <s v="Wendy"/>
    <n v="9"/>
  </r>
  <r>
    <d v="2024-03-19T00:00:00"/>
    <x v="6"/>
    <x v="1"/>
    <x v="25"/>
    <x v="0"/>
    <x v="0"/>
    <n v="16"/>
    <n v="90.3"/>
    <s v="Store C"/>
    <x v="0"/>
    <n v="0.05"/>
    <x v="4"/>
    <n v="1372.56"/>
    <n v="866.88"/>
    <n v="480.42999999999995"/>
    <n v="0.35002477123040154"/>
    <n v="1372.56"/>
    <s v="Online"/>
    <s v="WINTER15"/>
    <x v="0"/>
    <n v="0"/>
    <x v="0"/>
    <x v="1338"/>
    <s v="Cust 6499"/>
    <n v="25.25"/>
    <d v="2024-03-19T00:00:00"/>
    <d v="2024-03-24T00:00:00"/>
    <s v="Eric"/>
    <n v="5"/>
  </r>
  <r>
    <d v="2023-12-25T00:00:00"/>
    <x v="1"/>
    <x v="0"/>
    <x v="27"/>
    <x v="3"/>
    <x v="5"/>
    <n v="18"/>
    <n v="470.91"/>
    <s v="Store C"/>
    <x v="0"/>
    <n v="0.1"/>
    <x v="0"/>
    <n v="7628.7420000000011"/>
    <n v="5085.8279999999995"/>
    <n v="2528.0440000000017"/>
    <n v="0.33138412598040429"/>
    <n v="7628.7420000000011"/>
    <s v="Gift Card"/>
    <s v="FREESHIP"/>
    <x v="0"/>
    <n v="0"/>
    <x v="0"/>
    <x v="1339"/>
    <s v="Cust 1420"/>
    <n v="14.87"/>
    <d v="2023-12-25T00:00:00"/>
    <d v="2023-12-29T00:00:00"/>
    <s v="Cameron"/>
    <n v="4"/>
  </r>
  <r>
    <d v="2024-12-03T00:00:00"/>
    <x v="1"/>
    <x v="1"/>
    <x v="1"/>
    <x v="1"/>
    <x v="4"/>
    <n v="12"/>
    <n v="383.45"/>
    <s v="Store C"/>
    <x v="1"/>
    <n v="0"/>
    <x v="5"/>
    <n v="4601.3999999999996"/>
    <n v="2760.84"/>
    <n v="1828.9399999999996"/>
    <n v="0.39747468161863775"/>
    <n v="4601.3999999999996"/>
    <s v="Debit Card"/>
    <s v="FREESHIP"/>
    <x v="0"/>
    <n v="0"/>
    <x v="0"/>
    <x v="1340"/>
    <s v="Cust 6744"/>
    <n v="11.62"/>
    <d v="2024-12-03T00:00:00"/>
    <d v="2024-12-05T00:00:00"/>
    <s v="Sophie"/>
    <n v="2"/>
  </r>
  <r>
    <d v="2023-09-08T00:00:00"/>
    <x v="11"/>
    <x v="0"/>
    <x v="22"/>
    <x v="0"/>
    <x v="5"/>
    <n v="20"/>
    <n v="293.94"/>
    <s v="Store B"/>
    <x v="1"/>
    <n v="0.15"/>
    <x v="1"/>
    <n v="4996.9800000000005"/>
    <n v="3527.28"/>
    <n v="1460.4100000000003"/>
    <n v="0.29225852414858577"/>
    <n v="4996.9799999999996"/>
    <s v="Credit Card"/>
    <s v="SAVE10"/>
    <x v="0"/>
    <n v="0"/>
    <x v="0"/>
    <x v="1341"/>
    <s v="Cust 5690"/>
    <n v="9.2899999999999991"/>
    <d v="2023-09-08T00:00:00"/>
    <d v="2023-09-15T00:00:00"/>
    <s v="Eric"/>
    <n v="7"/>
  </r>
  <r>
    <d v="2024-01-05T00:00:00"/>
    <x v="4"/>
    <x v="1"/>
    <x v="24"/>
    <x v="0"/>
    <x v="2"/>
    <n v="2"/>
    <n v="454.01"/>
    <s v="Store B"/>
    <x v="0"/>
    <n v="0"/>
    <x v="4"/>
    <n v="908.02"/>
    <n v="544.81200000000001"/>
    <n v="353.428"/>
    <n v="0.38922931212968875"/>
    <n v="908.02"/>
    <s v="Online"/>
    <s v="WINTER15"/>
    <x v="0"/>
    <n v="0"/>
    <x v="0"/>
    <x v="1342"/>
    <s v="Cust 1265"/>
    <n v="9.7799999999999994"/>
    <d v="2024-01-05T00:00:00"/>
    <d v="2024-01-07T00:00:00"/>
    <s v="Eric"/>
    <n v="2"/>
  </r>
  <r>
    <d v="2023-08-03T00:00:00"/>
    <x v="10"/>
    <x v="0"/>
    <x v="18"/>
    <x v="1"/>
    <x v="3"/>
    <n v="5"/>
    <n v="163.55000000000001"/>
    <s v="Store D"/>
    <x v="1"/>
    <n v="0.05"/>
    <x v="2"/>
    <n v="776.86249999999995"/>
    <n v="490.65000000000003"/>
    <n v="257.31249999999994"/>
    <n v="0.33122013226278774"/>
    <n v="776.86249999999995"/>
    <s v="Cash"/>
    <m/>
    <x v="1"/>
    <n v="0"/>
    <x v="0"/>
    <x v="1343"/>
    <s v="Cust 7676"/>
    <n v="28.9"/>
    <d v="2023-08-03T00:00:00"/>
    <d v="2023-08-10T00:00:00"/>
    <s v="Sophie"/>
    <n v="7"/>
  </r>
  <r>
    <d v="2025-02-11T00:00:00"/>
    <x v="0"/>
    <x v="2"/>
    <x v="3"/>
    <x v="2"/>
    <x v="4"/>
    <n v="12"/>
    <n v="141.61000000000001"/>
    <s v="Store B"/>
    <x v="0"/>
    <n v="0"/>
    <x v="2"/>
    <n v="1699.3200000000002"/>
    <n v="1019.5920000000001"/>
    <n v="668.00800000000004"/>
    <n v="0.39310312360238209"/>
    <n v="1699.32"/>
    <s v="Credit Card"/>
    <s v="WINTER15"/>
    <x v="0"/>
    <n v="0"/>
    <x v="0"/>
    <x v="1344"/>
    <s v="Cust 4442"/>
    <n v="11.72"/>
    <d v="2025-02-11T00:00:00"/>
    <d v="2025-02-21T00:00:00"/>
    <s v="Ryan"/>
    <n v="10"/>
  </r>
  <r>
    <d v="2023-06-17T00:00:00"/>
    <x v="3"/>
    <x v="0"/>
    <x v="4"/>
    <x v="1"/>
    <x v="3"/>
    <n v="6"/>
    <n v="332.18"/>
    <s v="Store B"/>
    <x v="0"/>
    <n v="0.1"/>
    <x v="5"/>
    <n v="1793.7719999999999"/>
    <n v="1195.848"/>
    <n v="575.97399999999993"/>
    <n v="0.32109654961723116"/>
    <n v="1793.7719999999999"/>
    <s v="Online"/>
    <s v="WINTER15"/>
    <x v="0"/>
    <n v="0"/>
    <x v="0"/>
    <x v="1345"/>
    <s v="Cust 2975"/>
    <n v="21.95"/>
    <d v="2023-06-17T00:00:00"/>
    <d v="2023-06-21T00:00:00"/>
    <s v="Sophie"/>
    <n v="4"/>
  </r>
  <r>
    <d v="2024-02-05T00:00:00"/>
    <x v="0"/>
    <x v="1"/>
    <x v="5"/>
    <x v="3"/>
    <x v="4"/>
    <n v="14"/>
    <n v="463.96"/>
    <s v="Store D"/>
    <x v="1"/>
    <n v="0.15"/>
    <x v="4"/>
    <n v="5521.1239999999998"/>
    <n v="3897.2639999999997"/>
    <n v="1594.67"/>
    <n v="0.28883068012962582"/>
    <n v="5521.1239999999998"/>
    <s v="Gift Card"/>
    <m/>
    <x v="1"/>
    <n v="0"/>
    <x v="0"/>
    <x v="1346"/>
    <s v="Cust 7832"/>
    <n v="29.19"/>
    <d v="2024-02-05T00:00:00"/>
    <d v="2024-02-14T00:00:00"/>
    <s v="Cameron"/>
    <n v="9"/>
  </r>
  <r>
    <d v="2024-03-17T00:00:00"/>
    <x v="6"/>
    <x v="1"/>
    <x v="25"/>
    <x v="1"/>
    <x v="2"/>
    <n v="10"/>
    <n v="68.27"/>
    <s v="Store A"/>
    <x v="0"/>
    <n v="0.15"/>
    <x v="4"/>
    <n v="580.29499999999996"/>
    <n v="409.61999999999995"/>
    <n v="146.34500000000003"/>
    <n v="0.25219069611146061"/>
    <n v="580.29499999999996"/>
    <s v="Credit Card"/>
    <m/>
    <x v="1"/>
    <n v="0"/>
    <x v="0"/>
    <x v="1347"/>
    <s v="Cust 7753"/>
    <n v="24.33"/>
    <d v="2024-03-17T00:00:00"/>
    <d v="2024-03-27T00:00:00"/>
    <s v="Sophie"/>
    <n v="10"/>
  </r>
  <r>
    <d v="2024-02-03T00:00:00"/>
    <x v="0"/>
    <x v="1"/>
    <x v="5"/>
    <x v="3"/>
    <x v="0"/>
    <n v="8"/>
    <n v="27.01"/>
    <s v="Store C"/>
    <x v="0"/>
    <n v="0.05"/>
    <x v="0"/>
    <n v="205.27600000000001"/>
    <n v="129.648"/>
    <n v="32.978000000000016"/>
    <n v="0.16065200023383158"/>
    <n v="205.27600000000001"/>
    <s v="Online"/>
    <s v="FREESHIP"/>
    <x v="0"/>
    <n v="1"/>
    <x v="1"/>
    <x v="1348"/>
    <s v="Cust 8639"/>
    <n v="42.65"/>
    <d v="2024-02-03T00:00:00"/>
    <d v="2024-02-09T00:00:00"/>
    <s v="Cameron"/>
    <n v="6"/>
  </r>
  <r>
    <d v="2023-03-31T00:00:00"/>
    <x v="6"/>
    <x v="0"/>
    <x v="17"/>
    <x v="2"/>
    <x v="5"/>
    <n v="9"/>
    <n v="78.8"/>
    <s v="Store D"/>
    <x v="1"/>
    <n v="0.1"/>
    <x v="1"/>
    <n v="638.28"/>
    <n v="425.51999999999992"/>
    <n v="203.47000000000006"/>
    <n v="0.31877859246725587"/>
    <n v="638.28"/>
    <s v="Online"/>
    <s v="FREESHIP"/>
    <x v="0"/>
    <n v="0"/>
    <x v="0"/>
    <x v="1349"/>
    <s v="Cust 9878"/>
    <n v="9.2899999999999991"/>
    <d v="2023-03-31T00:00:00"/>
    <d v="2023-04-10T00:00:00"/>
    <s v="Ryan"/>
    <n v="10"/>
  </r>
  <r>
    <d v="2023-08-18T00:00:00"/>
    <x v="10"/>
    <x v="0"/>
    <x v="18"/>
    <x v="4"/>
    <x v="5"/>
    <n v="16"/>
    <n v="174.68"/>
    <s v="Store B"/>
    <x v="0"/>
    <n v="0.15"/>
    <x v="2"/>
    <n v="2375.6480000000001"/>
    <n v="1676.9280000000001"/>
    <n v="652.73"/>
    <n v="0.27475871846334138"/>
    <n v="2375.6480000000001"/>
    <s v="Credit Card"/>
    <m/>
    <x v="1"/>
    <n v="0"/>
    <x v="0"/>
    <x v="1350"/>
    <s v="Cust 4205"/>
    <n v="45.99"/>
    <d v="2023-08-18T00:00:00"/>
    <d v="2023-08-22T00:00:00"/>
    <s v="Wendy"/>
    <n v="4"/>
  </r>
  <r>
    <d v="2023-09-10T00:00:00"/>
    <x v="11"/>
    <x v="0"/>
    <x v="22"/>
    <x v="3"/>
    <x v="6"/>
    <n v="4"/>
    <n v="306.06"/>
    <s v="Store C"/>
    <x v="0"/>
    <n v="0.05"/>
    <x v="3"/>
    <n v="1163.028"/>
    <n v="734.54399999999998"/>
    <n v="395.73400000000004"/>
    <n v="0.3402617993719842"/>
    <n v="1163.028"/>
    <s v="Gift Card"/>
    <s v="SAVE10"/>
    <x v="0"/>
    <n v="1"/>
    <x v="1"/>
    <x v="1351"/>
    <s v="Cust 4009"/>
    <n v="32.75"/>
    <d v="2023-09-10T00:00:00"/>
    <d v="2023-09-13T00:00:00"/>
    <s v="Cameron"/>
    <n v="3"/>
  </r>
  <r>
    <d v="2024-01-29T00:00:00"/>
    <x v="4"/>
    <x v="1"/>
    <x v="24"/>
    <x v="1"/>
    <x v="5"/>
    <n v="12"/>
    <n v="164.22"/>
    <s v="Store C"/>
    <x v="1"/>
    <n v="0"/>
    <x v="5"/>
    <n v="1970.6399999999999"/>
    <n v="1182.384"/>
    <n v="766.79599999999982"/>
    <n v="0.38911013680834644"/>
    <n v="1970.64"/>
    <s v="Credit Card"/>
    <s v="FREESHIP"/>
    <x v="0"/>
    <n v="0"/>
    <x v="0"/>
    <x v="1352"/>
    <s v="Cust 6499"/>
    <n v="21.46"/>
    <d v="2024-01-29T00:00:00"/>
    <d v="2024-02-03T00:00:00"/>
    <s v="Sophie"/>
    <n v="5"/>
  </r>
  <r>
    <d v="2024-03-21T00:00:00"/>
    <x v="6"/>
    <x v="1"/>
    <x v="25"/>
    <x v="2"/>
    <x v="5"/>
    <n v="20"/>
    <n v="336.29"/>
    <s v="Store C"/>
    <x v="1"/>
    <n v="0"/>
    <x v="0"/>
    <n v="6725.8"/>
    <n v="4035.48"/>
    <n v="2665.3"/>
    <n v="0.39627999643165129"/>
    <n v="6725.8"/>
    <s v="Gift Card"/>
    <s v="FREESHIP"/>
    <x v="0"/>
    <n v="0"/>
    <x v="0"/>
    <x v="1353"/>
    <s v="Cust 4389"/>
    <n v="25.02"/>
    <d v="2024-03-21T00:00:00"/>
    <d v="2024-03-30T00:00:00"/>
    <s v="Ryan"/>
    <n v="9"/>
  </r>
  <r>
    <d v="2024-08-03T00:00:00"/>
    <x v="10"/>
    <x v="1"/>
    <x v="29"/>
    <x v="4"/>
    <x v="5"/>
    <n v="7"/>
    <n v="180.25"/>
    <s v="Store D"/>
    <x v="1"/>
    <n v="0.1"/>
    <x v="4"/>
    <n v="1135.575"/>
    <n v="757.05"/>
    <n v="341.73500000000007"/>
    <n v="0.30093564934064243"/>
    <n v="1135.575"/>
    <s v="Gift Card"/>
    <s v="WINTER15"/>
    <x v="0"/>
    <n v="0"/>
    <x v="0"/>
    <x v="1354"/>
    <s v="Cust 2008"/>
    <n v="36.79"/>
    <d v="2024-08-03T00:00:00"/>
    <d v="2024-08-05T00:00:00"/>
    <s v="Wendy"/>
    <n v="2"/>
  </r>
  <r>
    <d v="2025-05-05T00:00:00"/>
    <x v="2"/>
    <x v="2"/>
    <x v="13"/>
    <x v="2"/>
    <x v="4"/>
    <n v="1"/>
    <n v="21.75"/>
    <s v="Store C"/>
    <x v="1"/>
    <n v="0"/>
    <x v="1"/>
    <n v="21.75"/>
    <n v="13.049999999999999"/>
    <n v="1.3500000000000014"/>
    <n v="6.2068965517241448E-2"/>
    <n v="21.75"/>
    <s v="Cash"/>
    <s v="FREESHIP"/>
    <x v="0"/>
    <n v="0"/>
    <x v="0"/>
    <x v="1355"/>
    <s v="Cust 6509"/>
    <n v="7.35"/>
    <d v="2025-05-05T00:00:00"/>
    <d v="2025-05-14T00:00:00"/>
    <s v="Ryan"/>
    <n v="9"/>
  </r>
  <r>
    <d v="2023-02-08T00:00:00"/>
    <x v="0"/>
    <x v="0"/>
    <x v="0"/>
    <x v="4"/>
    <x v="5"/>
    <n v="13"/>
    <n v="149.16"/>
    <s v="Store C"/>
    <x v="1"/>
    <n v="0.1"/>
    <x v="0"/>
    <n v="1745.172"/>
    <n v="1163.4479999999999"/>
    <n v="560.82400000000018"/>
    <n v="0.32135743640168429"/>
    <n v="1745.172"/>
    <s v="Cash"/>
    <m/>
    <x v="1"/>
    <n v="1"/>
    <x v="1"/>
    <x v="1356"/>
    <s v="Cust 4270"/>
    <n v="20.9"/>
    <d v="2023-02-08T00:00:00"/>
    <d v="2023-02-16T00:00:00"/>
    <s v="Wendy"/>
    <n v="8"/>
  </r>
  <r>
    <d v="2023-05-26T00:00:00"/>
    <x v="2"/>
    <x v="0"/>
    <x v="2"/>
    <x v="3"/>
    <x v="3"/>
    <n v="7"/>
    <n v="220.9"/>
    <s v="Store A"/>
    <x v="0"/>
    <n v="0.15"/>
    <x v="5"/>
    <n v="1314.355"/>
    <n v="927.78"/>
    <n v="371.32500000000005"/>
    <n v="0.28251499785065681"/>
    <n v="1314.355"/>
    <s v="Gift Card"/>
    <s v="FREESHIP"/>
    <x v="0"/>
    <n v="0"/>
    <x v="0"/>
    <x v="1357"/>
    <s v="Cust 4414"/>
    <n v="15.25"/>
    <d v="2023-05-26T00:00:00"/>
    <d v="2023-06-05T00:00:00"/>
    <s v="Cameron"/>
    <n v="10"/>
  </r>
  <r>
    <d v="2024-07-15T00:00:00"/>
    <x v="8"/>
    <x v="1"/>
    <x v="10"/>
    <x v="0"/>
    <x v="3"/>
    <n v="1"/>
    <n v="364.27"/>
    <s v="Store A"/>
    <x v="1"/>
    <n v="0.1"/>
    <x v="1"/>
    <n v="327.84300000000002"/>
    <n v="218.56199999999998"/>
    <n v="100.37100000000004"/>
    <n v="0.30615569037618628"/>
    <n v="327.84300000000002"/>
    <s v="Debit Card"/>
    <s v="WINTER15"/>
    <x v="0"/>
    <n v="0"/>
    <x v="0"/>
    <x v="1358"/>
    <s v="Cust 6409"/>
    <n v="8.91"/>
    <d v="2024-07-15T00:00:00"/>
    <d v="2024-07-22T00:00:00"/>
    <s v="Eric"/>
    <n v="7"/>
  </r>
  <r>
    <d v="2024-12-18T00:00:00"/>
    <x v="1"/>
    <x v="1"/>
    <x v="1"/>
    <x v="2"/>
    <x v="4"/>
    <n v="9"/>
    <n v="306.42"/>
    <s v="Store C"/>
    <x v="0"/>
    <n v="0"/>
    <x v="5"/>
    <n v="2757.78"/>
    <n v="1654.6680000000001"/>
    <n v="1087.3020000000001"/>
    <n v="0.39426712790722973"/>
    <n v="2757.78"/>
    <s v="Online"/>
    <m/>
    <x v="1"/>
    <n v="0"/>
    <x v="0"/>
    <x v="1359"/>
    <s v="Cust 1621"/>
    <n v="15.81"/>
    <d v="2024-12-18T00:00:00"/>
    <d v="2024-12-27T00:00:00"/>
    <s v="Ryan"/>
    <n v="9"/>
  </r>
  <r>
    <d v="2024-09-29T00:00:00"/>
    <x v="11"/>
    <x v="1"/>
    <x v="26"/>
    <x v="2"/>
    <x v="5"/>
    <n v="18"/>
    <n v="589"/>
    <s v="Store B"/>
    <x v="0"/>
    <n v="0.1"/>
    <x v="4"/>
    <n v="9541.8000000000011"/>
    <n v="6361.2"/>
    <n v="3142.8200000000011"/>
    <n v="0.32937391267894955"/>
    <n v="9541.8000000000011"/>
    <s v="Cash"/>
    <s v="WINTER15"/>
    <x v="0"/>
    <n v="0"/>
    <x v="0"/>
    <x v="1360"/>
    <s v="Cust 6790"/>
    <n v="37.78"/>
    <d v="2024-09-29T00:00:00"/>
    <d v="2024-10-08T00:00:00"/>
    <s v="Ryan"/>
    <n v="9"/>
  </r>
  <r>
    <d v="2024-10-25T00:00:00"/>
    <x v="5"/>
    <x v="1"/>
    <x v="7"/>
    <x v="1"/>
    <x v="2"/>
    <n v="16"/>
    <n v="249.45"/>
    <s v="Store C"/>
    <x v="0"/>
    <n v="0.1"/>
    <x v="1"/>
    <n v="3592.08"/>
    <n v="2394.7199999999998"/>
    <n v="1176.44"/>
    <n v="0.32750940958998687"/>
    <n v="3592.08"/>
    <s v="Cash"/>
    <s v="FREESHIP"/>
    <x v="0"/>
    <n v="0"/>
    <x v="0"/>
    <x v="1361"/>
    <s v="Cust 4045"/>
    <n v="20.92"/>
    <d v="2024-10-25T00:00:00"/>
    <d v="2024-11-01T00:00:00"/>
    <s v="Sophie"/>
    <n v="7"/>
  </r>
  <r>
    <d v="2025-01-06T00:00:00"/>
    <x v="4"/>
    <x v="2"/>
    <x v="12"/>
    <x v="2"/>
    <x v="4"/>
    <n v="20"/>
    <n v="440.32"/>
    <s v="Store C"/>
    <x v="1"/>
    <n v="0.05"/>
    <x v="1"/>
    <n v="8366.08"/>
    <n v="5283.84"/>
    <n v="3076.0699999999997"/>
    <n v="0.3676835507190942"/>
    <n v="8366.08"/>
    <s v="Debit Card"/>
    <s v="SAVE10"/>
    <x v="0"/>
    <n v="1"/>
    <x v="1"/>
    <x v="1362"/>
    <s v="Cust 1258"/>
    <n v="6.17"/>
    <d v="2025-01-06T00:00:00"/>
    <d v="2025-01-16T00:00:00"/>
    <s v="Ryan"/>
    <n v="10"/>
  </r>
  <r>
    <d v="2023-11-19T00:00:00"/>
    <x v="9"/>
    <x v="0"/>
    <x v="15"/>
    <x v="3"/>
    <x v="5"/>
    <n v="3"/>
    <n v="101.34"/>
    <s v="Store A"/>
    <x v="0"/>
    <n v="0"/>
    <x v="3"/>
    <n v="304.02"/>
    <n v="182.41200000000001"/>
    <n v="98.45799999999997"/>
    <n v="0.32385369383593177"/>
    <n v="304.02"/>
    <s v="Debit Card"/>
    <m/>
    <x v="1"/>
    <n v="0"/>
    <x v="0"/>
    <x v="1363"/>
    <s v="Cust 8051"/>
    <n v="23.15"/>
    <d v="2023-11-19T00:00:00"/>
    <d v="2023-11-21T00:00:00"/>
    <s v="Cameron"/>
    <n v="2"/>
  </r>
  <r>
    <d v="2024-04-11T00:00:00"/>
    <x v="7"/>
    <x v="1"/>
    <x v="9"/>
    <x v="1"/>
    <x v="1"/>
    <n v="17"/>
    <n v="311.61"/>
    <s v="Store A"/>
    <x v="1"/>
    <n v="0.05"/>
    <x v="0"/>
    <n v="5032.5014999999994"/>
    <n v="3178.422"/>
    <n v="1824.1794999999993"/>
    <n v="0.3624796733791335"/>
    <n v="5032.5014999999994"/>
    <s v="Online"/>
    <m/>
    <x v="1"/>
    <n v="1"/>
    <x v="1"/>
    <x v="1364"/>
    <s v="Cust 9371"/>
    <n v="29.9"/>
    <d v="2024-04-11T00:00:00"/>
    <d v="2024-04-17T00:00:00"/>
    <s v="Sophie"/>
    <n v="6"/>
  </r>
  <r>
    <d v="2024-03-30T00:00:00"/>
    <x v="6"/>
    <x v="1"/>
    <x v="25"/>
    <x v="1"/>
    <x v="4"/>
    <n v="2"/>
    <n v="441.18"/>
    <s v="Store B"/>
    <x v="1"/>
    <n v="0.15"/>
    <x v="5"/>
    <n v="750.00599999999997"/>
    <n v="529.41599999999994"/>
    <n v="197.52000000000004"/>
    <n v="0.26335789313685498"/>
    <n v="750.00599999999997"/>
    <s v="Cash"/>
    <m/>
    <x v="1"/>
    <n v="1"/>
    <x v="1"/>
    <x v="1365"/>
    <s v="Cust 9881"/>
    <n v="23.07"/>
    <d v="2024-03-30T00:00:00"/>
    <d v="2024-04-06T00:00:00"/>
    <s v="Sophie"/>
    <n v="7"/>
  </r>
  <r>
    <d v="2024-11-25T00:00:00"/>
    <x v="9"/>
    <x v="1"/>
    <x v="20"/>
    <x v="2"/>
    <x v="3"/>
    <n v="20"/>
    <n v="286.66000000000003"/>
    <s v="Store D"/>
    <x v="1"/>
    <n v="0.1"/>
    <x v="3"/>
    <n v="5159.880000000001"/>
    <n v="3439.92"/>
    <n v="1704.420000000001"/>
    <n v="0.33032163538686959"/>
    <n v="5159.880000000001"/>
    <s v="Debit Card"/>
    <s v="WINTER15"/>
    <x v="0"/>
    <n v="0"/>
    <x v="0"/>
    <x v="1366"/>
    <s v="Cust 2153"/>
    <n v="15.54"/>
    <d v="2024-11-25T00:00:00"/>
    <d v="2024-11-29T00:00:00"/>
    <s v="Ryan"/>
    <n v="4"/>
  </r>
  <r>
    <d v="2025-01-06T00:00:00"/>
    <x v="4"/>
    <x v="2"/>
    <x v="12"/>
    <x v="2"/>
    <x v="6"/>
    <n v="13"/>
    <n v="483.63"/>
    <s v="Store A"/>
    <x v="1"/>
    <n v="0.05"/>
    <x v="3"/>
    <n v="5972.8304999999991"/>
    <n v="3772.3139999999999"/>
    <n v="2182.2964999999995"/>
    <n v="0.36537057262883982"/>
    <n v="5972.8304999999991"/>
    <s v="Cash"/>
    <s v="FREESHIP"/>
    <x v="0"/>
    <n v="0"/>
    <x v="0"/>
    <x v="1367"/>
    <s v="Cust 9189"/>
    <n v="18.22"/>
    <d v="2025-01-06T00:00:00"/>
    <d v="2025-01-15T00:00:00"/>
    <s v="Ryan"/>
    <n v="9"/>
  </r>
  <r>
    <d v="2023-04-15T00:00:00"/>
    <x v="7"/>
    <x v="0"/>
    <x v="21"/>
    <x v="4"/>
    <x v="5"/>
    <n v="8"/>
    <n v="304.14999999999998"/>
    <s v="Store B"/>
    <x v="0"/>
    <n v="0.05"/>
    <x v="3"/>
    <n v="2311.5399999999995"/>
    <n v="1459.9199999999998"/>
    <n v="809.88999999999965"/>
    <n v="0.35036815283317607"/>
    <n v="2311.54"/>
    <s v="Debit Card"/>
    <m/>
    <x v="1"/>
    <n v="0"/>
    <x v="0"/>
    <x v="1368"/>
    <s v="Cust 8802"/>
    <n v="41.73"/>
    <d v="2023-04-15T00:00:00"/>
    <d v="2023-04-18T00:00:00"/>
    <s v="Wendy"/>
    <n v="3"/>
  </r>
  <r>
    <d v="2024-02-07T00:00:00"/>
    <x v="0"/>
    <x v="1"/>
    <x v="5"/>
    <x v="0"/>
    <x v="6"/>
    <n v="10"/>
    <n v="452.21"/>
    <s v="Store A"/>
    <x v="1"/>
    <n v="0.1"/>
    <x v="0"/>
    <n v="4069.8899999999994"/>
    <n v="2713.2599999999998"/>
    <n v="1340.7599999999998"/>
    <n v="0.32943396504573835"/>
    <n v="4069.889999999999"/>
    <s v="Cash"/>
    <s v="WINTER15"/>
    <x v="0"/>
    <n v="0"/>
    <x v="0"/>
    <x v="1369"/>
    <s v="Cust 8707"/>
    <n v="15.87"/>
    <d v="2024-02-07T00:00:00"/>
    <d v="2024-02-17T00:00:00"/>
    <s v="Eric"/>
    <n v="10"/>
  </r>
  <r>
    <d v="2023-06-02T00:00:00"/>
    <x v="3"/>
    <x v="0"/>
    <x v="4"/>
    <x v="0"/>
    <x v="6"/>
    <n v="4"/>
    <n v="248.16"/>
    <s v="Store B"/>
    <x v="1"/>
    <n v="0.1"/>
    <x v="4"/>
    <n v="893.37599999999998"/>
    <n v="595.58399999999995"/>
    <n v="252.68200000000002"/>
    <n v="0.28283947632351891"/>
    <n v="893.37599999999998"/>
    <s v="Credit Card"/>
    <m/>
    <x v="1"/>
    <n v="1"/>
    <x v="1"/>
    <x v="1370"/>
    <s v="Cust 5638"/>
    <n v="45.11"/>
    <d v="2023-06-02T00:00:00"/>
    <d v="2023-06-05T00:00:00"/>
    <s v="Eric"/>
    <n v="3"/>
  </r>
  <r>
    <d v="2023-08-24T00:00:00"/>
    <x v="10"/>
    <x v="0"/>
    <x v="18"/>
    <x v="0"/>
    <x v="0"/>
    <n v="4"/>
    <n v="520"/>
    <s v="Store A"/>
    <x v="1"/>
    <n v="0"/>
    <x v="0"/>
    <n v="2080"/>
    <n v="1248"/>
    <n v="813.75"/>
    <n v="0.39122596153846156"/>
    <n v="2080"/>
    <s v="Credit Card"/>
    <s v="WINTER15"/>
    <x v="0"/>
    <n v="0"/>
    <x v="0"/>
    <x v="1371"/>
    <s v="Cust 6036"/>
    <n v="18.25"/>
    <d v="2023-08-24T00:00:00"/>
    <d v="2023-09-02T00:00:00"/>
    <s v="Eric"/>
    <n v="9"/>
  </r>
  <r>
    <d v="2024-12-06T00:00:00"/>
    <x v="1"/>
    <x v="1"/>
    <x v="1"/>
    <x v="1"/>
    <x v="3"/>
    <n v="11"/>
    <n v="571.07000000000005"/>
    <s v="Store A"/>
    <x v="1"/>
    <n v="0"/>
    <x v="2"/>
    <n v="6281.77"/>
    <n v="3769.0619999999999"/>
    <n v="2500.1080000000006"/>
    <n v="0.39799419590338397"/>
    <n v="6281.77"/>
    <s v="Gift Card"/>
    <s v="SAVE10"/>
    <x v="0"/>
    <n v="0"/>
    <x v="0"/>
    <x v="1372"/>
    <s v="Cust 5504"/>
    <n v="12.6"/>
    <d v="2024-12-06T00:00:00"/>
    <d v="2024-12-11T00:00:00"/>
    <s v="Sophie"/>
    <n v="5"/>
  </r>
  <r>
    <d v="2023-12-08T00:00:00"/>
    <x v="1"/>
    <x v="0"/>
    <x v="27"/>
    <x v="0"/>
    <x v="5"/>
    <n v="11"/>
    <n v="65.569999999999993"/>
    <s v="Store D"/>
    <x v="1"/>
    <n v="0.1"/>
    <x v="4"/>
    <n v="649.14300000000003"/>
    <n v="432.76199999999989"/>
    <n v="185.95100000000014"/>
    <n v="0.28645614294539129"/>
    <n v="649.14300000000003"/>
    <s v="Debit Card"/>
    <s v="SAVE10"/>
    <x v="0"/>
    <n v="1"/>
    <x v="1"/>
    <x v="1373"/>
    <s v="Cust 1161"/>
    <n v="30.43"/>
    <d v="2023-12-08T00:00:00"/>
    <d v="2023-12-14T00:00:00"/>
    <s v="Eric"/>
    <n v="6"/>
  </r>
  <r>
    <d v="2023-05-12T00:00:00"/>
    <x v="2"/>
    <x v="0"/>
    <x v="2"/>
    <x v="1"/>
    <x v="5"/>
    <n v="4"/>
    <n v="397.02"/>
    <s v="Store A"/>
    <x v="0"/>
    <n v="0"/>
    <x v="2"/>
    <n v="1588.08"/>
    <n v="952.84799999999996"/>
    <n v="611.98199999999997"/>
    <n v="0.38535967961311773"/>
    <n v="1588.08"/>
    <s v="Cash"/>
    <s v="FREESHIP"/>
    <x v="0"/>
    <n v="0"/>
    <x v="0"/>
    <x v="1374"/>
    <s v="Cust 5420"/>
    <n v="23.25"/>
    <d v="2023-05-12T00:00:00"/>
    <d v="2023-05-20T00:00:00"/>
    <s v="Sophie"/>
    <n v="8"/>
  </r>
  <r>
    <d v="2025-04-24T00:00:00"/>
    <x v="7"/>
    <x v="2"/>
    <x v="28"/>
    <x v="4"/>
    <x v="0"/>
    <n v="10"/>
    <n v="169.35"/>
    <s v="Store B"/>
    <x v="1"/>
    <n v="0.05"/>
    <x v="1"/>
    <n v="1608.8249999999998"/>
    <n v="1016.1"/>
    <n v="547.81499999999983"/>
    <n v="0.34050627010395779"/>
    <n v="1608.825"/>
    <s v="Credit Card"/>
    <s v="WINTER15"/>
    <x v="0"/>
    <n v="0"/>
    <x v="0"/>
    <x v="1375"/>
    <s v="Cust 7745"/>
    <n v="44.91"/>
    <d v="2025-04-24T00:00:00"/>
    <d v="2025-04-27T00:00:00"/>
    <s v="Wendy"/>
    <n v="3"/>
  </r>
  <r>
    <d v="2023-04-23T00:00:00"/>
    <x v="7"/>
    <x v="0"/>
    <x v="21"/>
    <x v="3"/>
    <x v="5"/>
    <n v="9"/>
    <n v="340.44"/>
    <s v="Store D"/>
    <x v="1"/>
    <n v="0.05"/>
    <x v="3"/>
    <n v="2910.7619999999997"/>
    <n v="1838.3759999999997"/>
    <n v="1035.7059999999999"/>
    <n v="0.35581954141218003"/>
    <n v="2910.7620000000002"/>
    <s v="Debit Card"/>
    <s v="FREESHIP"/>
    <x v="0"/>
    <n v="1"/>
    <x v="1"/>
    <x v="1376"/>
    <s v="Cust 4365"/>
    <n v="36.68"/>
    <d v="2023-04-23T00:00:00"/>
    <d v="2023-05-03T00:00:00"/>
    <s v="Cameron"/>
    <n v="10"/>
  </r>
  <r>
    <d v="2023-01-18T00:00:00"/>
    <x v="4"/>
    <x v="0"/>
    <x v="6"/>
    <x v="2"/>
    <x v="4"/>
    <n v="1"/>
    <n v="120.2"/>
    <s v="Store D"/>
    <x v="1"/>
    <n v="0.05"/>
    <x v="3"/>
    <n v="114.19"/>
    <n v="72.12"/>
    <n v="-2.9200000000000088"/>
    <n v="-2.5571416060951126E-2"/>
    <n v="114.19"/>
    <s v="Online"/>
    <s v="WINTER15"/>
    <x v="0"/>
    <n v="0"/>
    <x v="0"/>
    <x v="1377"/>
    <s v="Cust 3291"/>
    <n v="44.99"/>
    <d v="2023-01-18T00:00:00"/>
    <d v="2023-01-21T00:00:00"/>
    <s v="Ryan"/>
    <n v="3"/>
  </r>
  <r>
    <d v="2025-05-11T00:00:00"/>
    <x v="2"/>
    <x v="2"/>
    <x v="13"/>
    <x v="2"/>
    <x v="1"/>
    <n v="13"/>
    <n v="169.39"/>
    <s v="Store B"/>
    <x v="0"/>
    <n v="0.15"/>
    <x v="4"/>
    <n v="1871.7594999999997"/>
    <n v="1321.2419999999997"/>
    <n v="543.70749999999998"/>
    <n v="0.2904793591270674"/>
    <n v="1871.7594999999999"/>
    <s v="Credit Card"/>
    <m/>
    <x v="1"/>
    <n v="0"/>
    <x v="0"/>
    <x v="1378"/>
    <s v="Cust 9020"/>
    <n v="6.81"/>
    <d v="2025-05-11T00:00:00"/>
    <d v="2025-05-21T00:00:00"/>
    <s v="Ryan"/>
    <n v="10"/>
  </r>
  <r>
    <d v="2024-12-23T00:00:00"/>
    <x v="1"/>
    <x v="1"/>
    <x v="1"/>
    <x v="4"/>
    <x v="5"/>
    <n v="10"/>
    <n v="170.72"/>
    <s v="Store A"/>
    <x v="0"/>
    <n v="0.05"/>
    <x v="2"/>
    <n v="1621.84"/>
    <n v="1024.32"/>
    <n v="568.34"/>
    <n v="0.35042914220884924"/>
    <n v="1621.84"/>
    <s v="Online"/>
    <s v="FREESHIP"/>
    <x v="0"/>
    <n v="0"/>
    <x v="0"/>
    <x v="1379"/>
    <s v="Cust 2667"/>
    <n v="29.18"/>
    <d v="2024-12-23T00:00:00"/>
    <d v="2025-01-02T00:00:00"/>
    <s v="Wendy"/>
    <n v="10"/>
  </r>
  <r>
    <d v="2023-08-20T00:00:00"/>
    <x v="10"/>
    <x v="0"/>
    <x v="18"/>
    <x v="4"/>
    <x v="2"/>
    <n v="9"/>
    <n v="323.77"/>
    <s v="Store A"/>
    <x v="0"/>
    <n v="0.15"/>
    <x v="3"/>
    <n v="2476.8404999999998"/>
    <n v="1748.3579999999997"/>
    <n v="722.12250000000006"/>
    <n v="0.29154985958926305"/>
    <n v="2476.8404999999998"/>
    <s v="Debit Card"/>
    <m/>
    <x v="1"/>
    <n v="0"/>
    <x v="0"/>
    <x v="1380"/>
    <s v="Cust 6158"/>
    <n v="6.36"/>
    <d v="2023-08-20T00:00:00"/>
    <d v="2023-08-28T00:00:00"/>
    <s v="Wendy"/>
    <n v="8"/>
  </r>
  <r>
    <d v="2025-03-18T00:00:00"/>
    <x v="6"/>
    <x v="2"/>
    <x v="8"/>
    <x v="3"/>
    <x v="3"/>
    <n v="4"/>
    <n v="481.86"/>
    <s v="Store B"/>
    <x v="0"/>
    <n v="0"/>
    <x v="5"/>
    <n v="1927.44"/>
    <n v="1156.4639999999999"/>
    <n v="749.05600000000015"/>
    <n v="0.38862740215000213"/>
    <n v="1927.44"/>
    <s v="Online"/>
    <s v="FREESHIP"/>
    <x v="0"/>
    <n v="0"/>
    <x v="0"/>
    <x v="1381"/>
    <s v="Cust 7404"/>
    <n v="21.92"/>
    <d v="2025-03-18T00:00:00"/>
    <d v="2025-03-23T00:00:00"/>
    <s v="Cameron"/>
    <n v="5"/>
  </r>
  <r>
    <d v="2024-01-16T00:00:00"/>
    <x v="4"/>
    <x v="1"/>
    <x v="24"/>
    <x v="3"/>
    <x v="1"/>
    <n v="4"/>
    <n v="78.05"/>
    <s v="Store A"/>
    <x v="1"/>
    <n v="0"/>
    <x v="3"/>
    <n v="312.2"/>
    <n v="187.32"/>
    <n v="110.85"/>
    <n v="0.35506085842408713"/>
    <n v="312.2"/>
    <s v="Credit Card"/>
    <m/>
    <x v="1"/>
    <n v="0"/>
    <x v="0"/>
    <x v="1382"/>
    <s v="Cust 8572"/>
    <n v="14.03"/>
    <d v="2024-01-16T00:00:00"/>
    <d v="2024-01-24T00:00:00"/>
    <s v="Cameron"/>
    <n v="8"/>
  </r>
  <r>
    <d v="2024-05-29T00:00:00"/>
    <x v="2"/>
    <x v="1"/>
    <x v="14"/>
    <x v="0"/>
    <x v="5"/>
    <n v="6"/>
    <n v="57.4"/>
    <s v="Store C"/>
    <x v="0"/>
    <n v="0.1"/>
    <x v="0"/>
    <n v="309.95999999999998"/>
    <n v="206.64"/>
    <n v="76.899999999999991"/>
    <n v="0.24809652858433345"/>
    <n v="309.95999999999998"/>
    <s v="Debit Card"/>
    <s v="FREESHIP"/>
    <x v="0"/>
    <n v="0"/>
    <x v="0"/>
    <x v="1383"/>
    <s v="Cust 1043"/>
    <n v="26.42"/>
    <d v="2024-05-29T00:00:00"/>
    <d v="2024-06-08T00:00:00"/>
    <s v="Eric"/>
    <n v="10"/>
  </r>
  <r>
    <d v="2025-03-25T00:00:00"/>
    <x v="6"/>
    <x v="2"/>
    <x v="8"/>
    <x v="1"/>
    <x v="0"/>
    <n v="9"/>
    <n v="454.98"/>
    <s v="Store B"/>
    <x v="0"/>
    <n v="0.15"/>
    <x v="0"/>
    <n v="3480.5970000000002"/>
    <n v="2456.8919999999998"/>
    <n v="982.94500000000039"/>
    <n v="0.28240701236023602"/>
    <n v="3480.5970000000002"/>
    <s v="Credit Card"/>
    <m/>
    <x v="1"/>
    <n v="0"/>
    <x v="0"/>
    <x v="1384"/>
    <s v="Cust 1766"/>
    <n v="40.76"/>
    <d v="2025-03-25T00:00:00"/>
    <d v="2025-03-27T00:00:00"/>
    <s v="Sophie"/>
    <n v="2"/>
  </r>
  <r>
    <d v="2025-03-22T00:00:00"/>
    <x v="6"/>
    <x v="2"/>
    <x v="8"/>
    <x v="3"/>
    <x v="2"/>
    <n v="11"/>
    <n v="365.75"/>
    <s v="Store D"/>
    <x v="0"/>
    <n v="0.05"/>
    <x v="5"/>
    <n v="3822.0874999999996"/>
    <n v="2413.9499999999998"/>
    <n v="1399.7674999999999"/>
    <n v="0.36623114986247701"/>
    <n v="3822.0875000000001"/>
    <s v="Debit Card"/>
    <s v="FREESHIP"/>
    <x v="0"/>
    <n v="1"/>
    <x v="1"/>
    <x v="1385"/>
    <s v="Cust 4461"/>
    <n v="8.3699999999999992"/>
    <d v="2025-03-22T00:00:00"/>
    <d v="2025-03-27T00:00:00"/>
    <s v="Cameron"/>
    <n v="5"/>
  </r>
  <r>
    <d v="2024-08-17T00:00:00"/>
    <x v="10"/>
    <x v="1"/>
    <x v="29"/>
    <x v="0"/>
    <x v="1"/>
    <n v="7"/>
    <n v="106.88"/>
    <s v="Store C"/>
    <x v="1"/>
    <n v="0.05"/>
    <x v="4"/>
    <n v="710.75199999999995"/>
    <n v="448.89600000000002"/>
    <n v="235.73599999999993"/>
    <n v="0.33167124397820891"/>
    <n v="710.75199999999995"/>
    <s v="Cash"/>
    <s v="WINTER15"/>
    <x v="0"/>
    <n v="1"/>
    <x v="1"/>
    <x v="1386"/>
    <s v="Cust 4390"/>
    <n v="26.12"/>
    <d v="2024-08-17T00:00:00"/>
    <d v="2024-08-24T00:00:00"/>
    <s v="Eric"/>
    <n v="7"/>
  </r>
  <r>
    <d v="2024-06-02T00:00:00"/>
    <x v="3"/>
    <x v="1"/>
    <x v="23"/>
    <x v="1"/>
    <x v="6"/>
    <n v="2"/>
    <n v="250.98"/>
    <s v="Store B"/>
    <x v="0"/>
    <n v="0.1"/>
    <x v="0"/>
    <n v="451.76400000000001"/>
    <n v="301.17599999999999"/>
    <n v="131.78800000000001"/>
    <n v="0.29171868497711195"/>
    <n v="451.76400000000001"/>
    <s v="Online"/>
    <s v="WINTER15"/>
    <x v="0"/>
    <n v="0"/>
    <x v="0"/>
    <x v="1387"/>
    <s v="Cust 9451"/>
    <n v="18.8"/>
    <d v="2024-06-02T00:00:00"/>
    <d v="2024-06-12T00:00:00"/>
    <s v="Sophie"/>
    <n v="10"/>
  </r>
  <r>
    <d v="2023-03-31T00:00:00"/>
    <x v="6"/>
    <x v="0"/>
    <x v="17"/>
    <x v="1"/>
    <x v="4"/>
    <n v="8"/>
    <n v="591.29"/>
    <s v="Store C"/>
    <x v="1"/>
    <n v="0.1"/>
    <x v="4"/>
    <n v="4257.2879999999996"/>
    <n v="2838.1919999999996"/>
    <n v="1373.9559999999999"/>
    <n v="0.32273033912669286"/>
    <n v="4257.2879999999996"/>
    <s v="Credit Card"/>
    <m/>
    <x v="1"/>
    <n v="1"/>
    <x v="1"/>
    <x v="1388"/>
    <s v="Cust 5335"/>
    <n v="45.14"/>
    <d v="2023-03-31T00:00:00"/>
    <d v="2023-04-10T00:00:00"/>
    <s v="Sophie"/>
    <n v="10"/>
  </r>
  <r>
    <d v="2024-05-19T00:00:00"/>
    <x v="2"/>
    <x v="1"/>
    <x v="14"/>
    <x v="4"/>
    <x v="4"/>
    <n v="18"/>
    <n v="369.79"/>
    <s v="Store A"/>
    <x v="0"/>
    <n v="0.05"/>
    <x v="0"/>
    <n v="6323.4089999999997"/>
    <n v="3993.732"/>
    <n v="2313.2769999999996"/>
    <n v="0.3658275148737018"/>
    <n v="6323.4089999999997"/>
    <s v="Cash"/>
    <s v="FREESHIP"/>
    <x v="0"/>
    <n v="1"/>
    <x v="1"/>
    <x v="1389"/>
    <s v="Cust 3487"/>
    <n v="16.399999999999999"/>
    <d v="2024-05-19T00:00:00"/>
    <d v="2024-05-23T00:00:00"/>
    <s v="Wendy"/>
    <n v="4"/>
  </r>
  <r>
    <d v="2023-03-02T00:00:00"/>
    <x v="6"/>
    <x v="0"/>
    <x v="17"/>
    <x v="4"/>
    <x v="2"/>
    <n v="15"/>
    <n v="166.24"/>
    <s v="Store D"/>
    <x v="0"/>
    <n v="0.1"/>
    <x v="4"/>
    <n v="2244.2400000000002"/>
    <n v="1496.16"/>
    <n v="738.22000000000014"/>
    <n v="0.3289398638291805"/>
    <n v="2244.2399999999998"/>
    <s v="Debit Card"/>
    <s v="SAVE10"/>
    <x v="0"/>
    <n v="0"/>
    <x v="0"/>
    <x v="1390"/>
    <s v="Cust 7613"/>
    <n v="9.86"/>
    <d v="2023-03-02T00:00:00"/>
    <d v="2023-03-05T00:00:00"/>
    <s v="Wendy"/>
    <n v="3"/>
  </r>
  <r>
    <d v="2023-03-13T00:00:00"/>
    <x v="6"/>
    <x v="0"/>
    <x v="17"/>
    <x v="2"/>
    <x v="6"/>
    <n v="12"/>
    <n v="260.76"/>
    <s v="Store C"/>
    <x v="0"/>
    <n v="0.15"/>
    <x v="3"/>
    <n v="2659.752"/>
    <n v="1877.4719999999998"/>
    <n v="761.36000000000024"/>
    <n v="0.28625225208966859"/>
    <n v="2659.752"/>
    <s v="Online"/>
    <m/>
    <x v="1"/>
    <n v="0"/>
    <x v="0"/>
    <x v="1391"/>
    <s v="Cust 9436"/>
    <n v="20.92"/>
    <d v="2023-03-13T00:00:00"/>
    <d v="2023-03-22T00:00:00"/>
    <s v="Ryan"/>
    <n v="9"/>
  </r>
  <r>
    <d v="2025-04-16T00:00:00"/>
    <x v="7"/>
    <x v="2"/>
    <x v="28"/>
    <x v="4"/>
    <x v="0"/>
    <n v="10"/>
    <n v="348.63"/>
    <s v="Store D"/>
    <x v="0"/>
    <n v="0.05"/>
    <x v="4"/>
    <n v="3311.9850000000001"/>
    <n v="2091.7799999999997"/>
    <n v="1177.4150000000004"/>
    <n v="0.35550130812790526"/>
    <n v="3311.9850000000001"/>
    <s v="Credit Card"/>
    <m/>
    <x v="1"/>
    <n v="1"/>
    <x v="1"/>
    <x v="1392"/>
    <s v="Cust 2197"/>
    <n v="42.79"/>
    <d v="2025-04-16T00:00:00"/>
    <d v="2025-04-18T00:00:00"/>
    <s v="Wendy"/>
    <n v="2"/>
  </r>
  <r>
    <d v="2024-06-05T00:00:00"/>
    <x v="3"/>
    <x v="1"/>
    <x v="23"/>
    <x v="2"/>
    <x v="3"/>
    <n v="5"/>
    <n v="473.28"/>
    <s v="Store A"/>
    <x v="1"/>
    <n v="0"/>
    <x v="4"/>
    <n v="2366.3999999999996"/>
    <n v="1419.8399999999997"/>
    <n v="915.86999999999989"/>
    <n v="0.38703093306288033"/>
    <n v="2366.4"/>
    <s v="Credit Card"/>
    <s v="SAVE10"/>
    <x v="0"/>
    <n v="1"/>
    <x v="1"/>
    <x v="1393"/>
    <s v="Cust 5620"/>
    <n v="30.69"/>
    <d v="2024-06-05T00:00:00"/>
    <d v="2024-06-15T00:00:00"/>
    <s v="Ryan"/>
    <n v="10"/>
  </r>
  <r>
    <d v="2024-09-01T00:00:00"/>
    <x v="11"/>
    <x v="1"/>
    <x v="26"/>
    <x v="2"/>
    <x v="3"/>
    <n v="16"/>
    <n v="401.83"/>
    <s v="Store B"/>
    <x v="1"/>
    <n v="0"/>
    <x v="0"/>
    <n v="6429.28"/>
    <n v="3857.5679999999998"/>
    <n v="2550.172"/>
    <n v="0.39664970261055671"/>
    <n v="6429.28"/>
    <s v="Cash"/>
    <s v="FREESHIP"/>
    <x v="0"/>
    <n v="0"/>
    <x v="0"/>
    <x v="1394"/>
    <s v="Cust 4101"/>
    <n v="21.54"/>
    <d v="2024-09-01T00:00:00"/>
    <d v="2024-09-05T00:00:00"/>
    <s v="Ryan"/>
    <n v="4"/>
  </r>
  <r>
    <d v="2024-09-21T00:00:00"/>
    <x v="11"/>
    <x v="1"/>
    <x v="26"/>
    <x v="2"/>
    <x v="1"/>
    <n v="10"/>
    <n v="269.29000000000002"/>
    <s v="Store C"/>
    <x v="1"/>
    <n v="0"/>
    <x v="0"/>
    <n v="2692.9"/>
    <n v="1615.7400000000002"/>
    <n v="1063.07"/>
    <n v="0.3947677225296149"/>
    <n v="2692.9"/>
    <s v="Debit Card"/>
    <s v="SAVE10"/>
    <x v="0"/>
    <n v="0"/>
    <x v="0"/>
    <x v="1395"/>
    <s v="Cust 8828"/>
    <n v="14.09"/>
    <d v="2024-09-21T00:00:00"/>
    <d v="2024-09-30T00:00:00"/>
    <s v="Ryan"/>
    <n v="9"/>
  </r>
  <r>
    <d v="2025-01-11T00:00:00"/>
    <x v="4"/>
    <x v="2"/>
    <x v="12"/>
    <x v="2"/>
    <x v="2"/>
    <n v="4"/>
    <n v="323.02"/>
    <s v="Store C"/>
    <x v="1"/>
    <n v="0.05"/>
    <x v="4"/>
    <n v="1227.4759999999999"/>
    <n v="775.24799999999993"/>
    <n v="432.69799999999998"/>
    <n v="0.35251035458127083"/>
    <n v="1227.4760000000001"/>
    <s v="Cash"/>
    <m/>
    <x v="1"/>
    <n v="0"/>
    <x v="0"/>
    <x v="1396"/>
    <s v="Cust 3187"/>
    <n v="19.53"/>
    <d v="2025-01-11T00:00:00"/>
    <d v="2025-01-16T00:00:00"/>
    <s v="Ryan"/>
    <n v="5"/>
  </r>
  <r>
    <d v="2023-01-04T00:00:00"/>
    <x v="4"/>
    <x v="0"/>
    <x v="6"/>
    <x v="4"/>
    <x v="4"/>
    <n v="15"/>
    <n v="439.89"/>
    <s v="Store D"/>
    <x v="1"/>
    <n v="0.15"/>
    <x v="4"/>
    <n v="5608.5974999999989"/>
    <n v="3959.0099999999993"/>
    <n v="1599.8774999999996"/>
    <n v="0.28525446869738824"/>
    <n v="5608.5974999999989"/>
    <s v="Online"/>
    <s v="FREESHIP"/>
    <x v="0"/>
    <n v="0"/>
    <x v="0"/>
    <x v="1397"/>
    <s v="Cust 1081"/>
    <n v="49.71"/>
    <d v="2023-01-04T00:00:00"/>
    <d v="2023-01-08T00:00:00"/>
    <s v="Wendy"/>
    <n v="4"/>
  </r>
  <r>
    <d v="2023-05-02T00:00:00"/>
    <x v="2"/>
    <x v="0"/>
    <x v="2"/>
    <x v="4"/>
    <x v="4"/>
    <n v="16"/>
    <n v="483.09"/>
    <s v="Store C"/>
    <x v="0"/>
    <n v="0.05"/>
    <x v="1"/>
    <n v="7342.9679999999989"/>
    <n v="4637.6639999999998"/>
    <n v="2667.6439999999993"/>
    <n v="0.36329233628690738"/>
    <n v="7342.9679999999989"/>
    <s v="Debit Card"/>
    <m/>
    <x v="1"/>
    <n v="1"/>
    <x v="1"/>
    <x v="1398"/>
    <s v="Cust 5049"/>
    <n v="37.659999999999997"/>
    <d v="2023-05-02T00:00:00"/>
    <d v="2023-05-05T00:00:00"/>
    <s v="Wendy"/>
    <n v="3"/>
  </r>
  <r>
    <d v="2023-07-09T00:00:00"/>
    <x v="8"/>
    <x v="0"/>
    <x v="11"/>
    <x v="0"/>
    <x v="1"/>
    <n v="13"/>
    <n v="27.39"/>
    <s v="Store B"/>
    <x v="1"/>
    <n v="0.15"/>
    <x v="2"/>
    <n v="302.65949999999998"/>
    <n v="213.64200000000002"/>
    <n v="66.067499999999953"/>
    <n v="0.21828986038766321"/>
    <n v="302.65949999999998"/>
    <s v="Cash"/>
    <m/>
    <x v="1"/>
    <n v="0"/>
    <x v="0"/>
    <x v="1399"/>
    <s v="Cust 5409"/>
    <n v="22.95"/>
    <d v="2023-07-09T00:00:00"/>
    <d v="2023-07-14T00:00:00"/>
    <s v="Eric"/>
    <n v="5"/>
  </r>
  <r>
    <d v="2025-02-27T00:00:00"/>
    <x v="0"/>
    <x v="2"/>
    <x v="3"/>
    <x v="0"/>
    <x v="4"/>
    <n v="18"/>
    <n v="432.52"/>
    <s v="Store D"/>
    <x v="1"/>
    <n v="0.05"/>
    <x v="5"/>
    <n v="7396.0919999999996"/>
    <n v="4671.2160000000003"/>
    <n v="2690.6859999999992"/>
    <n v="0.36379834106985137"/>
    <n v="7396.0919999999996"/>
    <s v="Credit Card"/>
    <s v="SAVE10"/>
    <x v="0"/>
    <n v="1"/>
    <x v="1"/>
    <x v="1400"/>
    <s v="Cust 2372"/>
    <n v="34.19"/>
    <d v="2025-02-27T00:00:00"/>
    <d v="2025-03-04T00:00:00"/>
    <s v="Eric"/>
    <n v="5"/>
  </r>
  <r>
    <d v="2024-09-23T00:00:00"/>
    <x v="11"/>
    <x v="1"/>
    <x v="26"/>
    <x v="4"/>
    <x v="6"/>
    <n v="3"/>
    <n v="360.93"/>
    <s v="Store B"/>
    <x v="0"/>
    <n v="0.15"/>
    <x v="4"/>
    <n v="920.37149999999997"/>
    <n v="649.67399999999998"/>
    <n v="235.08749999999998"/>
    <n v="0.25542674887260197"/>
    <n v="920.37149999999997"/>
    <s v="Debit Card"/>
    <s v="WINTER15"/>
    <x v="0"/>
    <n v="0"/>
    <x v="0"/>
    <x v="1401"/>
    <s v="Cust 2741"/>
    <n v="35.61"/>
    <d v="2024-09-23T00:00:00"/>
    <d v="2024-09-29T00:00:00"/>
    <s v="Wendy"/>
    <n v="6"/>
  </r>
  <r>
    <d v="2025-06-22T00:00:00"/>
    <x v="3"/>
    <x v="2"/>
    <x v="16"/>
    <x v="0"/>
    <x v="5"/>
    <n v="5"/>
    <n v="414.58"/>
    <s v="Store B"/>
    <x v="1"/>
    <n v="0.1"/>
    <x v="4"/>
    <n v="1865.6100000000001"/>
    <n v="1243.74"/>
    <n v="606.8900000000001"/>
    <n v="0.32530378803715676"/>
    <n v="1865.61"/>
    <s v="Gift Card"/>
    <m/>
    <x v="1"/>
    <n v="0"/>
    <x v="0"/>
    <x v="1402"/>
    <s v="Cust 2571"/>
    <n v="14.98"/>
    <d v="2025-06-22T00:00:00"/>
    <d v="2025-07-01T00:00:00"/>
    <s v="Eric"/>
    <n v="9"/>
  </r>
  <r>
    <d v="2025-01-19T00:00:00"/>
    <x v="4"/>
    <x v="2"/>
    <x v="12"/>
    <x v="3"/>
    <x v="5"/>
    <n v="4"/>
    <n v="68.040000000000006"/>
    <s v="Store C"/>
    <x v="0"/>
    <n v="0"/>
    <x v="5"/>
    <n v="272.16000000000003"/>
    <n v="163.29600000000002"/>
    <n v="90.144000000000005"/>
    <n v="0.33121693121693119"/>
    <n v="272.16000000000003"/>
    <s v="Online"/>
    <s v="FREESHIP"/>
    <x v="0"/>
    <n v="0"/>
    <x v="0"/>
    <x v="1403"/>
    <s v="Cust 6301"/>
    <n v="18.72"/>
    <d v="2025-01-19T00:00:00"/>
    <d v="2025-01-28T00:00:00"/>
    <s v="Cameron"/>
    <n v="9"/>
  </r>
  <r>
    <d v="2025-02-03T00:00:00"/>
    <x v="0"/>
    <x v="2"/>
    <x v="3"/>
    <x v="0"/>
    <x v="1"/>
    <n v="10"/>
    <n v="407.99"/>
    <s v="Store C"/>
    <x v="1"/>
    <n v="0.15"/>
    <x v="0"/>
    <n v="3467.915"/>
    <n v="2447.9399999999996"/>
    <n v="970.38500000000033"/>
    <n v="0.27981798861852158"/>
    <n v="3467.915"/>
    <s v="Cash"/>
    <m/>
    <x v="1"/>
    <n v="0"/>
    <x v="0"/>
    <x v="1404"/>
    <s v="Cust 7918"/>
    <n v="49.59"/>
    <d v="2025-02-03T00:00:00"/>
    <d v="2025-02-08T00:00:00"/>
    <s v="Eric"/>
    <n v="5"/>
  </r>
  <r>
    <d v="2023-11-11T00:00:00"/>
    <x v="9"/>
    <x v="0"/>
    <x v="15"/>
    <x v="0"/>
    <x v="5"/>
    <n v="15"/>
    <n v="274.77"/>
    <s v="Store D"/>
    <x v="1"/>
    <n v="0"/>
    <x v="0"/>
    <n v="4121.5499999999993"/>
    <n v="2472.9299999999998"/>
    <n v="1629.2499999999995"/>
    <n v="0.39530031177590952"/>
    <n v="4121.5499999999993"/>
    <s v="Cash"/>
    <m/>
    <x v="1"/>
    <n v="1"/>
    <x v="1"/>
    <x v="1405"/>
    <s v="Cust 3456"/>
    <n v="19.37"/>
    <d v="2023-11-11T00:00:00"/>
    <d v="2023-11-17T00:00:00"/>
    <s v="Eric"/>
    <n v="6"/>
  </r>
  <r>
    <d v="2024-05-08T00:00:00"/>
    <x v="2"/>
    <x v="1"/>
    <x v="14"/>
    <x v="0"/>
    <x v="2"/>
    <n v="15"/>
    <n v="31.81"/>
    <s v="Store C"/>
    <x v="0"/>
    <n v="0.15"/>
    <x v="0"/>
    <n v="405.57749999999999"/>
    <n v="286.28999999999996"/>
    <n v="95.677500000000023"/>
    <n v="0.23590435859977446"/>
    <n v="405.57749999999999"/>
    <s v="Cash"/>
    <s v="SAVE10"/>
    <x v="0"/>
    <n v="0"/>
    <x v="0"/>
    <x v="1406"/>
    <s v="Cust 8272"/>
    <n v="23.61"/>
    <d v="2024-05-08T00:00:00"/>
    <d v="2024-05-10T00:00:00"/>
    <s v="Eric"/>
    <n v="2"/>
  </r>
  <r>
    <d v="2023-09-18T00:00:00"/>
    <x v="11"/>
    <x v="0"/>
    <x v="22"/>
    <x v="1"/>
    <x v="6"/>
    <n v="14"/>
    <n v="268.32"/>
    <s v="Store D"/>
    <x v="1"/>
    <n v="0"/>
    <x v="2"/>
    <n v="3756.48"/>
    <n v="2253.8879999999999"/>
    <n v="1459.452"/>
    <n v="0.38851584462049576"/>
    <n v="3756.48"/>
    <s v="Online"/>
    <s v="WINTER15"/>
    <x v="0"/>
    <n v="0"/>
    <x v="0"/>
    <x v="1407"/>
    <s v="Cust 7302"/>
    <n v="43.14"/>
    <d v="2023-09-18T00:00:00"/>
    <d v="2023-09-27T00:00:00"/>
    <s v="Sophie"/>
    <n v="9"/>
  </r>
  <r>
    <d v="2025-04-05T00:00:00"/>
    <x v="7"/>
    <x v="2"/>
    <x v="28"/>
    <x v="3"/>
    <x v="5"/>
    <n v="19"/>
    <n v="350.12"/>
    <s v="Store D"/>
    <x v="1"/>
    <n v="0.05"/>
    <x v="1"/>
    <n v="6319.6659999999993"/>
    <n v="3991.3679999999999"/>
    <n v="2279.3179999999993"/>
    <n v="0.3606706430371478"/>
    <n v="6319.6659999999993"/>
    <s v="Credit Card"/>
    <s v="FREESHIP"/>
    <x v="0"/>
    <n v="0"/>
    <x v="0"/>
    <x v="1408"/>
    <s v="Cust 6716"/>
    <n v="48.98"/>
    <d v="2025-04-05T00:00:00"/>
    <d v="2025-04-13T00:00:00"/>
    <s v="Cameron"/>
    <n v="8"/>
  </r>
  <r>
    <d v="2023-09-13T00:00:00"/>
    <x v="11"/>
    <x v="0"/>
    <x v="22"/>
    <x v="3"/>
    <x v="2"/>
    <n v="9"/>
    <n v="329.15"/>
    <s v="Store A"/>
    <x v="1"/>
    <n v="0.05"/>
    <x v="4"/>
    <n v="2814.2324999999996"/>
    <n v="1777.4099999999999"/>
    <n v="1007.4124999999998"/>
    <n v="0.35797060122075908"/>
    <n v="2814.2325000000001"/>
    <s v="Gift Card"/>
    <s v="FREESHIP"/>
    <x v="0"/>
    <n v="0"/>
    <x v="0"/>
    <x v="1409"/>
    <s v="Cust 5484"/>
    <n v="29.41"/>
    <d v="2023-09-13T00:00:00"/>
    <d v="2023-09-15T00:00:00"/>
    <s v="Cameron"/>
    <n v="2"/>
  </r>
  <r>
    <d v="2024-06-28T00:00:00"/>
    <x v="3"/>
    <x v="1"/>
    <x v="23"/>
    <x v="0"/>
    <x v="4"/>
    <n v="1"/>
    <n v="577.07000000000005"/>
    <s v="Store C"/>
    <x v="0"/>
    <n v="0.05"/>
    <x v="2"/>
    <n v="548.2165"/>
    <n v="346.24200000000002"/>
    <n v="179.00449999999998"/>
    <n v="0.32652154760026375"/>
    <n v="548.2165"/>
    <s v="Online"/>
    <s v="WINTER15"/>
    <x v="0"/>
    <n v="0"/>
    <x v="0"/>
    <x v="1410"/>
    <s v="Cust 4652"/>
    <n v="22.97"/>
    <d v="2024-06-28T00:00:00"/>
    <d v="2024-07-06T00:00:00"/>
    <s v="Eric"/>
    <n v="8"/>
  </r>
  <r>
    <d v="2023-04-06T00:00:00"/>
    <x v="7"/>
    <x v="0"/>
    <x v="21"/>
    <x v="3"/>
    <x v="3"/>
    <n v="6"/>
    <n v="544.33000000000004"/>
    <s v="Store B"/>
    <x v="0"/>
    <n v="0.1"/>
    <x v="3"/>
    <n v="2939.3820000000005"/>
    <n v="1959.5880000000002"/>
    <n v="968.27400000000034"/>
    <n v="0.32941414215641251"/>
    <n v="2939.382000000001"/>
    <s v="Cash"/>
    <m/>
    <x v="1"/>
    <n v="0"/>
    <x v="0"/>
    <x v="1411"/>
    <s v="Cust 1222"/>
    <n v="11.52"/>
    <d v="2023-04-06T00:00:00"/>
    <d v="2023-04-08T00:00:00"/>
    <s v="Cameron"/>
    <n v="2"/>
  </r>
  <r>
    <d v="2023-05-13T00:00:00"/>
    <x v="2"/>
    <x v="0"/>
    <x v="2"/>
    <x v="1"/>
    <x v="0"/>
    <n v="18"/>
    <n v="331.45"/>
    <s v="Store D"/>
    <x v="1"/>
    <n v="0.15"/>
    <x v="1"/>
    <n v="5071.1849999999995"/>
    <n v="3579.6599999999994"/>
    <n v="1458.605"/>
    <n v="0.28762606767451793"/>
    <n v="5071.1849999999986"/>
    <s v="Cash"/>
    <s v="WINTER15"/>
    <x v="0"/>
    <n v="1"/>
    <x v="1"/>
    <x v="1412"/>
    <s v="Cust 3559"/>
    <n v="32.92"/>
    <d v="2023-05-13T00:00:00"/>
    <d v="2023-05-18T00:00:00"/>
    <s v="Sophie"/>
    <n v="5"/>
  </r>
  <r>
    <d v="2025-05-07T00:00:00"/>
    <x v="2"/>
    <x v="2"/>
    <x v="13"/>
    <x v="0"/>
    <x v="0"/>
    <n v="1"/>
    <n v="421.26"/>
    <s v="Store D"/>
    <x v="1"/>
    <n v="0.1"/>
    <x v="0"/>
    <n v="379.13400000000001"/>
    <n v="252.75599999999997"/>
    <n v="90.038000000000039"/>
    <n v="0.23748331724403518"/>
    <n v="379.13400000000001"/>
    <s v="Debit Card"/>
    <s v="FREESHIP"/>
    <x v="0"/>
    <n v="0"/>
    <x v="0"/>
    <x v="1413"/>
    <s v="Cust 1287"/>
    <n v="36.340000000000003"/>
    <d v="2025-05-07T00:00:00"/>
    <d v="2025-05-15T00:00:00"/>
    <s v="Eric"/>
    <n v="8"/>
  </r>
  <r>
    <d v="2025-03-22T00:00:00"/>
    <x v="6"/>
    <x v="2"/>
    <x v="8"/>
    <x v="2"/>
    <x v="5"/>
    <n v="4"/>
    <n v="555.02"/>
    <s v="Store B"/>
    <x v="1"/>
    <n v="0.1"/>
    <x v="4"/>
    <n v="1998.0719999999999"/>
    <n v="1332.048"/>
    <n v="620.77399999999989"/>
    <n v="0.31068650178772333"/>
    <n v="1998.0719999999999"/>
    <s v="Cash"/>
    <s v="SAVE10"/>
    <x v="0"/>
    <n v="0"/>
    <x v="0"/>
    <x v="1414"/>
    <s v="Cust 5444"/>
    <n v="45.25"/>
    <d v="2025-03-22T00:00:00"/>
    <d v="2025-03-27T00:00:00"/>
    <s v="Ryan"/>
    <n v="5"/>
  </r>
  <r>
    <d v="2024-06-24T00:00:00"/>
    <x v="3"/>
    <x v="1"/>
    <x v="23"/>
    <x v="1"/>
    <x v="0"/>
    <n v="19"/>
    <n v="254.03"/>
    <s v="Store C"/>
    <x v="0"/>
    <n v="0"/>
    <x v="2"/>
    <n v="4826.57"/>
    <n v="2895.942"/>
    <n v="1919.4179999999997"/>
    <n v="0.39767743967247959"/>
    <n v="4826.57"/>
    <s v="Online"/>
    <s v="SAVE10"/>
    <x v="0"/>
    <n v="1"/>
    <x v="1"/>
    <x v="1415"/>
    <s v="Cust 4018"/>
    <n v="11.21"/>
    <d v="2024-06-24T00:00:00"/>
    <d v="2024-07-02T00:00:00"/>
    <s v="Sophie"/>
    <n v="8"/>
  </r>
  <r>
    <d v="2025-06-29T00:00:00"/>
    <x v="3"/>
    <x v="2"/>
    <x v="16"/>
    <x v="4"/>
    <x v="5"/>
    <n v="9"/>
    <n v="533.92999999999995"/>
    <s v="Store D"/>
    <x v="1"/>
    <n v="0.15"/>
    <x v="2"/>
    <n v="4084.5645"/>
    <n v="2883.2219999999998"/>
    <n v="1166.5825000000002"/>
    <n v="0.28560755987572245"/>
    <n v="4084.5645"/>
    <s v="Gift Card"/>
    <m/>
    <x v="1"/>
    <n v="0"/>
    <x v="0"/>
    <x v="1416"/>
    <s v="Cust 6355"/>
    <n v="34.76"/>
    <d v="2025-06-29T00:00:00"/>
    <d v="2025-07-03T00:00:00"/>
    <s v="Wendy"/>
    <n v="4"/>
  </r>
  <r>
    <d v="2024-04-01T00:00:00"/>
    <x v="7"/>
    <x v="1"/>
    <x v="9"/>
    <x v="4"/>
    <x v="2"/>
    <n v="7"/>
    <n v="241.35"/>
    <s v="Store B"/>
    <x v="0"/>
    <n v="0.1"/>
    <x v="4"/>
    <n v="1520.5050000000001"/>
    <n v="1013.6700000000001"/>
    <n v="464.40500000000003"/>
    <n v="0.30542813078549563"/>
    <n v="1520.5050000000001"/>
    <s v="Credit Card"/>
    <s v="SAVE10"/>
    <x v="0"/>
    <n v="0"/>
    <x v="0"/>
    <x v="1417"/>
    <s v="Cust 6620"/>
    <n v="42.43"/>
    <d v="2024-04-01T00:00:00"/>
    <d v="2024-04-10T00:00:00"/>
    <s v="Wendy"/>
    <n v="9"/>
  </r>
  <r>
    <d v="2024-06-04T00:00:00"/>
    <x v="3"/>
    <x v="1"/>
    <x v="23"/>
    <x v="2"/>
    <x v="5"/>
    <n v="11"/>
    <n v="160.37"/>
    <s v="Store B"/>
    <x v="0"/>
    <n v="0.05"/>
    <x v="3"/>
    <n v="1675.8665000000001"/>
    <n v="1058.442"/>
    <n v="581.37450000000013"/>
    <n v="0.34690979263563065"/>
    <n v="1675.8665000000001"/>
    <s v="Cash"/>
    <m/>
    <x v="1"/>
    <n v="0"/>
    <x v="0"/>
    <x v="1418"/>
    <s v="Cust 4092"/>
    <n v="36.049999999999997"/>
    <d v="2024-06-04T00:00:00"/>
    <d v="2024-06-14T00:00:00"/>
    <s v="Ryan"/>
    <n v="10"/>
  </r>
  <r>
    <d v="2023-03-30T00:00:00"/>
    <x v="6"/>
    <x v="0"/>
    <x v="17"/>
    <x v="0"/>
    <x v="5"/>
    <n v="1"/>
    <n v="419.1"/>
    <s v="Store B"/>
    <x v="0"/>
    <n v="0.1"/>
    <x v="3"/>
    <n v="377.19000000000005"/>
    <n v="251.46"/>
    <n v="86.920000000000044"/>
    <n v="0.23044089185821479"/>
    <n v="377.19000000000011"/>
    <s v="Gift Card"/>
    <s v="SAVE10"/>
    <x v="0"/>
    <n v="1"/>
    <x v="1"/>
    <x v="1419"/>
    <s v="Cust 4812"/>
    <n v="38.81"/>
    <d v="2023-03-30T00:00:00"/>
    <d v="2023-04-06T00:00:00"/>
    <s v="Eric"/>
    <n v="7"/>
  </r>
  <r>
    <d v="2025-03-26T00:00:00"/>
    <x v="6"/>
    <x v="2"/>
    <x v="8"/>
    <x v="0"/>
    <x v="0"/>
    <n v="13"/>
    <n v="138.72"/>
    <s v="Store D"/>
    <x v="0"/>
    <n v="0.15"/>
    <x v="3"/>
    <n v="1532.8559999999998"/>
    <n v="1082.0160000000001"/>
    <n v="432.9499999999997"/>
    <n v="0.2824466225137911"/>
    <n v="1532.856"/>
    <s v="Cash"/>
    <s v="WINTER15"/>
    <x v="0"/>
    <n v="1"/>
    <x v="1"/>
    <x v="1420"/>
    <s v="Cust 8389"/>
    <n v="17.89"/>
    <d v="2025-03-26T00:00:00"/>
    <d v="2025-03-28T00:00:00"/>
    <s v="Eric"/>
    <n v="2"/>
  </r>
  <r>
    <d v="2023-08-22T00:00:00"/>
    <x v="10"/>
    <x v="0"/>
    <x v="18"/>
    <x v="4"/>
    <x v="4"/>
    <n v="8"/>
    <n v="461.04"/>
    <s v="Store B"/>
    <x v="1"/>
    <n v="0"/>
    <x v="1"/>
    <n v="3688.32"/>
    <n v="2212.9920000000002"/>
    <n v="1461.7080000000001"/>
    <n v="0.39630726184279019"/>
    <n v="3688.32"/>
    <s v="Online"/>
    <s v="FREESHIP"/>
    <x v="0"/>
    <n v="0"/>
    <x v="0"/>
    <x v="1421"/>
    <s v="Cust 4529"/>
    <n v="13.62"/>
    <d v="2023-08-22T00:00:00"/>
    <d v="2023-08-24T00:00:00"/>
    <s v="Wendy"/>
    <n v="2"/>
  </r>
  <r>
    <d v="2024-04-16T00:00:00"/>
    <x v="7"/>
    <x v="1"/>
    <x v="9"/>
    <x v="1"/>
    <x v="1"/>
    <n v="6"/>
    <n v="524.19000000000005"/>
    <s v="Store D"/>
    <x v="1"/>
    <n v="0.15"/>
    <x v="2"/>
    <n v="2673.3690000000001"/>
    <n v="1887.0840000000001"/>
    <n v="755.24500000000012"/>
    <n v="0.2825068293976627"/>
    <n v="2673.3690000000001"/>
    <s v="Cash"/>
    <s v="WINTER15"/>
    <x v="0"/>
    <n v="0"/>
    <x v="0"/>
    <x v="1422"/>
    <s v="Cust 2365"/>
    <n v="31.04"/>
    <d v="2024-04-16T00:00:00"/>
    <d v="2024-04-20T00:00:00"/>
    <s v="Sophie"/>
    <n v="4"/>
  </r>
  <r>
    <d v="2025-05-11T00:00:00"/>
    <x v="2"/>
    <x v="2"/>
    <x v="13"/>
    <x v="3"/>
    <x v="3"/>
    <n v="16"/>
    <n v="305.20999999999998"/>
    <s v="Store A"/>
    <x v="0"/>
    <n v="0.1"/>
    <x v="1"/>
    <n v="4395.0239999999994"/>
    <n v="2930.0159999999996"/>
    <n v="1431.6379999999999"/>
    <n v="0.32574065579619138"/>
    <n v="4395.0239999999994"/>
    <s v="Debit Card"/>
    <s v="SAVE10"/>
    <x v="0"/>
    <n v="0"/>
    <x v="0"/>
    <x v="1423"/>
    <s v="Cust 6361"/>
    <n v="33.369999999999997"/>
    <d v="2025-05-11T00:00:00"/>
    <d v="2025-05-19T00:00:00"/>
    <s v="Cameron"/>
    <n v="8"/>
  </r>
  <r>
    <d v="2023-12-11T00:00:00"/>
    <x v="1"/>
    <x v="0"/>
    <x v="27"/>
    <x v="2"/>
    <x v="6"/>
    <n v="16"/>
    <n v="438.71"/>
    <s v="Store C"/>
    <x v="1"/>
    <n v="0"/>
    <x v="1"/>
    <n v="7019.36"/>
    <n v="4211.616"/>
    <n v="2801.2139999999995"/>
    <n v="0.39906971575756189"/>
    <n v="7019.36"/>
    <s v="Online"/>
    <m/>
    <x v="1"/>
    <n v="0"/>
    <x v="0"/>
    <x v="1424"/>
    <s v="Cust 4228"/>
    <n v="6.53"/>
    <d v="2023-12-11T00:00:00"/>
    <d v="2023-12-21T00:00:00"/>
    <s v="Ryan"/>
    <n v="10"/>
  </r>
  <r>
    <d v="2023-01-16T00:00:00"/>
    <x v="4"/>
    <x v="0"/>
    <x v="6"/>
    <x v="2"/>
    <x v="6"/>
    <n v="10"/>
    <n v="193.96"/>
    <s v="Store D"/>
    <x v="0"/>
    <n v="0.1"/>
    <x v="1"/>
    <n v="1745.64"/>
    <n v="1163.76"/>
    <n v="540.58000000000015"/>
    <n v="0.30967438876286069"/>
    <n v="1745.64"/>
    <s v="Gift Card"/>
    <m/>
    <x v="1"/>
    <n v="0"/>
    <x v="0"/>
    <x v="1425"/>
    <s v="Cust 3940"/>
    <n v="41.3"/>
    <d v="2023-01-16T00:00:00"/>
    <d v="2023-01-21T00:00:00"/>
    <s v="Ryan"/>
    <n v="5"/>
  </r>
  <r>
    <d v="2023-05-10T00:00:00"/>
    <x v="2"/>
    <x v="0"/>
    <x v="2"/>
    <x v="0"/>
    <x v="1"/>
    <n v="18"/>
    <n v="580.41999999999996"/>
    <s v="Store A"/>
    <x v="0"/>
    <n v="0.05"/>
    <x v="5"/>
    <n v="9925.1819999999989"/>
    <n v="6268.5359999999991"/>
    <n v="3618.8359999999998"/>
    <n v="0.36461155070002749"/>
    <n v="9925.1819999999989"/>
    <s v="Online"/>
    <s v="SAVE10"/>
    <x v="0"/>
    <n v="0"/>
    <x v="0"/>
    <x v="1426"/>
    <s v="Cust 4392"/>
    <n v="37.81"/>
    <d v="2023-05-10T00:00:00"/>
    <d v="2023-05-17T00:00:00"/>
    <s v="Eric"/>
    <n v="7"/>
  </r>
  <r>
    <d v="2024-06-22T00:00:00"/>
    <x v="3"/>
    <x v="1"/>
    <x v="23"/>
    <x v="3"/>
    <x v="4"/>
    <n v="18"/>
    <n v="91.55"/>
    <s v="Store C"/>
    <x v="1"/>
    <n v="0.1"/>
    <x v="1"/>
    <n v="1483.11"/>
    <n v="988.74"/>
    <n v="461.82999999999987"/>
    <n v="0.31139295129828531"/>
    <n v="1483.11"/>
    <s v="Debit Card"/>
    <s v="FREESHIP"/>
    <x v="0"/>
    <n v="0"/>
    <x v="0"/>
    <x v="1427"/>
    <s v="Cust 4404"/>
    <n v="32.54"/>
    <d v="2024-06-22T00:00:00"/>
    <d v="2024-06-29T00:00:00"/>
    <s v="Cameron"/>
    <n v="7"/>
  </r>
  <r>
    <d v="2025-03-29T00:00:00"/>
    <x v="6"/>
    <x v="2"/>
    <x v="8"/>
    <x v="4"/>
    <x v="5"/>
    <n v="13"/>
    <n v="113.78"/>
    <s v="Store C"/>
    <x v="0"/>
    <n v="0.1"/>
    <x v="0"/>
    <n v="1331.2260000000001"/>
    <n v="887.48400000000004"/>
    <n v="415.67200000000008"/>
    <n v="0.31224750718510608"/>
    <n v="1331.2260000000001"/>
    <s v="Online"/>
    <s v="FREESHIP"/>
    <x v="0"/>
    <n v="0"/>
    <x v="0"/>
    <x v="1428"/>
    <s v="Cust 2981"/>
    <n v="28.07"/>
    <d v="2025-03-29T00:00:00"/>
    <d v="2025-04-07T00:00:00"/>
    <s v="Wendy"/>
    <n v="9"/>
  </r>
  <r>
    <d v="2023-04-18T00:00:00"/>
    <x v="7"/>
    <x v="0"/>
    <x v="21"/>
    <x v="2"/>
    <x v="5"/>
    <n v="16"/>
    <n v="477.91"/>
    <s v="Store A"/>
    <x v="0"/>
    <n v="0"/>
    <x v="3"/>
    <n v="7646.56"/>
    <n v="4587.9359999999997"/>
    <n v="3036.7340000000008"/>
    <n v="0.39713727480069477"/>
    <n v="7646.56"/>
    <s v="Credit Card"/>
    <s v="WINTER15"/>
    <x v="0"/>
    <n v="0"/>
    <x v="0"/>
    <x v="1429"/>
    <s v="Cust 3571"/>
    <n v="21.89"/>
    <d v="2023-04-18T00:00:00"/>
    <d v="2023-04-23T00:00:00"/>
    <s v="Ryan"/>
    <n v="5"/>
  </r>
  <r>
    <d v="2023-02-07T00:00:00"/>
    <x v="0"/>
    <x v="0"/>
    <x v="0"/>
    <x v="3"/>
    <x v="0"/>
    <n v="14"/>
    <n v="306.39"/>
    <s v="Store A"/>
    <x v="1"/>
    <n v="0.1"/>
    <x v="0"/>
    <n v="3860.5140000000001"/>
    <n v="2573.6759999999995"/>
    <n v="1248.1080000000006"/>
    <n v="0.32330099048986755"/>
    <n v="3860.5140000000001"/>
    <s v="Cash"/>
    <s v="WINTER15"/>
    <x v="0"/>
    <n v="0"/>
    <x v="0"/>
    <x v="1430"/>
    <s v="Cust 2592"/>
    <n v="38.729999999999997"/>
    <d v="2023-02-07T00:00:00"/>
    <d v="2023-02-09T00:00:00"/>
    <s v="Cameron"/>
    <n v="2"/>
  </r>
  <r>
    <d v="2025-01-22T00:00:00"/>
    <x v="4"/>
    <x v="2"/>
    <x v="12"/>
    <x v="0"/>
    <x v="5"/>
    <n v="17"/>
    <n v="8.33"/>
    <s v="Store A"/>
    <x v="1"/>
    <n v="0.05"/>
    <x v="0"/>
    <n v="134.52950000000001"/>
    <n v="84.966000000000008"/>
    <n v="6.2735000000000056"/>
    <n v="4.6632894643925719E-2"/>
    <n v="134.52950000000001"/>
    <s v="Cash"/>
    <m/>
    <x v="1"/>
    <n v="0"/>
    <x v="0"/>
    <x v="1431"/>
    <s v="Cust 6209"/>
    <n v="43.29"/>
    <d v="2025-01-22T00:00:00"/>
    <d v="2025-01-25T00:00:00"/>
    <s v="Eric"/>
    <n v="3"/>
  </r>
  <r>
    <d v="2023-07-04T00:00:00"/>
    <x v="8"/>
    <x v="0"/>
    <x v="11"/>
    <x v="0"/>
    <x v="1"/>
    <n v="6"/>
    <n v="346.86"/>
    <s v="Store C"/>
    <x v="1"/>
    <n v="0.05"/>
    <x v="0"/>
    <n v="1977.1019999999999"/>
    <n v="1248.6960000000001"/>
    <n v="699.22599999999977"/>
    <n v="0.35366207712095776"/>
    <n v="1977.1020000000001"/>
    <s v="Gift Card"/>
    <s v="FREESHIP"/>
    <x v="0"/>
    <n v="0"/>
    <x v="0"/>
    <x v="1432"/>
    <s v="Cust 6600"/>
    <n v="29.18"/>
    <d v="2023-07-04T00:00:00"/>
    <d v="2023-07-12T00:00:00"/>
    <s v="Eric"/>
    <n v="8"/>
  </r>
  <r>
    <d v="2023-07-31T00:00:00"/>
    <x v="8"/>
    <x v="0"/>
    <x v="11"/>
    <x v="3"/>
    <x v="2"/>
    <n v="14"/>
    <n v="223.26"/>
    <s v="Store B"/>
    <x v="0"/>
    <n v="0.1"/>
    <x v="1"/>
    <n v="2813.076"/>
    <n v="1875.3839999999998"/>
    <n v="924.81200000000024"/>
    <n v="0.32875471547871449"/>
    <n v="2813.076"/>
    <s v="Credit Card"/>
    <s v="WINTER15"/>
    <x v="0"/>
    <n v="0"/>
    <x v="0"/>
    <x v="1433"/>
    <s v="Cust 6899"/>
    <n v="12.88"/>
    <d v="2023-07-31T00:00:00"/>
    <d v="2023-08-03T00:00:00"/>
    <s v="Cameron"/>
    <n v="3"/>
  </r>
  <r>
    <d v="2023-04-20T00:00:00"/>
    <x v="7"/>
    <x v="0"/>
    <x v="21"/>
    <x v="2"/>
    <x v="2"/>
    <n v="6"/>
    <n v="529.1"/>
    <s v="Store D"/>
    <x v="0"/>
    <n v="0"/>
    <x v="0"/>
    <n v="3174.6000000000004"/>
    <n v="1904.7599999999998"/>
    <n v="1264.7100000000005"/>
    <n v="0.39838404838404851"/>
    <n v="3174.6"/>
    <s v="Debit Card"/>
    <s v="WINTER15"/>
    <x v="0"/>
    <n v="0"/>
    <x v="0"/>
    <x v="1434"/>
    <s v="Cust 1563"/>
    <n v="5.13"/>
    <d v="2023-04-20T00:00:00"/>
    <d v="2023-04-27T00:00:00"/>
    <s v="Ryan"/>
    <n v="7"/>
  </r>
  <r>
    <d v="2024-10-08T00:00:00"/>
    <x v="5"/>
    <x v="1"/>
    <x v="7"/>
    <x v="3"/>
    <x v="5"/>
    <n v="11"/>
    <n v="97.34"/>
    <s v="Store D"/>
    <x v="0"/>
    <n v="0.1"/>
    <x v="3"/>
    <n v="963.66600000000005"/>
    <n v="642.44399999999996"/>
    <n v="310.61200000000008"/>
    <n v="0.32232329458546849"/>
    <n v="963.66600000000005"/>
    <s v="Debit Card"/>
    <s v="SAVE10"/>
    <x v="0"/>
    <n v="0"/>
    <x v="0"/>
    <x v="1435"/>
    <s v="Cust 6733"/>
    <n v="10.61"/>
    <d v="2024-10-08T00:00:00"/>
    <d v="2024-10-11T00:00:00"/>
    <s v="Cameron"/>
    <n v="3"/>
  </r>
  <r>
    <d v="2024-01-25T00:00:00"/>
    <x v="4"/>
    <x v="1"/>
    <x v="24"/>
    <x v="0"/>
    <x v="3"/>
    <n v="11"/>
    <n v="422.89"/>
    <s v="Store B"/>
    <x v="1"/>
    <n v="0.1"/>
    <x v="2"/>
    <n v="4186.6109999999999"/>
    <n v="2791.0739999999996"/>
    <n v="1349.6470000000002"/>
    <n v="0.32237220033100761"/>
    <n v="4186.6109999999999"/>
    <s v="Credit Card"/>
    <s v="SAVE10"/>
    <x v="0"/>
    <n v="0"/>
    <x v="0"/>
    <x v="1436"/>
    <s v="Cust 7635"/>
    <n v="45.89"/>
    <d v="2024-01-25T00:00:00"/>
    <d v="2024-01-27T00:00:00"/>
    <s v="Eric"/>
    <n v="2"/>
  </r>
  <r>
    <d v="2024-12-16T00:00:00"/>
    <x v="1"/>
    <x v="1"/>
    <x v="1"/>
    <x v="1"/>
    <x v="4"/>
    <n v="4"/>
    <n v="557.16999999999996"/>
    <s v="Store C"/>
    <x v="0"/>
    <n v="0.05"/>
    <x v="2"/>
    <n v="2117.2459999999996"/>
    <n v="1337.2079999999999"/>
    <n v="747.87799999999982"/>
    <n v="0.35323150923416546"/>
    <n v="2117.2460000000001"/>
    <s v="Credit Card"/>
    <m/>
    <x v="1"/>
    <n v="0"/>
    <x v="0"/>
    <x v="1437"/>
    <s v="Cust 4354"/>
    <n v="32.159999999999997"/>
    <d v="2024-12-16T00:00:00"/>
    <d v="2024-12-25T00:00:00"/>
    <s v="Sophie"/>
    <n v="9"/>
  </r>
  <r>
    <d v="2024-10-24T00:00:00"/>
    <x v="5"/>
    <x v="1"/>
    <x v="7"/>
    <x v="3"/>
    <x v="6"/>
    <n v="9"/>
    <n v="459.65"/>
    <s v="Store B"/>
    <x v="1"/>
    <n v="0.1"/>
    <x v="5"/>
    <n v="3723.1649999999995"/>
    <n v="2482.1099999999997"/>
    <n v="1218.8149999999998"/>
    <n v="0.32735992092749044"/>
    <n v="3723.165"/>
    <s v="Gift Card"/>
    <s v="WINTER15"/>
    <x v="0"/>
    <n v="1"/>
    <x v="1"/>
    <x v="1438"/>
    <s v="Cust 1462"/>
    <n v="22.24"/>
    <d v="2024-10-24T00:00:00"/>
    <d v="2024-11-01T00:00:00"/>
    <s v="Cameron"/>
    <n v="8"/>
  </r>
  <r>
    <d v="2023-11-16T00:00:00"/>
    <x v="9"/>
    <x v="0"/>
    <x v="15"/>
    <x v="4"/>
    <x v="4"/>
    <n v="8"/>
    <n v="493.35"/>
    <s v="Store A"/>
    <x v="1"/>
    <n v="0.1"/>
    <x v="1"/>
    <n v="3552.1200000000003"/>
    <n v="2368.08"/>
    <n v="1171.1800000000005"/>
    <n v="0.32971296014774287"/>
    <n v="3552.12"/>
    <s v="Cash"/>
    <s v="FREESHIP"/>
    <x v="0"/>
    <n v="1"/>
    <x v="1"/>
    <x v="1439"/>
    <s v="Cust 1376"/>
    <n v="12.86"/>
    <d v="2023-11-16T00:00:00"/>
    <d v="2023-11-20T00:00:00"/>
    <s v="Wendy"/>
    <n v="4"/>
  </r>
  <r>
    <d v="2024-03-31T00:00:00"/>
    <x v="6"/>
    <x v="1"/>
    <x v="25"/>
    <x v="1"/>
    <x v="0"/>
    <n v="13"/>
    <n v="428.59"/>
    <s v="Store D"/>
    <x v="1"/>
    <n v="0"/>
    <x v="5"/>
    <n v="5571.67"/>
    <n v="3343.002"/>
    <n v="2204.7780000000002"/>
    <n v="0.39571223708511094"/>
    <n v="5571.67"/>
    <s v="Cash"/>
    <s v="FREESHIP"/>
    <x v="0"/>
    <n v="0"/>
    <x v="0"/>
    <x v="1440"/>
    <s v="Cust 6542"/>
    <n v="23.89"/>
    <d v="2024-03-31T00:00:00"/>
    <d v="2024-04-08T00:00:00"/>
    <s v="Sophie"/>
    <n v="8"/>
  </r>
  <r>
    <d v="2023-02-13T00:00:00"/>
    <x v="0"/>
    <x v="0"/>
    <x v="0"/>
    <x v="0"/>
    <x v="0"/>
    <n v="7"/>
    <n v="242.11"/>
    <s v="Store C"/>
    <x v="0"/>
    <n v="0.05"/>
    <x v="0"/>
    <n v="1610.0314999999998"/>
    <n v="1016.862"/>
    <n v="545.97949999999992"/>
    <n v="0.33911106708160677"/>
    <n v="1610.0315000000001"/>
    <s v="Debit Card"/>
    <s v="WINTER15"/>
    <x v="0"/>
    <n v="0"/>
    <x v="0"/>
    <x v="1441"/>
    <s v="Cust 1186"/>
    <n v="47.19"/>
    <d v="2023-02-13T00:00:00"/>
    <d v="2023-02-18T00:00:00"/>
    <s v="Eric"/>
    <n v="5"/>
  </r>
  <r>
    <d v="2023-09-20T00:00:00"/>
    <x v="11"/>
    <x v="0"/>
    <x v="22"/>
    <x v="1"/>
    <x v="5"/>
    <n v="17"/>
    <n v="477.38"/>
    <s v="Store C"/>
    <x v="1"/>
    <n v="0.05"/>
    <x v="1"/>
    <n v="7709.6869999999999"/>
    <n v="4869.2759999999998"/>
    <n v="2805.1309999999999"/>
    <n v="0.36384499137254211"/>
    <n v="7709.6869999999999"/>
    <s v="Gift Card"/>
    <s v="FREESHIP"/>
    <x v="0"/>
    <n v="0"/>
    <x v="0"/>
    <x v="1442"/>
    <s v="Cust 4386"/>
    <n v="35.28"/>
    <d v="2023-09-20T00:00:00"/>
    <d v="2023-09-27T00:00:00"/>
    <s v="Sophie"/>
    <n v="7"/>
  </r>
  <r>
    <d v="2023-06-27T00:00:00"/>
    <x v="3"/>
    <x v="0"/>
    <x v="4"/>
    <x v="1"/>
    <x v="3"/>
    <n v="3"/>
    <n v="261.60000000000002"/>
    <s v="Store D"/>
    <x v="1"/>
    <n v="0.05"/>
    <x v="4"/>
    <n v="745.56000000000006"/>
    <n v="470.88"/>
    <n v="232.57000000000005"/>
    <n v="0.311940018241322"/>
    <n v="745.56000000000006"/>
    <s v="Cash"/>
    <s v="WINTER15"/>
    <x v="0"/>
    <n v="0"/>
    <x v="0"/>
    <x v="1443"/>
    <s v="Cust 6708"/>
    <n v="42.11"/>
    <d v="2023-06-27T00:00:00"/>
    <d v="2023-07-07T00:00:00"/>
    <s v="Sophie"/>
    <n v="10"/>
  </r>
  <r>
    <d v="2025-04-02T00:00:00"/>
    <x v="7"/>
    <x v="2"/>
    <x v="28"/>
    <x v="3"/>
    <x v="0"/>
    <n v="6"/>
    <n v="416.2"/>
    <s v="Store A"/>
    <x v="0"/>
    <n v="0.05"/>
    <x v="1"/>
    <n v="2372.3399999999997"/>
    <n v="1498.3199999999997"/>
    <n v="829.88"/>
    <n v="0.34981495063945306"/>
    <n v="2372.34"/>
    <s v="Cash"/>
    <s v="WINTER15"/>
    <x v="0"/>
    <n v="1"/>
    <x v="1"/>
    <x v="1444"/>
    <s v="Cust 6354"/>
    <n v="44.14"/>
    <d v="2025-04-02T00:00:00"/>
    <d v="2025-04-06T00:00:00"/>
    <s v="Cameron"/>
    <n v="4"/>
  </r>
  <r>
    <d v="2025-04-16T00:00:00"/>
    <x v="7"/>
    <x v="2"/>
    <x v="28"/>
    <x v="2"/>
    <x v="6"/>
    <n v="15"/>
    <n v="99.66"/>
    <s v="Store A"/>
    <x v="0"/>
    <n v="0"/>
    <x v="0"/>
    <n v="1494.8999999999999"/>
    <n v="896.93999999999983"/>
    <n v="570.41000000000008"/>
    <n v="0.38157067362365382"/>
    <n v="1494.9"/>
    <s v="Cash"/>
    <s v="FREESHIP"/>
    <x v="0"/>
    <n v="0"/>
    <x v="0"/>
    <x v="1445"/>
    <s v="Cust 3477"/>
    <n v="27.55"/>
    <d v="2025-04-16T00:00:00"/>
    <d v="2025-04-26T00:00:00"/>
    <s v="Ryan"/>
    <n v="10"/>
  </r>
  <r>
    <d v="2024-07-09T00:00:00"/>
    <x v="8"/>
    <x v="1"/>
    <x v="10"/>
    <x v="3"/>
    <x v="0"/>
    <n v="16"/>
    <n v="55.56"/>
    <s v="Store D"/>
    <x v="0"/>
    <n v="0.15"/>
    <x v="2"/>
    <n v="755.61599999999999"/>
    <n v="533.37599999999998"/>
    <n v="204.43"/>
    <n v="0.2705474738491509"/>
    <n v="755.61599999999999"/>
    <s v="Cash"/>
    <m/>
    <x v="1"/>
    <n v="1"/>
    <x v="1"/>
    <x v="1446"/>
    <s v="Cust 6646"/>
    <n v="17.809999999999999"/>
    <d v="2024-07-09T00:00:00"/>
    <d v="2024-07-17T00:00:00"/>
    <s v="Cameron"/>
    <n v="8"/>
  </r>
  <r>
    <d v="2025-06-23T00:00:00"/>
    <x v="3"/>
    <x v="2"/>
    <x v="16"/>
    <x v="0"/>
    <x v="1"/>
    <n v="20"/>
    <n v="243.47"/>
    <s v="Store A"/>
    <x v="0"/>
    <n v="0.05"/>
    <x v="1"/>
    <n v="4625.9299999999994"/>
    <n v="2921.64"/>
    <n v="1672.0099999999995"/>
    <n v="0.36144299632722499"/>
    <n v="4625.9299999999994"/>
    <s v="Gift Card"/>
    <s v="FREESHIP"/>
    <x v="0"/>
    <n v="1"/>
    <x v="1"/>
    <x v="1447"/>
    <s v="Cust 4250"/>
    <n v="32.28"/>
    <d v="2025-06-23T00:00:00"/>
    <d v="2025-07-03T00:00:00"/>
    <s v="Eric"/>
    <n v="10"/>
  </r>
  <r>
    <d v="2024-06-09T00:00:00"/>
    <x v="3"/>
    <x v="1"/>
    <x v="23"/>
    <x v="0"/>
    <x v="5"/>
    <n v="11"/>
    <n v="185.59"/>
    <s v="Store B"/>
    <x v="1"/>
    <n v="0.1"/>
    <x v="3"/>
    <n v="1837.3410000000001"/>
    <n v="1224.894"/>
    <n v="567.25700000000006"/>
    <n v="0.30873800780584554"/>
    <n v="1837.3409999999999"/>
    <s v="Gift Card"/>
    <m/>
    <x v="1"/>
    <n v="0"/>
    <x v="0"/>
    <x v="1448"/>
    <s v="Cust 5351"/>
    <n v="45.19"/>
    <d v="2024-06-09T00:00:00"/>
    <d v="2024-06-18T00:00:00"/>
    <s v="Eric"/>
    <n v="9"/>
  </r>
  <r>
    <d v="2023-12-01T00:00:00"/>
    <x v="1"/>
    <x v="0"/>
    <x v="27"/>
    <x v="3"/>
    <x v="2"/>
    <n v="11"/>
    <n v="347.38"/>
    <s v="Store C"/>
    <x v="0"/>
    <n v="0.05"/>
    <x v="0"/>
    <n v="3630.1209999999996"/>
    <n v="2292.7080000000001"/>
    <n v="1312.6129999999996"/>
    <n v="0.36158932443298714"/>
    <n v="3630.1210000000001"/>
    <s v="Credit Card"/>
    <s v="FREESHIP"/>
    <x v="0"/>
    <n v="0"/>
    <x v="0"/>
    <x v="1449"/>
    <s v="Cust 6284"/>
    <n v="24.8"/>
    <d v="2023-12-01T00:00:00"/>
    <d v="2023-12-03T00:00:00"/>
    <s v="Cameron"/>
    <n v="2"/>
  </r>
  <r>
    <d v="2024-07-24T00:00:00"/>
    <x v="8"/>
    <x v="1"/>
    <x v="10"/>
    <x v="4"/>
    <x v="5"/>
    <n v="15"/>
    <n v="318.02999999999997"/>
    <s v="Store D"/>
    <x v="1"/>
    <n v="0.05"/>
    <x v="4"/>
    <n v="4531.9274999999998"/>
    <n v="2862.2699999999995"/>
    <n v="1645.2775000000001"/>
    <n v="0.36304144318284004"/>
    <n v="4531.9274999999998"/>
    <s v="Gift Card"/>
    <s v="WINTER15"/>
    <x v="0"/>
    <n v="1"/>
    <x v="1"/>
    <x v="1450"/>
    <s v="Cust 9099"/>
    <n v="24.38"/>
    <d v="2024-07-24T00:00:00"/>
    <d v="2024-07-30T00:00:00"/>
    <s v="Wendy"/>
    <n v="6"/>
  </r>
  <r>
    <d v="2023-04-12T00:00:00"/>
    <x v="7"/>
    <x v="0"/>
    <x v="21"/>
    <x v="4"/>
    <x v="3"/>
    <n v="15"/>
    <n v="242.35"/>
    <s v="Store D"/>
    <x v="0"/>
    <n v="0.15"/>
    <x v="4"/>
    <n v="3089.9625000000001"/>
    <n v="2181.15"/>
    <n v="893.89250000000004"/>
    <n v="0.28928910949566539"/>
    <n v="3089.9625000000001"/>
    <s v="Cash"/>
    <s v="WINTER15"/>
    <x v="0"/>
    <n v="1"/>
    <x v="1"/>
    <x v="1451"/>
    <s v="Cust 3944"/>
    <n v="14.92"/>
    <d v="2023-04-12T00:00:00"/>
    <d v="2023-04-19T00:00:00"/>
    <s v="Wendy"/>
    <n v="7"/>
  </r>
  <r>
    <d v="2024-12-17T00:00:00"/>
    <x v="1"/>
    <x v="1"/>
    <x v="1"/>
    <x v="2"/>
    <x v="2"/>
    <n v="3"/>
    <n v="82.09"/>
    <s v="Store B"/>
    <x v="1"/>
    <n v="0.15"/>
    <x v="0"/>
    <n v="209.3295"/>
    <n v="147.762"/>
    <n v="48.937499999999993"/>
    <n v="0.23378214728454419"/>
    <n v="209.3295"/>
    <s v="Gift Card"/>
    <s v="WINTER15"/>
    <x v="0"/>
    <n v="1"/>
    <x v="1"/>
    <x v="1452"/>
    <s v="Cust 6124"/>
    <n v="12.63"/>
    <d v="2024-12-17T00:00:00"/>
    <d v="2024-12-26T00:00:00"/>
    <s v="Ryan"/>
    <n v="9"/>
  </r>
  <r>
    <d v="2024-08-08T00:00:00"/>
    <x v="10"/>
    <x v="1"/>
    <x v="29"/>
    <x v="1"/>
    <x v="4"/>
    <n v="10"/>
    <n v="285.73"/>
    <s v="Store D"/>
    <x v="0"/>
    <n v="0.15"/>
    <x v="0"/>
    <n v="2428.7049999999999"/>
    <n v="1714.38"/>
    <n v="687.64499999999987"/>
    <n v="0.28313236889618126"/>
    <n v="2428.7049999999999"/>
    <s v="Cash"/>
    <s v="WINTER15"/>
    <x v="0"/>
    <n v="1"/>
    <x v="1"/>
    <x v="1453"/>
    <s v="Cust 8533"/>
    <n v="26.68"/>
    <d v="2024-08-08T00:00:00"/>
    <d v="2024-08-14T00:00:00"/>
    <s v="Sophie"/>
    <n v="6"/>
  </r>
  <r>
    <d v="2024-09-15T00:00:00"/>
    <x v="11"/>
    <x v="1"/>
    <x v="26"/>
    <x v="0"/>
    <x v="0"/>
    <n v="17"/>
    <n v="341.52"/>
    <s v="Store C"/>
    <x v="0"/>
    <n v="0.1"/>
    <x v="0"/>
    <n v="5225.2560000000003"/>
    <n v="3483.5039999999995"/>
    <n v="1725.0820000000008"/>
    <n v="0.33014305901950081"/>
    <n v="5225.2560000000003"/>
    <s v="Credit Card"/>
    <s v="FREESHIP"/>
    <x v="0"/>
    <n v="0"/>
    <x v="0"/>
    <x v="1454"/>
    <s v="Cust 1135"/>
    <n v="16.670000000000002"/>
    <d v="2024-09-15T00:00:00"/>
    <d v="2024-09-22T00:00:00"/>
    <s v="Eric"/>
    <n v="7"/>
  </r>
  <r>
    <d v="2023-10-08T00:00:00"/>
    <x v="5"/>
    <x v="0"/>
    <x v="19"/>
    <x v="1"/>
    <x v="5"/>
    <n v="14"/>
    <n v="216.4"/>
    <s v="Store D"/>
    <x v="0"/>
    <n v="0.1"/>
    <x v="4"/>
    <n v="2726.64"/>
    <n v="1817.76"/>
    <n v="868.13999999999987"/>
    <n v="0.31839186691312382"/>
    <n v="2726.64"/>
    <s v="Debit Card"/>
    <s v="WINTER15"/>
    <x v="0"/>
    <n v="0"/>
    <x v="0"/>
    <x v="1455"/>
    <s v="Cust 5638"/>
    <n v="40.74"/>
    <d v="2023-10-08T00:00:00"/>
    <d v="2023-10-10T00:00:00"/>
    <s v="Sophie"/>
    <n v="2"/>
  </r>
  <r>
    <d v="2025-05-23T00:00:00"/>
    <x v="2"/>
    <x v="2"/>
    <x v="13"/>
    <x v="1"/>
    <x v="1"/>
    <n v="16"/>
    <n v="231.76"/>
    <s v="Store B"/>
    <x v="1"/>
    <n v="0.15"/>
    <x v="5"/>
    <n v="3151.9359999999997"/>
    <n v="2224.8959999999997"/>
    <n v="917.62"/>
    <n v="0.29112900769558775"/>
    <n v="3151.9360000000001"/>
    <s v="Online"/>
    <s v="WINTER15"/>
    <x v="0"/>
    <n v="1"/>
    <x v="1"/>
    <x v="1456"/>
    <s v="Cust 1333"/>
    <n v="9.42"/>
    <d v="2025-05-23T00:00:00"/>
    <d v="2025-05-27T00:00:00"/>
    <s v="Sophie"/>
    <n v="4"/>
  </r>
  <r>
    <d v="2023-01-02T00:00:00"/>
    <x v="4"/>
    <x v="0"/>
    <x v="6"/>
    <x v="1"/>
    <x v="0"/>
    <n v="7"/>
    <n v="61.47"/>
    <s v="Store C"/>
    <x v="1"/>
    <n v="0.15"/>
    <x v="0"/>
    <n v="365.74649999999997"/>
    <n v="258.17399999999998"/>
    <n v="93.132499999999993"/>
    <n v="0.25463674977067452"/>
    <n v="365.74650000000003"/>
    <s v="Online"/>
    <s v="FREESHIP"/>
    <x v="0"/>
    <n v="0"/>
    <x v="0"/>
    <x v="1457"/>
    <s v="Cust 2394"/>
    <n v="14.44"/>
    <d v="2023-01-02T00:00:00"/>
    <d v="2023-01-12T00:00:00"/>
    <s v="Sophie"/>
    <n v="10"/>
  </r>
  <r>
    <d v="2023-10-19T00:00:00"/>
    <x v="5"/>
    <x v="0"/>
    <x v="19"/>
    <x v="2"/>
    <x v="2"/>
    <n v="15"/>
    <n v="434.44"/>
    <s v="Store B"/>
    <x v="0"/>
    <n v="0"/>
    <x v="5"/>
    <n v="6516.6"/>
    <n v="3909.96"/>
    <n v="2572.7800000000002"/>
    <n v="0.39480403891599913"/>
    <n v="6516.6"/>
    <s v="Debit Card"/>
    <m/>
    <x v="1"/>
    <n v="1"/>
    <x v="1"/>
    <x v="1458"/>
    <s v="Cust 8495"/>
    <n v="33.86"/>
    <d v="2023-10-19T00:00:00"/>
    <d v="2023-10-28T00:00:00"/>
    <s v="Ryan"/>
    <n v="9"/>
  </r>
  <r>
    <d v="2025-04-25T00:00:00"/>
    <x v="7"/>
    <x v="2"/>
    <x v="28"/>
    <x v="4"/>
    <x v="3"/>
    <n v="16"/>
    <n v="484.01"/>
    <s v="Store A"/>
    <x v="0"/>
    <n v="0"/>
    <x v="1"/>
    <n v="7744.16"/>
    <n v="4646.4960000000001"/>
    <n v="3088.0139999999997"/>
    <n v="0.39875389971281583"/>
    <n v="7744.16"/>
    <s v="Online"/>
    <s v="SAVE10"/>
    <x v="0"/>
    <n v="1"/>
    <x v="1"/>
    <x v="1459"/>
    <s v="Cust 3988"/>
    <n v="9.65"/>
    <d v="2025-04-25T00:00:00"/>
    <d v="2025-05-01T00:00:00"/>
    <s v="Wendy"/>
    <n v="6"/>
  </r>
  <r>
    <d v="2024-03-31T00:00:00"/>
    <x v="6"/>
    <x v="1"/>
    <x v="25"/>
    <x v="3"/>
    <x v="2"/>
    <n v="2"/>
    <n v="55.08"/>
    <s v="Store C"/>
    <x v="0"/>
    <n v="0"/>
    <x v="2"/>
    <n v="110.16"/>
    <n v="66.095999999999989"/>
    <n v="34.214000000000006"/>
    <n v="0.31058460421205525"/>
    <n v="110.16"/>
    <s v="Credit Card"/>
    <s v="FREESHIP"/>
    <x v="0"/>
    <n v="0"/>
    <x v="0"/>
    <x v="1460"/>
    <s v="Cust 4664"/>
    <n v="9.85"/>
    <d v="2024-03-31T00:00:00"/>
    <d v="2024-04-04T00:00:00"/>
    <s v="Cameron"/>
    <n v="4"/>
  </r>
  <r>
    <d v="2025-01-31T00:00:00"/>
    <x v="4"/>
    <x v="2"/>
    <x v="12"/>
    <x v="2"/>
    <x v="6"/>
    <n v="13"/>
    <n v="223.44"/>
    <s v="Store B"/>
    <x v="1"/>
    <n v="0.15"/>
    <x v="3"/>
    <n v="2469.0119999999997"/>
    <n v="1742.8319999999999"/>
    <n v="687.7199999999998"/>
    <n v="0.27854056602398042"/>
    <n v="2469.0120000000002"/>
    <s v="Credit Card"/>
    <m/>
    <x v="1"/>
    <n v="1"/>
    <x v="1"/>
    <x v="1461"/>
    <s v="Cust 5086"/>
    <n v="38.46"/>
    <d v="2025-01-31T00:00:00"/>
    <d v="2025-02-07T00:00:00"/>
    <s v="Ryan"/>
    <n v="7"/>
  </r>
  <r>
    <d v="2025-03-27T00:00:00"/>
    <x v="6"/>
    <x v="2"/>
    <x v="8"/>
    <x v="0"/>
    <x v="1"/>
    <n v="11"/>
    <n v="548.08000000000004"/>
    <s v="Store D"/>
    <x v="0"/>
    <n v="0.05"/>
    <x v="0"/>
    <n v="5727.4359999999997"/>
    <n v="3617.328"/>
    <n v="2084.2879999999996"/>
    <n v="0.36391292718067902"/>
    <n v="5727.4359999999997"/>
    <s v="Cash"/>
    <m/>
    <x v="1"/>
    <n v="0"/>
    <x v="0"/>
    <x v="1462"/>
    <s v="Cust 8858"/>
    <n v="25.82"/>
    <d v="2025-03-27T00:00:00"/>
    <d v="2025-04-06T00:00:00"/>
    <s v="Eric"/>
    <n v="10"/>
  </r>
  <r>
    <d v="2025-01-19T00:00:00"/>
    <x v="4"/>
    <x v="2"/>
    <x v="12"/>
    <x v="3"/>
    <x v="2"/>
    <n v="11"/>
    <n v="133.63999999999999"/>
    <s v="Store D"/>
    <x v="0"/>
    <n v="0"/>
    <x v="4"/>
    <n v="1470.04"/>
    <n v="882.02399999999977"/>
    <n v="557.83600000000024"/>
    <n v="0.37946994639601661"/>
    <n v="1470.04"/>
    <s v="Debit Card"/>
    <m/>
    <x v="1"/>
    <n v="1"/>
    <x v="1"/>
    <x v="1463"/>
    <s v="Cust 8796"/>
    <n v="30.18"/>
    <d v="2025-01-19T00:00:00"/>
    <d v="2025-01-24T00:00:00"/>
    <s v="Cameron"/>
    <n v="5"/>
  </r>
  <r>
    <d v="2024-05-16T00:00:00"/>
    <x v="2"/>
    <x v="1"/>
    <x v="14"/>
    <x v="2"/>
    <x v="3"/>
    <n v="19"/>
    <n v="368.85"/>
    <s v="Store C"/>
    <x v="1"/>
    <n v="0.1"/>
    <x v="5"/>
    <n v="6307.3350000000009"/>
    <n v="4204.8900000000003"/>
    <n v="2067.0750000000007"/>
    <n v="0.3277255766500432"/>
    <n v="6307.3350000000009"/>
    <s v="Gift Card"/>
    <s v="FREESHIP"/>
    <x v="0"/>
    <n v="0"/>
    <x v="0"/>
    <x v="1464"/>
    <s v="Cust 2496"/>
    <n v="35.369999999999997"/>
    <d v="2024-05-16T00:00:00"/>
    <d v="2024-05-21T00:00:00"/>
    <s v="Ryan"/>
    <n v="5"/>
  </r>
  <r>
    <d v="2023-09-04T00:00:00"/>
    <x v="11"/>
    <x v="0"/>
    <x v="22"/>
    <x v="3"/>
    <x v="3"/>
    <n v="14"/>
    <n v="115.98"/>
    <s v="Store A"/>
    <x v="0"/>
    <n v="0"/>
    <x v="5"/>
    <n v="1623.72"/>
    <n v="974.23199999999997"/>
    <n v="617.63800000000003"/>
    <n v="0.38038454906018282"/>
    <n v="1623.72"/>
    <s v="Debit Card"/>
    <m/>
    <x v="1"/>
    <n v="0"/>
    <x v="0"/>
    <x v="1465"/>
    <s v="Cust 5465"/>
    <n v="31.85"/>
    <d v="2023-09-04T00:00:00"/>
    <d v="2023-09-06T00:00:00"/>
    <s v="Cameron"/>
    <n v="2"/>
  </r>
  <r>
    <d v="2023-12-17T00:00:00"/>
    <x v="1"/>
    <x v="0"/>
    <x v="27"/>
    <x v="1"/>
    <x v="4"/>
    <n v="9"/>
    <n v="55.04"/>
    <s v="Store B"/>
    <x v="1"/>
    <n v="0.15"/>
    <x v="1"/>
    <n v="421.05599999999998"/>
    <n v="297.21600000000001"/>
    <n v="92.749999999999972"/>
    <n v="0.22027948776409784"/>
    <n v="421.05599999999998"/>
    <s v="Online"/>
    <m/>
    <x v="1"/>
    <n v="0"/>
    <x v="0"/>
    <x v="1466"/>
    <s v="Cust 2311"/>
    <n v="31.09"/>
    <d v="2023-12-17T00:00:00"/>
    <d v="2023-12-23T00:00:00"/>
    <s v="Sophie"/>
    <n v="6"/>
  </r>
  <r>
    <d v="2024-01-15T00:00:00"/>
    <x v="4"/>
    <x v="1"/>
    <x v="24"/>
    <x v="3"/>
    <x v="4"/>
    <n v="4"/>
    <n v="159.54"/>
    <s v="Store A"/>
    <x v="0"/>
    <n v="0.05"/>
    <x v="1"/>
    <n v="606.25199999999995"/>
    <n v="382.89599999999996"/>
    <n v="190.99599999999998"/>
    <n v="0.31504390913349561"/>
    <n v="606.25199999999995"/>
    <s v="Credit Card"/>
    <s v="FREESHIP"/>
    <x v="0"/>
    <n v="0"/>
    <x v="0"/>
    <x v="1467"/>
    <s v="Cust 4575"/>
    <n v="32.36"/>
    <d v="2024-01-15T00:00:00"/>
    <d v="2024-01-21T00:00:00"/>
    <s v="Cameron"/>
    <n v="6"/>
  </r>
  <r>
    <d v="2024-12-19T00:00:00"/>
    <x v="1"/>
    <x v="1"/>
    <x v="1"/>
    <x v="3"/>
    <x v="0"/>
    <n v="15"/>
    <n v="150.15"/>
    <s v="Store C"/>
    <x v="1"/>
    <n v="0"/>
    <x v="2"/>
    <n v="2252.25"/>
    <n v="1351.3500000000001"/>
    <n v="864.95999999999981"/>
    <n v="0.38404262404262396"/>
    <n v="2252.25"/>
    <s v="Online"/>
    <s v="WINTER15"/>
    <x v="0"/>
    <n v="0"/>
    <x v="0"/>
    <x v="1468"/>
    <s v="Cust 8054"/>
    <n v="35.94"/>
    <d v="2024-12-19T00:00:00"/>
    <d v="2024-12-29T00:00:00"/>
    <s v="Cameron"/>
    <n v="10"/>
  </r>
  <r>
    <d v="2023-12-16T00:00:00"/>
    <x v="1"/>
    <x v="0"/>
    <x v="27"/>
    <x v="2"/>
    <x v="3"/>
    <n v="9"/>
    <n v="57.93"/>
    <s v="Store C"/>
    <x v="0"/>
    <n v="0"/>
    <x v="5"/>
    <n v="521.37"/>
    <n v="312.82199999999995"/>
    <n v="179.81800000000007"/>
    <n v="0.34489518000652142"/>
    <n v="521.37"/>
    <s v="Gift Card"/>
    <s v="FREESHIP"/>
    <x v="0"/>
    <n v="1"/>
    <x v="1"/>
    <x v="1469"/>
    <s v="Cust 2553"/>
    <n v="28.73"/>
    <d v="2023-12-16T00:00:00"/>
    <d v="2023-12-18T00:00:00"/>
    <s v="Ryan"/>
    <n v="2"/>
  </r>
  <r>
    <d v="2025-05-14T00:00:00"/>
    <x v="2"/>
    <x v="2"/>
    <x v="13"/>
    <x v="3"/>
    <x v="0"/>
    <n v="4"/>
    <n v="438.58"/>
    <s v="Store D"/>
    <x v="1"/>
    <n v="0.05"/>
    <x v="1"/>
    <n v="1666.6039999999998"/>
    <n v="1052.5919999999999"/>
    <n v="608.91199999999992"/>
    <n v="0.36536093757125265"/>
    <n v="1666.604"/>
    <s v="Online"/>
    <s v="WINTER15"/>
    <x v="0"/>
    <n v="0"/>
    <x v="0"/>
    <x v="1470"/>
    <s v="Cust 7547"/>
    <n v="5.0999999999999996"/>
    <d v="2025-05-14T00:00:00"/>
    <d v="2025-05-18T00:00:00"/>
    <s v="Cameron"/>
    <n v="4"/>
  </r>
  <r>
    <d v="2023-06-30T00:00:00"/>
    <x v="3"/>
    <x v="0"/>
    <x v="4"/>
    <x v="1"/>
    <x v="4"/>
    <n v="6"/>
    <n v="536.24"/>
    <s v="Store D"/>
    <x v="1"/>
    <n v="0"/>
    <x v="4"/>
    <n v="3217.44"/>
    <n v="1930.4639999999999"/>
    <n v="1251.6560000000002"/>
    <n v="0.38902232831070671"/>
    <n v="3217.44"/>
    <s v="Cash"/>
    <s v="WINTER15"/>
    <x v="0"/>
    <n v="0"/>
    <x v="0"/>
    <x v="1471"/>
    <s v="Cust 8150"/>
    <n v="35.32"/>
    <d v="2023-06-30T00:00:00"/>
    <d v="2023-07-02T00:00:00"/>
    <s v="Sophie"/>
    <n v="2"/>
  </r>
  <r>
    <d v="2025-06-30T00:00:00"/>
    <x v="3"/>
    <x v="2"/>
    <x v="16"/>
    <x v="1"/>
    <x v="1"/>
    <n v="20"/>
    <n v="444.77"/>
    <s v="Store B"/>
    <x v="0"/>
    <n v="0.1"/>
    <x v="4"/>
    <n v="8005.86"/>
    <n v="5337.24"/>
    <n v="2648.5699999999997"/>
    <n v="0.33082891781769852"/>
    <n v="8005.86"/>
    <s v="Online"/>
    <m/>
    <x v="1"/>
    <n v="1"/>
    <x v="1"/>
    <x v="1472"/>
    <s v="Cust 5635"/>
    <n v="20.05"/>
    <d v="2025-06-30T00:00:00"/>
    <d v="2025-07-07T00:00:00"/>
    <s v="Sophie"/>
    <n v="7"/>
  </r>
  <r>
    <d v="2025-03-14T00:00:00"/>
    <x v="6"/>
    <x v="2"/>
    <x v="8"/>
    <x v="3"/>
    <x v="6"/>
    <n v="10"/>
    <n v="212.1"/>
    <s v="Store B"/>
    <x v="1"/>
    <n v="0.15"/>
    <x v="0"/>
    <n v="1802.85"/>
    <n v="1272.5999999999999"/>
    <n v="482.32"/>
    <n v="0.26753196328036166"/>
    <n v="1802.85"/>
    <s v="Gift Card"/>
    <s v="WINTER15"/>
    <x v="0"/>
    <n v="0"/>
    <x v="0"/>
    <x v="1473"/>
    <s v="Cust 4360"/>
    <n v="47.93"/>
    <d v="2025-03-14T00:00:00"/>
    <d v="2025-03-22T00:00:00"/>
    <s v="Cameron"/>
    <n v="8"/>
  </r>
  <r>
    <d v="2023-04-18T00:00:00"/>
    <x v="7"/>
    <x v="0"/>
    <x v="21"/>
    <x v="1"/>
    <x v="1"/>
    <n v="9"/>
    <n v="509.44"/>
    <s v="Store B"/>
    <x v="1"/>
    <n v="0.15"/>
    <x v="0"/>
    <n v="3897.2159999999999"/>
    <n v="2750.9759999999997"/>
    <n v="1133.2400000000002"/>
    <n v="0.29078193253850959"/>
    <n v="3897.2159999999999"/>
    <s v="Credit Card"/>
    <s v="SAVE10"/>
    <x v="0"/>
    <n v="0"/>
    <x v="0"/>
    <x v="1474"/>
    <s v="Cust 1624"/>
    <n v="13"/>
    <d v="2023-04-18T00:00:00"/>
    <d v="2023-04-27T00:00:00"/>
    <s v="Sophie"/>
    <n v="9"/>
  </r>
  <r>
    <d v="2024-09-11T00:00:00"/>
    <x v="11"/>
    <x v="1"/>
    <x v="26"/>
    <x v="4"/>
    <x v="4"/>
    <n v="8"/>
    <n v="236.17"/>
    <s v="Store C"/>
    <x v="0"/>
    <n v="0.15"/>
    <x v="2"/>
    <n v="1605.9559999999999"/>
    <n v="1133.616"/>
    <n v="449.45999999999992"/>
    <n v="0.27987068138853116"/>
    <n v="1605.9559999999999"/>
    <s v="Cash"/>
    <s v="WINTER15"/>
    <x v="0"/>
    <n v="0"/>
    <x v="0"/>
    <x v="1475"/>
    <s v="Cust 6593"/>
    <n v="22.88"/>
    <d v="2024-09-11T00:00:00"/>
    <d v="2024-09-19T00:00:00"/>
    <s v="Wendy"/>
    <n v="8"/>
  </r>
  <r>
    <d v="2023-11-21T00:00:00"/>
    <x v="9"/>
    <x v="0"/>
    <x v="15"/>
    <x v="3"/>
    <x v="6"/>
    <n v="1"/>
    <n v="147.4"/>
    <s v="Store D"/>
    <x v="1"/>
    <n v="0"/>
    <x v="3"/>
    <n v="147.4"/>
    <n v="88.44"/>
    <n v="18.490000000000009"/>
    <n v="0.1254409769335143"/>
    <n v="147.4"/>
    <s v="Cash"/>
    <s v="SAVE10"/>
    <x v="0"/>
    <n v="1"/>
    <x v="1"/>
    <x v="1476"/>
    <s v="Cust 9072"/>
    <n v="40.47"/>
    <d v="2023-11-21T00:00:00"/>
    <d v="2023-11-28T00:00:00"/>
    <s v="Cameron"/>
    <n v="7"/>
  </r>
  <r>
    <d v="2024-02-29T00:00:00"/>
    <x v="0"/>
    <x v="1"/>
    <x v="5"/>
    <x v="4"/>
    <x v="5"/>
    <n v="8"/>
    <n v="279.74"/>
    <s v="Store B"/>
    <x v="1"/>
    <n v="0.05"/>
    <x v="1"/>
    <n v="2126.0239999999999"/>
    <n v="1342.752"/>
    <n v="750.17199999999991"/>
    <n v="0.35285208445436173"/>
    <n v="2126.0239999999999"/>
    <s v="Gift Card"/>
    <s v="FREESHIP"/>
    <x v="0"/>
    <n v="0"/>
    <x v="0"/>
    <x v="1477"/>
    <s v="Cust 1116"/>
    <n v="33.1"/>
    <d v="2024-02-29T00:00:00"/>
    <d v="2024-03-07T00:00:00"/>
    <s v="Wendy"/>
    <n v="7"/>
  </r>
  <r>
    <d v="2023-05-11T00:00:00"/>
    <x v="2"/>
    <x v="0"/>
    <x v="2"/>
    <x v="4"/>
    <x v="0"/>
    <n v="3"/>
    <n v="304.61"/>
    <s v="Store B"/>
    <x v="0"/>
    <n v="0.05"/>
    <x v="5"/>
    <n v="868.13850000000002"/>
    <n v="548.298"/>
    <n v="272.70050000000003"/>
    <n v="0.31412096111392368"/>
    <n v="868.13850000000002"/>
    <s v="Cash"/>
    <s v="SAVE10"/>
    <x v="0"/>
    <n v="0"/>
    <x v="0"/>
    <x v="1478"/>
    <s v="Cust 8458"/>
    <n v="47.14"/>
    <d v="2023-05-11T00:00:00"/>
    <d v="2023-05-15T00:00:00"/>
    <s v="Wendy"/>
    <n v="4"/>
  </r>
  <r>
    <d v="2024-09-11T00:00:00"/>
    <x v="11"/>
    <x v="1"/>
    <x v="26"/>
    <x v="1"/>
    <x v="5"/>
    <n v="9"/>
    <n v="238.32"/>
    <s v="Store C"/>
    <x v="1"/>
    <n v="0"/>
    <x v="4"/>
    <n v="2144.88"/>
    <n v="1286.9279999999999"/>
    <n v="849.45200000000023"/>
    <n v="0.396037074335161"/>
    <n v="2144.88"/>
    <s v="Cash"/>
    <s v="WINTER15"/>
    <x v="0"/>
    <n v="1"/>
    <x v="1"/>
    <x v="1479"/>
    <s v="Cust 5409"/>
    <n v="8.5"/>
    <d v="2024-09-11T00:00:00"/>
    <d v="2024-09-20T00:00:00"/>
    <s v="Sophie"/>
    <n v="9"/>
  </r>
  <r>
    <d v="2024-08-16T00:00:00"/>
    <x v="10"/>
    <x v="1"/>
    <x v="29"/>
    <x v="4"/>
    <x v="6"/>
    <n v="16"/>
    <n v="483.37"/>
    <s v="Store B"/>
    <x v="1"/>
    <n v="0.1"/>
    <x v="1"/>
    <n v="6960.5280000000002"/>
    <n v="4640.3519999999999"/>
    <n v="2277.6560000000004"/>
    <n v="0.32722460135208137"/>
    <n v="6960.5280000000002"/>
    <s v="Debit Card"/>
    <m/>
    <x v="1"/>
    <n v="0"/>
    <x v="0"/>
    <x v="1480"/>
    <s v="Cust 8847"/>
    <n v="42.52"/>
    <d v="2024-08-16T00:00:00"/>
    <d v="2024-08-22T00:00:00"/>
    <s v="Wendy"/>
    <n v="6"/>
  </r>
  <r>
    <d v="2025-05-30T00:00:00"/>
    <x v="2"/>
    <x v="2"/>
    <x v="13"/>
    <x v="2"/>
    <x v="4"/>
    <n v="6"/>
    <n v="159.53"/>
    <s v="Store A"/>
    <x v="1"/>
    <n v="0.05"/>
    <x v="5"/>
    <n v="909.32100000000003"/>
    <n v="574.30799999999999"/>
    <n v="286.41300000000001"/>
    <n v="0.31497457993381878"/>
    <n v="909.32100000000003"/>
    <s v="Gift Card"/>
    <m/>
    <x v="1"/>
    <n v="0"/>
    <x v="0"/>
    <x v="1481"/>
    <s v="Cust 7857"/>
    <n v="48.6"/>
    <d v="2025-05-30T00:00:00"/>
    <d v="2025-06-07T00:00:00"/>
    <s v="Ryan"/>
    <n v="8"/>
  </r>
  <r>
    <d v="2023-08-22T00:00:00"/>
    <x v="10"/>
    <x v="0"/>
    <x v="18"/>
    <x v="0"/>
    <x v="2"/>
    <n v="19"/>
    <n v="280.60000000000002"/>
    <s v="Store A"/>
    <x v="0"/>
    <n v="0.1"/>
    <x v="2"/>
    <n v="4798.26"/>
    <n v="3198.84"/>
    <n v="1563.48"/>
    <n v="0.32584311813032224"/>
    <n v="4798.26"/>
    <s v="Gift Card"/>
    <s v="FREESHIP"/>
    <x v="0"/>
    <n v="0"/>
    <x v="0"/>
    <x v="1482"/>
    <s v="Cust 7810"/>
    <n v="35.94"/>
    <d v="2023-08-22T00:00:00"/>
    <d v="2023-08-28T00:00:00"/>
    <s v="Eric"/>
    <n v="6"/>
  </r>
  <r>
    <d v="2024-01-23T00:00:00"/>
    <x v="4"/>
    <x v="1"/>
    <x v="24"/>
    <x v="0"/>
    <x v="5"/>
    <n v="2"/>
    <n v="389.98"/>
    <s v="Store D"/>
    <x v="0"/>
    <n v="0.05"/>
    <x v="3"/>
    <n v="740.96199999999999"/>
    <n v="467.976"/>
    <n v="248.43599999999998"/>
    <n v="0.33528844934018204"/>
    <n v="740.96199999999999"/>
    <s v="Debit Card"/>
    <s v="SAVE10"/>
    <x v="0"/>
    <n v="1"/>
    <x v="1"/>
    <x v="1483"/>
    <s v="Cust 5665"/>
    <n v="24.55"/>
    <d v="2024-01-23T00:00:00"/>
    <d v="2024-01-25T00:00:00"/>
    <s v="Eric"/>
    <n v="2"/>
  </r>
  <r>
    <d v="2023-03-16T00:00:00"/>
    <x v="6"/>
    <x v="0"/>
    <x v="17"/>
    <x v="2"/>
    <x v="4"/>
    <n v="17"/>
    <n v="485.3"/>
    <s v="Store D"/>
    <x v="1"/>
    <n v="0.15"/>
    <x v="4"/>
    <n v="7012.585"/>
    <n v="4950.0600000000004"/>
    <n v="2024.5849999999996"/>
    <n v="0.28870737395696444"/>
    <n v="7012.585"/>
    <s v="Cash"/>
    <s v="WINTER15"/>
    <x v="0"/>
    <n v="0"/>
    <x v="0"/>
    <x v="1484"/>
    <s v="Cust 8015"/>
    <n v="37.94"/>
    <d v="2023-03-16T00:00:00"/>
    <d v="2023-03-23T00:00:00"/>
    <s v="Ryan"/>
    <n v="7"/>
  </r>
  <r>
    <d v="2025-05-16T00:00:00"/>
    <x v="2"/>
    <x v="2"/>
    <x v="13"/>
    <x v="1"/>
    <x v="0"/>
    <n v="4"/>
    <n v="472.24"/>
    <s v="Store D"/>
    <x v="1"/>
    <n v="0"/>
    <x v="1"/>
    <n v="1888.96"/>
    <n v="1133.376"/>
    <n v="748.80400000000009"/>
    <n v="0.39641072336100291"/>
    <n v="1888.96"/>
    <s v="Gift Card"/>
    <s v="FREESHIP"/>
    <x v="0"/>
    <n v="1"/>
    <x v="1"/>
    <x v="1485"/>
    <s v="Cust 7211"/>
    <n v="6.78"/>
    <d v="2025-05-16T00:00:00"/>
    <d v="2025-05-21T00:00:00"/>
    <s v="Sophie"/>
    <n v="5"/>
  </r>
  <r>
    <d v="2023-05-23T00:00:00"/>
    <x v="2"/>
    <x v="0"/>
    <x v="2"/>
    <x v="0"/>
    <x v="4"/>
    <n v="8"/>
    <n v="143.53"/>
    <s v="Store D"/>
    <x v="0"/>
    <n v="0"/>
    <x v="1"/>
    <n v="1148.24"/>
    <n v="688.94399999999996"/>
    <n v="450.19600000000003"/>
    <n v="0.39207482756218215"/>
    <n v="1148.24"/>
    <s v="Cash"/>
    <s v="WINTER15"/>
    <x v="0"/>
    <n v="0"/>
    <x v="0"/>
    <x v="1486"/>
    <s v="Cust 8705"/>
    <n v="9.1"/>
    <d v="2023-05-23T00:00:00"/>
    <d v="2023-05-29T00:00:00"/>
    <s v="Eric"/>
    <n v="6"/>
  </r>
  <r>
    <d v="2024-06-16T00:00:00"/>
    <x v="3"/>
    <x v="1"/>
    <x v="23"/>
    <x v="2"/>
    <x v="3"/>
    <n v="5"/>
    <n v="159.91999999999999"/>
    <s v="Store B"/>
    <x v="0"/>
    <n v="0"/>
    <x v="3"/>
    <n v="799.59999999999991"/>
    <n v="479.75999999999993"/>
    <n v="308.97999999999996"/>
    <n v="0.38641820910455227"/>
    <n v="799.59999999999991"/>
    <s v="Cash"/>
    <s v="SAVE10"/>
    <x v="0"/>
    <n v="0"/>
    <x v="0"/>
    <x v="1487"/>
    <s v="Cust 2905"/>
    <n v="10.86"/>
    <d v="2024-06-16T00:00:00"/>
    <d v="2024-06-23T00:00:00"/>
    <s v="Ryan"/>
    <n v="7"/>
  </r>
  <r>
    <d v="2025-01-28T00:00:00"/>
    <x v="4"/>
    <x v="2"/>
    <x v="12"/>
    <x v="3"/>
    <x v="4"/>
    <n v="13"/>
    <n v="447.34"/>
    <s v="Store A"/>
    <x v="0"/>
    <n v="0.05"/>
    <x v="2"/>
    <n v="5524.6489999999994"/>
    <n v="3489.252"/>
    <n v="1996.4669999999994"/>
    <n v="0.36137445111897598"/>
    <n v="5524.6489999999994"/>
    <s v="Cash"/>
    <s v="SAVE10"/>
    <x v="0"/>
    <n v="0"/>
    <x v="0"/>
    <x v="1488"/>
    <s v="Cust 5777"/>
    <n v="38.93"/>
    <d v="2025-01-28T00:00:00"/>
    <d v="2025-02-04T00:00:00"/>
    <s v="Cameron"/>
    <n v="7"/>
  </r>
  <r>
    <d v="2024-11-27T00:00:00"/>
    <x v="9"/>
    <x v="1"/>
    <x v="20"/>
    <x v="1"/>
    <x v="1"/>
    <n v="13"/>
    <n v="196.8"/>
    <s v="Store B"/>
    <x v="1"/>
    <n v="0.1"/>
    <x v="4"/>
    <n v="2302.56"/>
    <n v="1535.04"/>
    <n v="757.4"/>
    <n v="0.32893822527968869"/>
    <n v="2302.56"/>
    <s v="Cash"/>
    <m/>
    <x v="1"/>
    <n v="0"/>
    <x v="0"/>
    <x v="1489"/>
    <s v="Cust 6695"/>
    <n v="10.119999999999999"/>
    <d v="2024-11-27T00:00:00"/>
    <d v="2024-12-07T00:00:00"/>
    <s v="Sophie"/>
    <n v="10"/>
  </r>
  <r>
    <d v="2023-10-09T00:00:00"/>
    <x v="5"/>
    <x v="0"/>
    <x v="19"/>
    <x v="3"/>
    <x v="3"/>
    <n v="3"/>
    <n v="485.81"/>
    <s v="Store A"/>
    <x v="0"/>
    <n v="0.1"/>
    <x v="0"/>
    <n v="1311.6870000000001"/>
    <n v="874.45799999999997"/>
    <n v="417.76900000000018"/>
    <n v="0.31849747691331859"/>
    <n v="1311.6869999999999"/>
    <s v="Debit Card"/>
    <s v="SAVE10"/>
    <x v="0"/>
    <n v="0"/>
    <x v="0"/>
    <x v="1490"/>
    <s v="Cust 1977"/>
    <n v="19.46"/>
    <d v="2023-10-09T00:00:00"/>
    <d v="2023-10-11T00:00:00"/>
    <s v="Cameron"/>
    <n v="2"/>
  </r>
  <r>
    <d v="2024-07-21T00:00:00"/>
    <x v="8"/>
    <x v="1"/>
    <x v="10"/>
    <x v="4"/>
    <x v="1"/>
    <n v="16"/>
    <n v="183.62"/>
    <s v="Store A"/>
    <x v="0"/>
    <n v="0.05"/>
    <x v="5"/>
    <n v="2791.0239999999999"/>
    <n v="1762.752"/>
    <n v="1021.712"/>
    <n v="0.36607066080406331"/>
    <n v="2791.0239999999999"/>
    <s v="Gift Card"/>
    <s v="WINTER15"/>
    <x v="0"/>
    <n v="0"/>
    <x v="0"/>
    <x v="1491"/>
    <s v="Cust 7979"/>
    <n v="6.56"/>
    <d v="2024-07-21T00:00:00"/>
    <d v="2024-07-31T00:00:00"/>
    <s v="Wendy"/>
    <n v="10"/>
  </r>
  <r>
    <d v="2024-07-03T00:00:00"/>
    <x v="8"/>
    <x v="1"/>
    <x v="10"/>
    <x v="0"/>
    <x v="4"/>
    <n v="2"/>
    <n v="373.07"/>
    <s v="Store A"/>
    <x v="1"/>
    <n v="0.05"/>
    <x v="4"/>
    <n v="708.83299999999997"/>
    <n v="447.68399999999997"/>
    <n v="234.249"/>
    <n v="0.33047135220848917"/>
    <n v="708.83299999999997"/>
    <s v="Credit Card"/>
    <s v="FREESHIP"/>
    <x v="0"/>
    <n v="0"/>
    <x v="0"/>
    <x v="1492"/>
    <s v="Cust 2437"/>
    <n v="26.9"/>
    <d v="2024-07-03T00:00:00"/>
    <d v="2024-07-07T00:00:00"/>
    <s v="Eric"/>
    <n v="4"/>
  </r>
  <r>
    <d v="2024-09-24T00:00:00"/>
    <x v="11"/>
    <x v="1"/>
    <x v="26"/>
    <x v="4"/>
    <x v="4"/>
    <n v="17"/>
    <n v="527.67999999999995"/>
    <s v="Store B"/>
    <x v="0"/>
    <n v="0"/>
    <x v="4"/>
    <n v="8970.56"/>
    <n v="5382.3359999999993"/>
    <n v="3559.0340000000001"/>
    <n v="0.39674602254485786"/>
    <n v="8970.56"/>
    <s v="Gift Card"/>
    <s v="FREESHIP"/>
    <x v="0"/>
    <n v="0"/>
    <x v="0"/>
    <x v="1493"/>
    <s v="Cust 2516"/>
    <n v="29.19"/>
    <d v="2024-09-24T00:00:00"/>
    <d v="2024-10-02T00:00:00"/>
    <s v="Wendy"/>
    <n v="8"/>
  </r>
  <r>
    <d v="2025-01-14T00:00:00"/>
    <x v="4"/>
    <x v="2"/>
    <x v="12"/>
    <x v="0"/>
    <x v="5"/>
    <n v="5"/>
    <n v="201.29"/>
    <s v="Store D"/>
    <x v="0"/>
    <n v="0"/>
    <x v="3"/>
    <n v="1006.4499999999999"/>
    <n v="603.86999999999989"/>
    <n v="353.45000000000005"/>
    <n v="0.35118485766804119"/>
    <n v="1006.45"/>
    <s v="Online"/>
    <s v="FREESHIP"/>
    <x v="0"/>
    <n v="0"/>
    <x v="0"/>
    <x v="1494"/>
    <s v="Cust 6791"/>
    <n v="49.13"/>
    <d v="2025-01-14T00:00:00"/>
    <d v="2025-01-21T00:00:00"/>
    <s v="Eric"/>
    <n v="7"/>
  </r>
  <r>
    <d v="2025-02-17T00:00:00"/>
    <x v="0"/>
    <x v="2"/>
    <x v="3"/>
    <x v="4"/>
    <x v="2"/>
    <n v="13"/>
    <n v="134.56"/>
    <s v="Store D"/>
    <x v="1"/>
    <n v="0.05"/>
    <x v="3"/>
    <n v="1661.8159999999998"/>
    <n v="1049.568"/>
    <n v="576.61799999999982"/>
    <n v="0.34698065249100979"/>
    <n v="1661.816"/>
    <s v="Credit Card"/>
    <s v="WINTER15"/>
    <x v="0"/>
    <n v="0"/>
    <x v="0"/>
    <x v="1495"/>
    <s v="Cust 5227"/>
    <n v="35.630000000000003"/>
    <d v="2025-02-17T00:00:00"/>
    <d v="2025-02-22T00:00:00"/>
    <s v="Wendy"/>
    <n v="5"/>
  </r>
  <r>
    <d v="2024-01-11T00:00:00"/>
    <x v="4"/>
    <x v="1"/>
    <x v="24"/>
    <x v="1"/>
    <x v="3"/>
    <n v="18"/>
    <n v="209.75"/>
    <s v="Store C"/>
    <x v="0"/>
    <n v="0.15"/>
    <x v="2"/>
    <n v="3209.1749999999997"/>
    <n v="2265.2999999999997"/>
    <n v="897.94500000000005"/>
    <n v="0.2798055575030966"/>
    <n v="3209.1750000000002"/>
    <s v="Debit Card"/>
    <s v="FREESHIP"/>
    <x v="0"/>
    <n v="0"/>
    <x v="0"/>
    <x v="1496"/>
    <s v="Cust 5559"/>
    <n v="45.93"/>
    <d v="2024-01-11T00:00:00"/>
    <d v="2024-01-17T00:00:00"/>
    <s v="Sophie"/>
    <n v="6"/>
  </r>
  <r>
    <d v="2024-07-27T00:00:00"/>
    <x v="8"/>
    <x v="1"/>
    <x v="10"/>
    <x v="0"/>
    <x v="2"/>
    <n v="1"/>
    <n v="272.5"/>
    <s v="Store A"/>
    <x v="0"/>
    <n v="0"/>
    <x v="0"/>
    <n v="272.5"/>
    <n v="163.5"/>
    <n v="73.44"/>
    <n v="0.26950458715596332"/>
    <n v="272.5"/>
    <s v="Gift Card"/>
    <s v="WINTER15"/>
    <x v="0"/>
    <n v="0"/>
    <x v="0"/>
    <x v="1497"/>
    <s v="Cust 8981"/>
    <n v="35.56"/>
    <d v="2024-07-27T00:00:00"/>
    <d v="2024-08-03T00:00:00"/>
    <s v="Eric"/>
    <n v="7"/>
  </r>
  <r>
    <d v="2024-12-03T00:00:00"/>
    <x v="1"/>
    <x v="1"/>
    <x v="1"/>
    <x v="3"/>
    <x v="4"/>
    <n v="14"/>
    <n v="262.67"/>
    <s v="Store A"/>
    <x v="1"/>
    <n v="0.05"/>
    <x v="3"/>
    <n v="3493.511"/>
    <n v="2206.4279999999999"/>
    <n v="1262.5530000000001"/>
    <n v="0.36139946317615718"/>
    <n v="3493.511"/>
    <s v="Gift Card"/>
    <s v="SAVE10"/>
    <x v="0"/>
    <n v="0"/>
    <x v="0"/>
    <x v="1498"/>
    <s v="Cust 1824"/>
    <n v="24.53"/>
    <d v="2024-12-03T00:00:00"/>
    <d v="2024-12-10T00:00:00"/>
    <s v="Cameron"/>
    <n v="7"/>
  </r>
  <r>
    <d v="2025-05-09T00:00:00"/>
    <x v="2"/>
    <x v="2"/>
    <x v="13"/>
    <x v="4"/>
    <x v="3"/>
    <n v="13"/>
    <n v="221.39"/>
    <s v="Store D"/>
    <x v="0"/>
    <n v="0"/>
    <x v="2"/>
    <n v="2878.0699999999997"/>
    <n v="1726.8419999999996"/>
    <n v="1130.1780000000001"/>
    <n v="0.3926860708738843"/>
    <n v="2878.07"/>
    <s v="Debit Card"/>
    <s v="FREESHIP"/>
    <x v="0"/>
    <n v="1"/>
    <x v="1"/>
    <x v="1499"/>
    <s v="Cust 1935"/>
    <n v="21.05"/>
    <d v="2025-05-09T00:00:00"/>
    <d v="2025-05-13T00:00:00"/>
    <s v="Wendy"/>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92B3AD-7B75-49D9-B6C8-5D25D685DC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9">
    <pivotField numFmtId="14" showAll="0"/>
    <pivotField showAll="0">
      <items count="13">
        <item x="4"/>
        <item x="0"/>
        <item x="6"/>
        <item x="7"/>
        <item x="2"/>
        <item x="3"/>
        <item x="8"/>
        <item x="10"/>
        <item x="11"/>
        <item x="5"/>
        <item x="9"/>
        <item x="1"/>
        <item t="default"/>
      </items>
    </pivotField>
    <pivotField showAll="0">
      <items count="4">
        <item x="0"/>
        <item x="1"/>
        <item x="2"/>
        <item t="default"/>
      </items>
    </pivotField>
    <pivotField showAll="0"/>
    <pivotField showAll="0">
      <items count="6">
        <item x="3"/>
        <item x="0"/>
        <item x="2"/>
        <item x="1"/>
        <item x="4"/>
        <item t="default"/>
      </items>
    </pivotField>
    <pivotField showAll="0">
      <items count="8">
        <item x="3"/>
        <item x="2"/>
        <item x="0"/>
        <item x="4"/>
        <item x="1"/>
        <item x="6"/>
        <item x="5"/>
        <item t="default"/>
      </items>
    </pivotField>
    <pivotField numFmtId="1" showAll="0"/>
    <pivotField numFmtId="2" showAll="0"/>
    <pivotField showAll="0"/>
    <pivotField showAll="0">
      <items count="3">
        <item x="1"/>
        <item x="0"/>
        <item t="default"/>
      </items>
    </pivotField>
    <pivotField numFmtId="2" showAll="0"/>
    <pivotField showAll="0">
      <items count="7">
        <item x="1"/>
        <item x="5"/>
        <item x="3"/>
        <item x="4"/>
        <item x="0"/>
        <item x="2"/>
        <item t="default"/>
      </items>
    </pivotField>
    <pivotField dataField="1" showAll="0"/>
    <pivotField showAll="0"/>
    <pivotField dataField="1" numFmtId="2" showAll="0"/>
    <pivotField dataField="1" numFmtId="2" showAll="0"/>
    <pivotField numFmtId="2" showAll="0"/>
    <pivotField showAll="0"/>
    <pivotField showAll="0"/>
    <pivotField showAll="0"/>
    <pivotField dataField="1" showAll="0"/>
    <pivotField showAll="0"/>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numFmtId="2" showAll="0"/>
    <pivotField numFmtId="14" showAll="0"/>
    <pivotField numFmtId="14" showAll="0"/>
    <pivotField showAll="0"/>
    <pivotField showAll="0"/>
  </pivotFields>
  <rowItems count="1">
    <i/>
  </rowItems>
  <colFields count="1">
    <field x="-2"/>
  </colFields>
  <colItems count="5">
    <i>
      <x/>
    </i>
    <i i="1">
      <x v="1"/>
    </i>
    <i i="2">
      <x v="2"/>
    </i>
    <i i="3">
      <x v="3"/>
    </i>
    <i i="4">
      <x v="4"/>
    </i>
  </colItems>
  <dataFields count="5">
    <dataField name="Sum of TotalSalesWithDiscount" fld="12" baseField="0" baseItem="0" numFmtId="44"/>
    <dataField name="Sum of Profit" fld="14" baseField="0" baseItem="0" numFmtId="44"/>
    <dataField name="Average of ProfitMargin" fld="15" subtotal="average" baseField="0" baseItem="2" numFmtId="9"/>
    <dataField name="Count of OrderID" fld="22" subtotal="count" baseField="0" baseItem="0"/>
    <dataField name="Average of Returned" fld="20" subtotal="average" baseField="0" baseItem="3" numFmtId="9"/>
  </dataFields>
  <formats count="4">
    <format dxfId="30">
      <pivotArea outline="0" collapsedLevelsAreSubtotals="1" fieldPosition="0">
        <references count="1">
          <reference field="4294967294" count="1" selected="0">
            <x v="2"/>
          </reference>
        </references>
      </pivotArea>
    </format>
    <format dxfId="29">
      <pivotArea outline="0" collapsedLevelsAreSubtotals="1" fieldPosition="0">
        <references count="1">
          <reference field="4294967294" count="1" selected="0">
            <x v="0"/>
          </reference>
        </references>
      </pivotArea>
    </format>
    <format dxfId="28">
      <pivotArea outline="0" collapsedLevelsAreSubtotals="1" fieldPosition="0">
        <references count="1">
          <reference field="4294967294" count="1" selected="0">
            <x v="1"/>
          </reference>
        </references>
      </pivotArea>
    </format>
    <format dxfId="27">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AC9F5-E7A1-43BA-8D1D-37FD7FB5D7E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41" firstHeaderRow="0" firstDataRow="0" firstDataCol="0"/>
  <pivotFields count="29">
    <pivotField numFmtId="14" showAll="0"/>
    <pivotField showAll="0">
      <items count="13">
        <item x="4"/>
        <item x="0"/>
        <item x="6"/>
        <item x="7"/>
        <item x="2"/>
        <item x="3"/>
        <item x="8"/>
        <item x="10"/>
        <item x="11"/>
        <item x="5"/>
        <item x="9"/>
        <item x="1"/>
        <item t="default"/>
      </items>
    </pivotField>
    <pivotField showAll="0">
      <items count="4">
        <item x="0"/>
        <item x="1"/>
        <item x="2"/>
        <item t="default"/>
      </items>
    </pivotField>
    <pivotField showAll="0">
      <items count="31">
        <item x="21"/>
        <item x="9"/>
        <item x="28"/>
        <item x="18"/>
        <item x="29"/>
        <item x="27"/>
        <item x="1"/>
        <item x="0"/>
        <item x="5"/>
        <item x="3"/>
        <item x="6"/>
        <item x="24"/>
        <item x="12"/>
        <item x="11"/>
        <item x="10"/>
        <item x="4"/>
        <item x="23"/>
        <item x="16"/>
        <item x="17"/>
        <item x="25"/>
        <item x="8"/>
        <item x="2"/>
        <item x="14"/>
        <item x="13"/>
        <item x="15"/>
        <item x="20"/>
        <item x="19"/>
        <item x="7"/>
        <item x="22"/>
        <item x="26"/>
        <item t="default"/>
      </items>
    </pivotField>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numFmtId="1" showAll="0"/>
    <pivotField numFmtId="2" showAll="0"/>
    <pivotField showAll="0"/>
    <pivotField showAll="0">
      <items count="3">
        <item x="1"/>
        <item x="0"/>
        <item t="default"/>
      </items>
    </pivotField>
    <pivotField numFmtId="2" showAll="0"/>
    <pivotField showAll="0">
      <items count="7">
        <item x="1"/>
        <item x="5"/>
        <item x="3"/>
        <item x="4"/>
        <item x="0"/>
        <item x="2"/>
        <item t="default"/>
      </items>
    </pivotField>
    <pivotField dataField="1" showAll="0"/>
    <pivotField showAll="0"/>
    <pivotField numFmtId="2" showAll="0"/>
    <pivotField numFmtId="2" showAll="0"/>
    <pivotField numFmtId="2" showAll="0"/>
    <pivotField showAll="0"/>
    <pivotField showAll="0"/>
    <pivotField showAll="0"/>
    <pivotField showAll="0"/>
    <pivotField showAll="0"/>
    <pivotField showAll="0"/>
    <pivotField showAll="0"/>
    <pivotField numFmtId="2" showAll="0"/>
    <pivotField numFmtId="14" showAll="0"/>
    <pivotField numFmtId="14" showAll="0"/>
    <pivotField showAll="0"/>
    <pivotField showAll="0"/>
  </pivotFields>
  <rowFields count="1">
    <field x="5"/>
  </rowFields>
  <rowItems count="8">
    <i>
      <x v="6"/>
    </i>
    <i>
      <x v="2"/>
    </i>
    <i>
      <x v="5"/>
    </i>
    <i>
      <x v="3"/>
    </i>
    <i>
      <x/>
    </i>
    <i>
      <x v="1"/>
    </i>
    <i>
      <x v="4"/>
    </i>
    <i t="grand">
      <x/>
    </i>
  </rowItems>
  <colItems count="1">
    <i/>
  </colItems>
  <dataFields count="1">
    <dataField name="Sum of TotalSalesWithDiscount" fld="12"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DFCACD-A727-478C-9DF0-67886A2EF6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39" firstHeaderRow="1" firstDataRow="1" firstDataCol="1"/>
  <pivotFields count="29">
    <pivotField numFmtId="14" showAll="0"/>
    <pivotField showAll="0">
      <items count="13">
        <item x="4"/>
        <item x="0"/>
        <item x="6"/>
        <item x="7"/>
        <item x="2"/>
        <item x="3"/>
        <item x="8"/>
        <item x="10"/>
        <item x="11"/>
        <item x="5"/>
        <item x="9"/>
        <item x="1"/>
        <item t="default"/>
      </items>
    </pivotField>
    <pivotField showAll="0">
      <items count="4">
        <item x="0"/>
        <item x="1"/>
        <item x="2"/>
        <item t="default"/>
      </items>
    </pivotField>
    <pivotField showAll="0">
      <items count="31">
        <item x="21"/>
        <item x="9"/>
        <item x="28"/>
        <item x="18"/>
        <item x="29"/>
        <item x="27"/>
        <item x="1"/>
        <item x="0"/>
        <item x="5"/>
        <item x="3"/>
        <item x="6"/>
        <item x="24"/>
        <item x="12"/>
        <item x="11"/>
        <item x="10"/>
        <item x="4"/>
        <item x="23"/>
        <item x="16"/>
        <item x="17"/>
        <item x="25"/>
        <item x="8"/>
        <item x="2"/>
        <item x="14"/>
        <item x="13"/>
        <item x="15"/>
        <item x="20"/>
        <item x="19"/>
        <item x="7"/>
        <item x="22"/>
        <item x="26"/>
        <item t="default"/>
      </items>
    </pivotField>
    <pivotField axis="axisRow" showAll="0" sortType="a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items count="8">
        <item x="3"/>
        <item x="2"/>
        <item x="0"/>
        <item x="4"/>
        <item x="1"/>
        <item x="6"/>
        <item x="5"/>
        <item t="default"/>
      </items>
    </pivotField>
    <pivotField numFmtId="1" showAll="0"/>
    <pivotField numFmtId="2" showAll="0"/>
    <pivotField showAll="0"/>
    <pivotField showAll="0">
      <items count="3">
        <item x="1"/>
        <item x="0"/>
        <item t="default"/>
      </items>
    </pivotField>
    <pivotField numFmtId="2" showAll="0"/>
    <pivotField showAll="0">
      <items count="7">
        <item x="1"/>
        <item x="5"/>
        <item x="3"/>
        <item x="4"/>
        <item x="0"/>
        <item x="2"/>
        <item t="default"/>
      </items>
    </pivotField>
    <pivotField dataField="1" showAll="0"/>
    <pivotField showAll="0"/>
    <pivotField numFmtId="2" showAll="0"/>
    <pivotField numFmtId="2" showAll="0"/>
    <pivotField numFmtId="2" showAll="0"/>
    <pivotField showAll="0"/>
    <pivotField showAll="0"/>
    <pivotField showAll="0"/>
    <pivotField showAll="0"/>
    <pivotField showAll="0"/>
    <pivotField showAll="0"/>
    <pivotField showAll="0"/>
    <pivotField numFmtId="2" showAll="0"/>
    <pivotField numFmtId="14" showAll="0"/>
    <pivotField numFmtId="14" showAll="0"/>
    <pivotField showAll="0"/>
    <pivotField showAll="0"/>
  </pivotFields>
  <rowFields count="1">
    <field x="4"/>
  </rowFields>
  <rowItems count="6">
    <i>
      <x v="1"/>
    </i>
    <i>
      <x v="4"/>
    </i>
    <i>
      <x/>
    </i>
    <i>
      <x v="3"/>
    </i>
    <i>
      <x v="2"/>
    </i>
    <i t="grand">
      <x/>
    </i>
  </rowItems>
  <colItems count="1">
    <i/>
  </colItems>
  <dataFields count="1">
    <dataField name="Sum of TotalSalesWithDiscount" fld="12" baseField="0" baseItem="0"/>
  </dataFields>
  <formats count="1">
    <format dxfId="2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ECFC96-CEED-482B-B82E-17AEED804B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8:B31" firstHeaderRow="1" firstDataRow="1" firstDataCol="1"/>
  <pivotFields count="29">
    <pivotField numFmtId="14" showAll="0"/>
    <pivotField axis="axisRow" showAll="0">
      <items count="13">
        <item x="4"/>
        <item x="0"/>
        <item x="6"/>
        <item x="7"/>
        <item x="2"/>
        <item x="3"/>
        <item x="8"/>
        <item x="10"/>
        <item x="11"/>
        <item x="5"/>
        <item x="9"/>
        <item x="1"/>
        <item t="default"/>
      </items>
    </pivotField>
    <pivotField showAll="0">
      <items count="4">
        <item x="0"/>
        <item x="1"/>
        <item x="2"/>
        <item t="default"/>
      </items>
    </pivotField>
    <pivotField showAll="0">
      <items count="31">
        <item x="21"/>
        <item x="9"/>
        <item x="28"/>
        <item x="18"/>
        <item x="29"/>
        <item x="27"/>
        <item x="1"/>
        <item x="0"/>
        <item x="5"/>
        <item x="3"/>
        <item x="6"/>
        <item x="24"/>
        <item x="12"/>
        <item x="11"/>
        <item x="10"/>
        <item x="4"/>
        <item x="23"/>
        <item x="16"/>
        <item x="17"/>
        <item x="25"/>
        <item x="8"/>
        <item x="2"/>
        <item x="14"/>
        <item x="13"/>
        <item x="15"/>
        <item x="20"/>
        <item x="19"/>
        <item x="7"/>
        <item x="22"/>
        <item x="26"/>
        <item t="default"/>
      </items>
    </pivotField>
    <pivotField showAll="0">
      <items count="6">
        <item x="3"/>
        <item x="0"/>
        <item x="2"/>
        <item x="1"/>
        <item x="4"/>
        <item t="default"/>
      </items>
    </pivotField>
    <pivotField showAll="0">
      <items count="8">
        <item x="3"/>
        <item x="2"/>
        <item x="0"/>
        <item x="4"/>
        <item x="1"/>
        <item x="6"/>
        <item x="5"/>
        <item t="default"/>
      </items>
    </pivotField>
    <pivotField numFmtId="1" showAll="0"/>
    <pivotField numFmtId="2" showAll="0"/>
    <pivotField showAll="0"/>
    <pivotField showAll="0">
      <items count="3">
        <item x="1"/>
        <item x="0"/>
        <item t="default"/>
      </items>
    </pivotField>
    <pivotField numFmtId="2" showAll="0"/>
    <pivotField showAll="0">
      <items count="7">
        <item x="1"/>
        <item x="5"/>
        <item x="3"/>
        <item x="4"/>
        <item x="0"/>
        <item x="2"/>
        <item t="default"/>
      </items>
    </pivotField>
    <pivotField showAll="0"/>
    <pivotField showAll="0"/>
    <pivotField dataField="1" numFmtId="2" showAll="0"/>
    <pivotField numFmtId="2" showAll="0"/>
    <pivotField numFmtId="2" showAll="0"/>
    <pivotField showAll="0"/>
    <pivotField showAll="0"/>
    <pivotField showAll="0"/>
    <pivotField showAll="0"/>
    <pivotField showAll="0"/>
    <pivotField showAll="0"/>
    <pivotField showAll="0"/>
    <pivotField numFmtId="2" showAll="0"/>
    <pivotField numFmtId="14" showAll="0"/>
    <pivotField numFmtId="14"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Profit" fld="14" baseField="0" baseItem="0" numFmtId="2"/>
  </dataFields>
  <formats count="1">
    <format dxfId="21">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089E5C-F9A2-4A05-8CB0-ED81C69E72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29">
    <pivotField numFmtId="14" showAll="0"/>
    <pivotField axis="axisRow" showAll="0">
      <items count="13">
        <item x="4"/>
        <item x="0"/>
        <item x="6"/>
        <item x="7"/>
        <item x="2"/>
        <item x="3"/>
        <item x="8"/>
        <item x="10"/>
        <item x="11"/>
        <item x="5"/>
        <item x="9"/>
        <item x="1"/>
        <item t="default"/>
      </items>
    </pivotField>
    <pivotField showAll="0">
      <items count="4">
        <item x="0"/>
        <item x="1"/>
        <item x="2"/>
        <item t="default"/>
      </items>
    </pivotField>
    <pivotField showAll="0"/>
    <pivotField showAll="0">
      <items count="6">
        <item x="3"/>
        <item x="0"/>
        <item x="2"/>
        <item x="1"/>
        <item x="4"/>
        <item t="default"/>
      </items>
    </pivotField>
    <pivotField showAll="0">
      <items count="8">
        <item x="3"/>
        <item x="2"/>
        <item x="0"/>
        <item x="4"/>
        <item x="1"/>
        <item x="6"/>
        <item x="5"/>
        <item t="default"/>
      </items>
    </pivotField>
    <pivotField numFmtId="1" showAll="0"/>
    <pivotField numFmtId="2" showAll="0"/>
    <pivotField showAll="0"/>
    <pivotField showAll="0">
      <items count="3">
        <item x="1"/>
        <item x="0"/>
        <item t="default"/>
      </items>
    </pivotField>
    <pivotField numFmtId="2" showAll="0"/>
    <pivotField showAll="0">
      <items count="7">
        <item x="1"/>
        <item x="5"/>
        <item x="3"/>
        <item x="4"/>
        <item x="0"/>
        <item x="2"/>
        <item t="default"/>
      </items>
    </pivotField>
    <pivotField dataField="1" showAll="0"/>
    <pivotField showAll="0"/>
    <pivotField numFmtId="2" showAll="0"/>
    <pivotField numFmtId="2" showAll="0"/>
    <pivotField numFmtId="2" showAll="0"/>
    <pivotField showAll="0"/>
    <pivotField showAll="0"/>
    <pivotField showAll="0"/>
    <pivotField showAll="0"/>
    <pivotField showAll="0"/>
    <pivotField showAll="0"/>
    <pivotField showAll="0"/>
    <pivotField numFmtId="2" showAll="0"/>
    <pivotField numFmtId="14" showAll="0"/>
    <pivotField numFmtId="14"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TotalSalesWithDiscount" fld="12" baseField="0" baseItem="0" numFmtId="44"/>
  </dataFields>
  <formats count="3">
    <format dxfId="24">
      <pivotArea collapsedLevelsAreSubtotals="1" fieldPosition="0">
        <references count="1">
          <reference field="1" count="1">
            <x v="4"/>
          </reference>
        </references>
      </pivotArea>
    </format>
    <format dxfId="23">
      <pivotArea outline="0" collapsedLevelsAreSubtotals="1" fieldPosition="0"/>
    </format>
    <format dxfId="2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748272-4033-4B88-9FF3-34A482EDC55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B89" firstHeaderRow="1" firstDataRow="1" firstDataCol="1"/>
  <pivotFields count="29">
    <pivotField numFmtId="14" showAll="0"/>
    <pivotField showAll="0">
      <items count="13">
        <item x="4"/>
        <item x="0"/>
        <item x="6"/>
        <item x="7"/>
        <item x="2"/>
        <item x="3"/>
        <item x="8"/>
        <item x="10"/>
        <item x="11"/>
        <item x="5"/>
        <item x="9"/>
        <item x="1"/>
        <item t="default"/>
      </items>
    </pivotField>
    <pivotField showAll="0">
      <items count="4">
        <item x="0"/>
        <item x="1"/>
        <item x="2"/>
        <item t="default"/>
      </items>
    </pivotField>
    <pivotField axis="axisRow" showAll="0">
      <items count="31">
        <item x="26"/>
        <item x="22"/>
        <item x="7"/>
        <item x="19"/>
        <item x="20"/>
        <item x="15"/>
        <item x="13"/>
        <item x="14"/>
        <item x="2"/>
        <item x="8"/>
        <item x="25"/>
        <item x="17"/>
        <item x="16"/>
        <item x="23"/>
        <item x="4"/>
        <item x="10"/>
        <item x="11"/>
        <item x="12"/>
        <item x="24"/>
        <item x="6"/>
        <item x="3"/>
        <item x="5"/>
        <item x="0"/>
        <item x="1"/>
        <item x="27"/>
        <item x="29"/>
        <item x="18"/>
        <item x="28"/>
        <item x="9"/>
        <item x="21"/>
        <item t="default"/>
      </items>
    </pivotField>
    <pivotField showAll="0">
      <items count="6">
        <item x="3"/>
        <item x="0"/>
        <item x="2"/>
        <item x="1"/>
        <item x="4"/>
        <item t="default"/>
      </items>
    </pivotField>
    <pivotField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numFmtId="1" showAll="0"/>
    <pivotField numFmtId="2" showAll="0"/>
    <pivotField showAll="0"/>
    <pivotField showAll="0">
      <items count="3">
        <item x="1"/>
        <item x="0"/>
        <item t="default"/>
      </items>
    </pivotField>
    <pivotField numFmtId="2" showAll="0"/>
    <pivotField showAll="0">
      <items count="7">
        <item x="1"/>
        <item x="5"/>
        <item x="3"/>
        <item x="4"/>
        <item x="0"/>
        <item x="2"/>
        <item t="default"/>
      </items>
    </pivotField>
    <pivotField showAll="0"/>
    <pivotField showAll="0"/>
    <pivotField dataField="1" numFmtId="2" showAll="0"/>
    <pivotField numFmtId="2" showAll="0"/>
    <pivotField numFmtId="2" showAll="0"/>
    <pivotField showAll="0"/>
    <pivotField showAll="0"/>
    <pivotField showAll="0"/>
    <pivotField showAll="0"/>
    <pivotField showAll="0"/>
    <pivotField showAll="0"/>
    <pivotField showAll="0"/>
    <pivotField numFmtId="2" showAll="0"/>
    <pivotField numFmtId="14" showAll="0"/>
    <pivotField numFmtId="14" showAll="0"/>
    <pivotField showAll="0"/>
    <pivotField showAll="0"/>
  </pivotFields>
  <rowFields count="1">
    <field x="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rofit" fld="14" baseField="0" baseItem="0" numFmtId="2"/>
  </dataFields>
  <formats count="1">
    <format dxfId="25">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B24F29-49D1-4EA1-B117-F8CD4F34F6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9:B57" firstHeaderRow="1" firstDataRow="1" firstDataCol="1"/>
  <pivotFields count="29">
    <pivotField numFmtId="14" showAll="0"/>
    <pivotField showAll="0">
      <items count="13">
        <item x="4"/>
        <item x="0"/>
        <item x="6"/>
        <item x="7"/>
        <item x="2"/>
        <item x="3"/>
        <item x="8"/>
        <item x="10"/>
        <item x="11"/>
        <item x="5"/>
        <item x="9"/>
        <item x="1"/>
        <item t="default"/>
      </items>
    </pivotField>
    <pivotField showAll="0">
      <items count="4">
        <item x="0"/>
        <item x="1"/>
        <item x="2"/>
        <item t="default"/>
      </items>
    </pivotField>
    <pivotField showAll="0">
      <items count="31">
        <item x="21"/>
        <item x="9"/>
        <item x="28"/>
        <item x="18"/>
        <item x="29"/>
        <item x="27"/>
        <item x="1"/>
        <item x="0"/>
        <item x="5"/>
        <item x="3"/>
        <item x="6"/>
        <item x="24"/>
        <item x="12"/>
        <item x="11"/>
        <item x="10"/>
        <item x="4"/>
        <item x="23"/>
        <item x="16"/>
        <item x="17"/>
        <item x="25"/>
        <item x="8"/>
        <item x="2"/>
        <item x="14"/>
        <item x="13"/>
        <item x="15"/>
        <item x="20"/>
        <item x="19"/>
        <item x="7"/>
        <item x="22"/>
        <item x="26"/>
        <item t="default"/>
      </items>
    </pivotField>
    <pivotField showAll="0">
      <items count="6">
        <item x="3"/>
        <item x="0"/>
        <item x="2"/>
        <item x="1"/>
        <item x="4"/>
        <item t="default"/>
      </items>
    </pivotField>
    <pivotField axis="axisRow" showAll="0" sortType="descending">
      <items count="8">
        <item x="5"/>
        <item x="6"/>
        <item x="1"/>
        <item x="4"/>
        <item x="0"/>
        <item x="2"/>
        <item x="3"/>
        <item t="default"/>
      </items>
      <autoSortScope>
        <pivotArea dataOnly="0" outline="0" fieldPosition="0">
          <references count="1">
            <reference field="4294967294" count="1" selected="0">
              <x v="0"/>
            </reference>
          </references>
        </pivotArea>
      </autoSortScope>
    </pivotField>
    <pivotField numFmtId="1" showAll="0"/>
    <pivotField numFmtId="2" showAll="0"/>
    <pivotField showAll="0"/>
    <pivotField showAll="0">
      <items count="3">
        <item x="1"/>
        <item x="0"/>
        <item t="default"/>
      </items>
    </pivotField>
    <pivotField numFmtId="2" showAll="0"/>
    <pivotField showAll="0">
      <items count="7">
        <item x="1"/>
        <item x="5"/>
        <item x="3"/>
        <item x="4"/>
        <item x="0"/>
        <item x="2"/>
        <item t="default"/>
      </items>
    </pivotField>
    <pivotField showAll="0"/>
    <pivotField showAll="0"/>
    <pivotField dataField="1" numFmtId="2" showAll="0"/>
    <pivotField numFmtId="2" showAll="0"/>
    <pivotField numFmtId="2" showAll="0"/>
    <pivotField showAll="0"/>
    <pivotField showAll="0"/>
    <pivotField showAll="0"/>
    <pivotField showAll="0"/>
    <pivotField showAll="0"/>
    <pivotField showAll="0"/>
    <pivotField showAll="0"/>
    <pivotField numFmtId="2" showAll="0"/>
    <pivotField numFmtId="14" showAll="0"/>
    <pivotField numFmtId="14" showAll="0"/>
    <pivotField showAll="0"/>
    <pivotField showAll="0"/>
  </pivotFields>
  <rowFields count="1">
    <field x="5"/>
  </rowFields>
  <rowItems count="8">
    <i>
      <x/>
    </i>
    <i>
      <x v="4"/>
    </i>
    <i>
      <x v="1"/>
    </i>
    <i>
      <x v="3"/>
    </i>
    <i>
      <x v="6"/>
    </i>
    <i>
      <x v="5"/>
    </i>
    <i>
      <x v="2"/>
    </i>
    <i t="grand">
      <x/>
    </i>
  </rowItems>
  <colItems count="1">
    <i/>
  </colItems>
  <dataFields count="1">
    <dataField name="Sum of Profit" fld="14" baseField="0" baseItem="0" numFmtId="2"/>
  </dataFields>
  <formats count="1">
    <format dxfId="2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5AB903-F849-4D88-BA31-DD3FE8F7A50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5" firstHeaderRow="1" firstDataRow="1" firstDataCol="1"/>
  <pivotFields count="29">
    <pivotField numFmtId="14" showAll="0"/>
    <pivotField showAll="0">
      <items count="13">
        <item x="4"/>
        <item x="0"/>
        <item x="6"/>
        <item x="7"/>
        <item x="2"/>
        <item x="3"/>
        <item x="8"/>
        <item x="10"/>
        <item x="11"/>
        <item x="5"/>
        <item x="9"/>
        <item x="1"/>
        <item t="default"/>
      </items>
    </pivotField>
    <pivotField showAll="0">
      <items count="4">
        <item x="0"/>
        <item x="1"/>
        <item x="2"/>
        <item t="default"/>
      </items>
    </pivotField>
    <pivotField showAll="0"/>
    <pivotField showAll="0">
      <items count="6">
        <item x="3"/>
        <item x="0"/>
        <item x="2"/>
        <item x="1"/>
        <item x="4"/>
        <item t="default"/>
      </items>
    </pivotField>
    <pivotField showAll="0">
      <items count="8">
        <item x="3"/>
        <item x="2"/>
        <item x="0"/>
        <item x="4"/>
        <item x="1"/>
        <item x="6"/>
        <item x="5"/>
        <item t="default"/>
      </items>
    </pivotField>
    <pivotField numFmtId="1" showAll="0"/>
    <pivotField numFmtId="2" showAll="0"/>
    <pivotField showAll="0"/>
    <pivotField showAll="0">
      <items count="3">
        <item x="1"/>
        <item x="0"/>
        <item t="default"/>
      </items>
    </pivotField>
    <pivotField numFmtId="2" showAll="0"/>
    <pivotField showAll="0">
      <items count="7">
        <item x="2"/>
        <item x="0"/>
        <item x="4"/>
        <item x="3"/>
        <item x="5"/>
        <item x="1"/>
        <item t="default"/>
      </items>
    </pivotField>
    <pivotField showAll="0"/>
    <pivotField showAll="0"/>
    <pivotField numFmtId="2" showAll="0"/>
    <pivotField numFmtId="2" showAll="0"/>
    <pivotField numFmtId="2" showAll="0"/>
    <pivotField showAll="0"/>
    <pivotField showAll="0"/>
    <pivotField showAll="0">
      <items count="3">
        <item x="1"/>
        <item x="0"/>
        <item t="default"/>
      </items>
    </pivotField>
    <pivotField dataField="1" showAll="0"/>
    <pivotField axis="axisRow" showAll="0">
      <items count="3">
        <item x="0"/>
        <item x="1"/>
        <item t="default"/>
      </items>
    </pivotField>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numFmtId="2" showAll="0"/>
    <pivotField numFmtId="14" showAll="0"/>
    <pivotField numFmtId="14" showAll="0"/>
    <pivotField showAll="0"/>
    <pivotField showAll="0"/>
  </pivotFields>
  <rowFields count="1">
    <field x="21"/>
  </rowFields>
  <rowItems count="3">
    <i>
      <x/>
    </i>
    <i>
      <x v="1"/>
    </i>
    <i t="grand">
      <x/>
    </i>
  </rowItems>
  <colItems count="1">
    <i/>
  </colItems>
  <dataFields count="1">
    <dataField name="Count of Returned" fld="20" subtotal="count" baseField="21"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51C5EE-7EF6-4AB7-8ED4-A764775BEE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0" firstHeaderRow="1" firstDataRow="1" firstDataCol="1"/>
  <pivotFields count="29">
    <pivotField numFmtId="14" showAll="0"/>
    <pivotField showAll="0">
      <items count="13">
        <item x="4"/>
        <item x="0"/>
        <item x="6"/>
        <item x="7"/>
        <item x="2"/>
        <item x="3"/>
        <item x="8"/>
        <item x="10"/>
        <item x="11"/>
        <item x="5"/>
        <item x="9"/>
        <item x="1"/>
        <item t="default"/>
      </items>
    </pivotField>
    <pivotField showAll="0">
      <items count="4">
        <item x="0"/>
        <item x="1"/>
        <item x="2"/>
        <item t="default"/>
      </items>
    </pivotField>
    <pivotField showAll="0"/>
    <pivotField showAll="0">
      <items count="6">
        <item x="3"/>
        <item x="0"/>
        <item x="2"/>
        <item x="1"/>
        <item x="4"/>
        <item t="default"/>
      </items>
    </pivotField>
    <pivotField showAll="0">
      <items count="8">
        <item x="3"/>
        <item x="2"/>
        <item x="0"/>
        <item x="4"/>
        <item x="1"/>
        <item x="6"/>
        <item x="5"/>
        <item t="default"/>
      </items>
    </pivotField>
    <pivotField numFmtId="1" showAll="0"/>
    <pivotField numFmtId="2" showAll="0"/>
    <pivotField showAll="0"/>
    <pivotField showAll="0">
      <items count="3">
        <item x="1"/>
        <item x="0"/>
        <item t="default"/>
      </items>
    </pivotField>
    <pivotField numFmtId="2" showAll="0"/>
    <pivotField showAll="0" sortType="descending">
      <items count="7">
        <item x="2"/>
        <item x="0"/>
        <item x="4"/>
        <item x="3"/>
        <item x="5"/>
        <item x="1"/>
        <item t="default"/>
      </items>
      <autoSortScope>
        <pivotArea dataOnly="0" outline="0" fieldPosition="0">
          <references count="1">
            <reference field="4294967294" count="1" selected="0">
              <x v="0"/>
            </reference>
          </references>
        </pivotArea>
      </autoSortScope>
    </pivotField>
    <pivotField dataField="1" showAll="0"/>
    <pivotField showAll="0"/>
    <pivotField numFmtId="2" showAll="0"/>
    <pivotField numFmtId="2" showAll="0"/>
    <pivotField numFmtId="2" showAll="0"/>
    <pivotField showAll="0"/>
    <pivotField showAll="0"/>
    <pivotField axis="axisRow" showAll="0">
      <items count="3">
        <item x="1"/>
        <item x="0"/>
        <item t="default"/>
      </items>
    </pivotField>
    <pivotField showAll="0"/>
    <pivotField showAll="0"/>
    <pivotField showAll="0"/>
    <pivotField showAll="0"/>
    <pivotField numFmtId="2" showAll="0"/>
    <pivotField numFmtId="14" showAll="0"/>
    <pivotField numFmtId="14" showAll="0"/>
    <pivotField showAll="0"/>
    <pivotField showAll="0"/>
  </pivotFields>
  <rowFields count="1">
    <field x="19"/>
  </rowFields>
  <rowItems count="3">
    <i>
      <x/>
    </i>
    <i>
      <x v="1"/>
    </i>
    <i t="grand">
      <x/>
    </i>
  </rowItems>
  <colItems count="1">
    <i/>
  </colItems>
  <dataFields count="1">
    <dataField name="Sum of TotalSalesWithDiscount" fld="12" baseField="0" baseItem="0" numFmtId="4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69D68D-BA91-44E7-9E19-C63E33A12AE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B15" firstHeaderRow="1" firstDataRow="1" firstDataCol="1"/>
  <pivotFields count="29">
    <pivotField numFmtId="14" showAll="0"/>
    <pivotField showAll="0">
      <items count="13">
        <item x="4"/>
        <item x="0"/>
        <item x="6"/>
        <item x="7"/>
        <item x="2"/>
        <item x="3"/>
        <item x="8"/>
        <item x="10"/>
        <item x="11"/>
        <item x="5"/>
        <item x="9"/>
        <item x="1"/>
        <item t="default"/>
      </items>
    </pivotField>
    <pivotField showAll="0">
      <items count="4">
        <item x="0"/>
        <item x="1"/>
        <item x="2"/>
        <item t="default"/>
      </items>
    </pivotField>
    <pivotField showAll="0"/>
    <pivotField showAll="0">
      <items count="6">
        <item x="3"/>
        <item x="0"/>
        <item x="2"/>
        <item x="1"/>
        <item x="4"/>
        <item t="default"/>
      </items>
    </pivotField>
    <pivotField showAll="0">
      <items count="8">
        <item x="3"/>
        <item x="2"/>
        <item x="0"/>
        <item x="4"/>
        <item x="1"/>
        <item x="6"/>
        <item x="5"/>
        <item t="default"/>
      </items>
    </pivotField>
    <pivotField numFmtId="1" showAll="0"/>
    <pivotField numFmtId="2" showAll="0"/>
    <pivotField showAll="0"/>
    <pivotField showAll="0">
      <items count="3">
        <item x="1"/>
        <item x="0"/>
        <item t="default"/>
      </items>
    </pivotField>
    <pivotField numFmtId="2" showAll="0"/>
    <pivotField axis="axisRow" showAll="0" sortType="ascending">
      <items count="7">
        <item x="2"/>
        <item x="0"/>
        <item x="4"/>
        <item x="3"/>
        <item x="5"/>
        <item x="1"/>
        <item t="default"/>
      </items>
      <autoSortScope>
        <pivotArea dataOnly="0" outline="0" fieldPosition="0">
          <references count="1">
            <reference field="4294967294" count="1" selected="0">
              <x v="0"/>
            </reference>
          </references>
        </pivotArea>
      </autoSortScope>
    </pivotField>
    <pivotField dataField="1" showAll="0"/>
    <pivotField showAll="0"/>
    <pivotField numFmtId="2" showAll="0"/>
    <pivotField numFmtId="2" showAll="0"/>
    <pivotField numFmtId="2" showAll="0"/>
    <pivotField showAll="0"/>
    <pivotField showAll="0"/>
    <pivotField showAll="0"/>
    <pivotField showAll="0"/>
    <pivotField showAll="0"/>
    <pivotField showAll="0"/>
    <pivotField showAll="0"/>
    <pivotField numFmtId="2" showAll="0"/>
    <pivotField numFmtId="14" showAll="0"/>
    <pivotField numFmtId="14" showAll="0"/>
    <pivotField showAll="0"/>
    <pivotField showAll="0"/>
  </pivotFields>
  <rowFields count="1">
    <field x="11"/>
  </rowFields>
  <rowItems count="7">
    <i>
      <x v="2"/>
    </i>
    <i>
      <x v="1"/>
    </i>
    <i>
      <x v="3"/>
    </i>
    <i>
      <x/>
    </i>
    <i>
      <x v="5"/>
    </i>
    <i>
      <x v="4"/>
    </i>
    <i t="grand">
      <x/>
    </i>
  </rowItems>
  <colItems count="1">
    <i/>
  </colItems>
  <dataFields count="1">
    <dataField name="Sum of TotalSalesWithDiscount" fld="12" baseField="0" baseItem="0" numFmtId="44"/>
  </dataFields>
  <formats count="1">
    <format dxfId="17">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F40931-189A-45AB-8BDF-094280BC55A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9">
    <pivotField numFmtId="14" showAll="0"/>
    <pivotField showAll="0">
      <items count="13">
        <item x="4"/>
        <item x="0"/>
        <item x="6"/>
        <item x="7"/>
        <item x="2"/>
        <item x="3"/>
        <item x="8"/>
        <item x="10"/>
        <item x="11"/>
        <item x="5"/>
        <item x="9"/>
        <item x="1"/>
        <item t="default"/>
      </items>
    </pivotField>
    <pivotField showAll="0">
      <items count="4">
        <item x="0"/>
        <item x="1"/>
        <item x="2"/>
        <item t="default"/>
      </items>
    </pivotField>
    <pivotField showAll="0"/>
    <pivotField showAll="0">
      <items count="6">
        <item x="3"/>
        <item x="0"/>
        <item x="2"/>
        <item x="1"/>
        <item x="4"/>
        <item t="default"/>
      </items>
    </pivotField>
    <pivotField showAll="0">
      <items count="8">
        <item x="3"/>
        <item x="2"/>
        <item x="0"/>
        <item x="4"/>
        <item x="1"/>
        <item x="6"/>
        <item x="5"/>
        <item t="default"/>
      </items>
    </pivotField>
    <pivotField numFmtId="1" showAll="0"/>
    <pivotField numFmtId="2" showAll="0"/>
    <pivotField showAll="0"/>
    <pivotField axis="axisRow" showAll="0">
      <items count="3">
        <item x="1"/>
        <item x="0"/>
        <item t="default"/>
      </items>
    </pivotField>
    <pivotField numFmtId="2" showAll="0"/>
    <pivotField showAll="0">
      <items count="7">
        <item x="1"/>
        <item x="5"/>
        <item x="3"/>
        <item x="4"/>
        <item x="0"/>
        <item x="2"/>
        <item t="default"/>
      </items>
    </pivotField>
    <pivotField dataField="1" showAll="0"/>
    <pivotField showAll="0"/>
    <pivotField numFmtId="2" showAll="0"/>
    <pivotField numFmtId="2" showAll="0"/>
    <pivotField numFmtId="2" showAll="0"/>
    <pivotField showAll="0"/>
    <pivotField showAll="0"/>
    <pivotField showAll="0"/>
    <pivotField showAll="0"/>
    <pivotField showAll="0"/>
    <pivotField showAll="0"/>
    <pivotField showAll="0"/>
    <pivotField numFmtId="2" showAll="0"/>
    <pivotField numFmtId="14" showAll="0"/>
    <pivotField numFmtId="14" showAll="0"/>
    <pivotField showAll="0"/>
    <pivotField showAll="0"/>
  </pivotFields>
  <rowFields count="1">
    <field x="9"/>
  </rowFields>
  <rowItems count="3">
    <i>
      <x/>
    </i>
    <i>
      <x v="1"/>
    </i>
    <i t="grand">
      <x/>
    </i>
  </rowItems>
  <colItems count="1">
    <i/>
  </colItems>
  <dataFields count="1">
    <dataField name="Sum of TotalSalesWithDiscount" fld="12" baseField="0" baseItem="0" numFmtId="44"/>
  </dataFields>
  <formats count="1">
    <format dxfId="18">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1"/>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Month" xr10:uid="{7CA77F7F-C51F-4765-B164-3438C59FACFD}" sourceName="OrderMonth">
  <pivotTables>
    <pivotTable tabId="8" name="PivotTable7"/>
    <pivotTable tabId="6" name="PivotTable1"/>
    <pivotTable tabId="6" name="PivotTable10"/>
    <pivotTable tabId="6" name="PivotTable2"/>
    <pivotTable tabId="6" name="PivotTable3"/>
    <pivotTable tabId="6" name="PivotTable4"/>
    <pivotTable tabId="6" name="PivotTable5"/>
    <pivotTable tabId="8" name="PivotTable6"/>
    <pivotTable tabId="8" name="PivotTable8"/>
    <pivotTable tabId="8" name="PivotTable9"/>
    <pivotTable tabId="5" name="PivotTable1"/>
  </pivotTables>
  <data>
    <tabular pivotCacheId="1335730786">
      <items count="12">
        <i x="4" s="1"/>
        <i x="0" s="1"/>
        <i x="6" s="1"/>
        <i x="7" s="1"/>
        <i x="2" s="1"/>
        <i x="3" s="1"/>
        <i x="8" s="1"/>
        <i x="10" s="1"/>
        <i x="11" s="1"/>
        <i x="5" s="1"/>
        <i x="9"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Year" xr10:uid="{098DEE63-6569-4D6E-B765-9334B0D4024B}" sourceName="OrderYear">
  <pivotTables>
    <pivotTable tabId="8" name="PivotTable7"/>
    <pivotTable tabId="6" name="PivotTable1"/>
    <pivotTable tabId="6" name="PivotTable10"/>
    <pivotTable tabId="6" name="PivotTable2"/>
    <pivotTable tabId="6" name="PivotTable3"/>
    <pivotTable tabId="6" name="PivotTable4"/>
    <pivotTable tabId="6" name="PivotTable5"/>
    <pivotTable tabId="8" name="PivotTable6"/>
    <pivotTable tabId="8" name="PivotTable8"/>
    <pivotTable tabId="8" name="PivotTable9"/>
    <pivotTable tabId="5" name="PivotTable1"/>
  </pivotTables>
  <data>
    <tabular pivotCacheId="133573078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68D205-3888-493D-80F7-6E6822968412}" sourceName="Region">
  <pivotTables>
    <pivotTable tabId="8" name="PivotTable7"/>
    <pivotTable tabId="6" name="PivotTable1"/>
    <pivotTable tabId="6" name="PivotTable10"/>
    <pivotTable tabId="6" name="PivotTable2"/>
    <pivotTable tabId="6" name="PivotTable3"/>
    <pivotTable tabId="6" name="PivotTable4"/>
    <pivotTable tabId="6" name="PivotTable5"/>
    <pivotTable tabId="8" name="PivotTable6"/>
    <pivotTable tabId="8" name="PivotTable8"/>
    <pivotTable tabId="8" name="PivotTable9"/>
    <pivotTable tabId="5" name="PivotTable1"/>
  </pivotTables>
  <data>
    <tabular pivotCacheId="1335730786">
      <items count="5">
        <i x="3" s="1"/>
        <i x="0"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B3A681-0E6B-4763-882C-AE441B9C1C7B}" sourceName="Product">
  <pivotTables>
    <pivotTable tabId="8" name="PivotTable7"/>
    <pivotTable tabId="6" name="PivotTable1"/>
    <pivotTable tabId="6" name="PivotTable10"/>
    <pivotTable tabId="6" name="PivotTable2"/>
    <pivotTable tabId="6" name="PivotTable3"/>
    <pivotTable tabId="6" name="PivotTable4"/>
    <pivotTable tabId="6" name="PivotTable5"/>
    <pivotTable tabId="8" name="PivotTable6"/>
    <pivotTable tabId="8" name="PivotTable8"/>
    <pivotTable tabId="8" name="PivotTable9"/>
    <pivotTable tabId="5" name="PivotTable1"/>
  </pivotTables>
  <data>
    <tabular pivotCacheId="1335730786">
      <items count="7">
        <i x="3" s="1"/>
        <i x="2" s="1"/>
        <i x="0" s="1"/>
        <i x="4" s="1"/>
        <i x="1" s="1"/>
        <i x="6"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7519D4CA-02F5-4527-AE0C-E3435266C861}" sourceName="CustomerType">
  <pivotTables>
    <pivotTable tabId="8" name="PivotTable7"/>
    <pivotTable tabId="6" name="PivotTable1"/>
    <pivotTable tabId="6" name="PivotTable10"/>
    <pivotTable tabId="6" name="PivotTable2"/>
    <pivotTable tabId="6" name="PivotTable3"/>
    <pivotTable tabId="6" name="PivotTable4"/>
    <pivotTable tabId="6" name="PivotTable5"/>
    <pivotTable tabId="8" name="PivotTable6"/>
    <pivotTable tabId="8" name="PivotTable8"/>
    <pivotTable tabId="8" name="PivotTable9"/>
    <pivotTable tabId="5" name="PivotTable1"/>
  </pivotTables>
  <data>
    <tabular pivotCacheId="1335730786">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BEE0C8C-57E6-4FF9-B5D3-264CB3102526}" sourceName="Salesperson">
  <pivotTables>
    <pivotTable tabId="8" name="PivotTable7"/>
    <pivotTable tabId="6" name="PivotTable1"/>
    <pivotTable tabId="6" name="PivotTable10"/>
    <pivotTable tabId="6" name="PivotTable2"/>
    <pivotTable tabId="6" name="PivotTable3"/>
    <pivotTable tabId="6" name="PivotTable4"/>
    <pivotTable tabId="6" name="PivotTable5"/>
    <pivotTable tabId="8" name="PivotTable6"/>
    <pivotTable tabId="8" name="PivotTable8"/>
    <pivotTable tabId="8" name="PivotTable9"/>
    <pivotTable tabId="5" name="PivotTable1"/>
  </pivotTables>
  <data>
    <tabular pivotCacheId="1335730786">
      <items count="6">
        <i x="1" s="1"/>
        <i x="5"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Month" xr10:uid="{7DBA6C35-BDA0-48BA-ABAE-C7486531D881}" cache="Slicer_OrderMonth" caption="OrderMonth" rowHeight="234950"/>
  <slicer name="OrderYear" xr10:uid="{124A895F-385B-4F9B-B1D1-146ECA6B706A}" cache="Slicer_OrderYear" caption="OrderYear" rowHeight="234950"/>
  <slicer name="Region" xr10:uid="{3C17F89E-4AFC-4E3D-92E7-CCB9EA8AB7CE}" cache="Slicer_Region" caption="Region" rowHeight="234950"/>
  <slicer name="Product" xr10:uid="{0BC41E0E-29D6-4F85-81D1-52AF4BA2694F}" cache="Slicer_Product" caption="Product" rowHeight="234950"/>
  <slicer name="CustomerType" xr10:uid="{436AD7E1-3219-4C37-86DC-ED8AC61EF318}" cache="Slicer_CustomerType" caption="CustomerType" rowHeight="234950"/>
  <slicer name="Salesperson" xr10:uid="{B4064877-AD86-4C8E-AF34-6D4FBFC6ACF8}"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Month 1" xr10:uid="{6402C3F5-A5EE-4BF7-AA7D-05140A4AA6D0}" cache="Slicer_OrderMonth" caption="OrderMonth" columnCount="2" style="Sales" rowHeight="234950"/>
  <slicer name="OrderYear 1" xr10:uid="{2D17FFC1-BBF8-4AE1-BAC9-E9A0F49F9EF8}" cache="Slicer_OrderYear" caption="OrderYear" columnCount="3" style="Sales" rowHeight="234950"/>
  <slicer name="Region 1" xr10:uid="{EF16A95A-E432-44B7-A793-84E319580767}" cache="Slicer_Region" caption="Region" style="Sales" rowHeight="234950"/>
  <slicer name="Product 1" xr10:uid="{3159C706-42A5-4872-97D7-8F865A12663B}" cache="Slicer_Product" caption="Product" columnCount="2" style="Sales" rowHeight="234950"/>
  <slicer name="CustomerType 1" xr10:uid="{554E0F4D-855B-430B-8962-3788BA3315DC}" cache="Slicer_CustomerType" caption="CustomerType" columnCount="2" style="Sales" rowHeight="234950"/>
  <slicer name="Salesperson 1" xr10:uid="{BCAFAAB7-B843-49D3-8652-C7E056C19F84}" cache="Slicer_Salesperson" caption="Salesperson" style="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1856F2-4549-436E-AD0D-FD66A2A05DC2}" name="CleanedTable" displayName="CleanedTable" ref="A1:AC1501" totalsRowShown="0" headerRowDxfId="14" headerRowBorderDxfId="13" tableBorderDxfId="12">
  <autoFilter ref="A1:AC1501" xr:uid="{501856F2-4549-436E-AD0D-FD66A2A05DC2}"/>
  <tableColumns count="29">
    <tableColumn id="1" xr3:uid="{7BC465E3-F434-469E-BC07-4AA363601F3E}" name="OrderDate" dataDxfId="11"/>
    <tableColumn id="22" xr3:uid="{EE414A87-9C9B-4B43-B72D-866491A6631C}" name="OrderMonth" dataDxfId="10">
      <calculatedColumnFormula>TEXT(CleanedTable[[#This Row],[OrderDate]],"mmm")</calculatedColumnFormula>
    </tableColumn>
    <tableColumn id="23" xr3:uid="{9A015060-28F3-41E3-A26A-CC3DDC2B6F23}" name="OrderYear" dataDxfId="9">
      <calculatedColumnFormula>TEXT(CleanedTable[[#This Row],[OrderDate]],"yyyy")</calculatedColumnFormula>
    </tableColumn>
    <tableColumn id="24" xr3:uid="{A4EE47DA-82AD-4464-B20E-290CC80A6929}" name="OderMonth/Year" dataDxfId="0">
      <calculatedColumnFormula>TEXT(CleanedTable[[#This Row],[OrderDate]],"mmm yyyy")</calculatedColumnFormula>
    </tableColumn>
    <tableColumn id="2" xr3:uid="{0604FE19-7FD2-4CA7-A095-6D40844688AE}" name="Region"/>
    <tableColumn id="3" xr3:uid="{11B21BCD-CB39-4E5C-9DFF-CFA4F4E2C6C0}" name="Product"/>
    <tableColumn id="4" xr3:uid="{55473355-FD26-4DCF-96EE-2022213C392A}" name="Quantity" dataDxfId="8"/>
    <tableColumn id="5" xr3:uid="{8962FE97-0C58-480E-B348-62D39066EFA8}" name="UnitPrice" dataDxfId="7" dataCellStyle="Currency"/>
    <tableColumn id="6" xr3:uid="{BB5C0E7C-1B33-4C1F-8E65-7059B61C8B44}" name="StoreLocation"/>
    <tableColumn id="7" xr3:uid="{9ECC5973-D277-4569-8438-45324B1BE07D}" name="CustomerType"/>
    <tableColumn id="8" xr3:uid="{911331C4-A40E-4FC2-B711-CBA6EEE773E7}" name="Discount" dataDxfId="6"/>
    <tableColumn id="9" xr3:uid="{8A092446-8CBA-41E8-87B0-2E55CA234A18}" name="Salesperson"/>
    <tableColumn id="29" xr3:uid="{1306C69B-78BA-4E8D-9433-1FF5D979AFC3}" name="TotalSalesWithDiscount"/>
    <tableColumn id="31" xr3:uid="{E2DA6C06-5218-4654-9E9C-B1BBAC9C0D47}" name="Cost"/>
    <tableColumn id="30" xr3:uid="{6424F8F3-0D1A-4323-81B0-5E0D0283519E}" name="Profit"/>
    <tableColumn id="32" xr3:uid="{0BF60CEE-5738-49A6-A317-5653DEEA912F}" name="ProfitMargin" dataDxfId="5"/>
    <tableColumn id="10" xr3:uid="{5E3B3F53-8221-42AD-BACF-C8D086CB7A61}" name="TotalSales" dataDxfId="4" dataCellStyle="Currency"/>
    <tableColumn id="11" xr3:uid="{EFADF527-E05F-4E09-9355-54F088A05A5B}" name="PaymentMethod"/>
    <tableColumn id="12" xr3:uid="{C573AEA6-ACCA-455B-857A-D3BE946E3271}" name="Promotion"/>
    <tableColumn id="20" xr3:uid="{CE94C1D3-3858-418E-826E-1373B29AB8C3}" name="PromotionFlag"/>
    <tableColumn id="13" xr3:uid="{0FF3B6F0-88F6-4C08-BD76-416A298053DC}" name="Returned"/>
    <tableColumn id="21" xr3:uid="{8C0982B3-59AA-4C3B-B9C3-CADE98E6D377}" name="ReturnedFlag">
      <calculatedColumnFormula>IF(CleanedTable[[#This Row],[Returned]] = 0,"NO","Yes")</calculatedColumnFormula>
    </tableColumn>
    <tableColumn id="14" xr3:uid="{A5BAB8A4-8253-4F41-B91D-490A37B5D3B9}" name="OrderID"/>
    <tableColumn id="15" xr3:uid="{B1FC5D8D-48DF-42B2-8CBF-6B2B2C70F35F}" name="CustomerName"/>
    <tableColumn id="16" xr3:uid="{1F79277E-58DE-4A45-A17B-D35B4A75254E}" name="ShippingCost" dataDxfId="3"/>
    <tableColumn id="17" xr3:uid="{7529131B-DB05-4656-84BD-EDCE0E9438DD}" name="OrderDate2" dataDxfId="2"/>
    <tableColumn id="18" xr3:uid="{8E6942F1-64E7-47CC-A926-8EE9B91384CF}" name="DeliveryDate" dataDxfId="1"/>
    <tableColumn id="19" xr3:uid="{D5817D63-0153-4FA9-9298-3D323CF9CE34}" name="RegionManager"/>
    <tableColumn id="27" xr3:uid="{5A8B30AD-802D-4A31-942D-63AC001B1A89}" name="DeliveryDay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5118-4910-48E0-9C14-31FD2B06AA23}">
  <dimension ref="A3:F6"/>
  <sheetViews>
    <sheetView workbookViewId="0">
      <selection activeCell="D6" sqref="D6"/>
    </sheetView>
  </sheetViews>
  <sheetFormatPr defaultRowHeight="14.4" x14ac:dyDescent="0.3"/>
  <cols>
    <col min="1" max="1" width="27.6640625" bestFit="1" customWidth="1"/>
    <col min="2" max="2" width="13.6640625" bestFit="1" customWidth="1"/>
    <col min="3" max="3" width="21.5546875" bestFit="1" customWidth="1"/>
    <col min="4" max="4" width="15.44140625" bestFit="1" customWidth="1"/>
    <col min="5" max="5" width="18.5546875" bestFit="1" customWidth="1"/>
    <col min="6" max="6" width="10.109375" bestFit="1" customWidth="1"/>
  </cols>
  <sheetData>
    <row r="3" spans="1:6" x14ac:dyDescent="0.3">
      <c r="A3" t="s">
        <v>2941</v>
      </c>
      <c r="B3" t="s">
        <v>2942</v>
      </c>
      <c r="C3" t="s">
        <v>2944</v>
      </c>
      <c r="D3" t="s">
        <v>2943</v>
      </c>
      <c r="E3" t="s">
        <v>2946</v>
      </c>
      <c r="F3" t="s">
        <v>2945</v>
      </c>
    </row>
    <row r="4" spans="1:6" x14ac:dyDescent="0.3">
      <c r="A4" s="14">
        <v>4379992.4284999985</v>
      </c>
      <c r="B4" s="14">
        <v>1501995.7245000014</v>
      </c>
      <c r="C4" s="13">
        <v>0.30863963633980457</v>
      </c>
      <c r="D4">
        <v>1500</v>
      </c>
      <c r="E4" s="13">
        <v>0.248</v>
      </c>
      <c r="F4" s="6">
        <f>GETPIVOTDATA("Sum of TotalSalesWithDiscount",$A$3)/GETPIVOTDATA("Count of OrderID",$A$3)</f>
        <v>2919.9949523333325</v>
      </c>
    </row>
    <row r="6" spans="1:6" x14ac:dyDescent="0.3">
      <c r="A6" s="6">
        <f>GETPIVOTDATA("Sum of TotalSalesWithDiscount",$A$3)</f>
        <v>4379992.4284999985</v>
      </c>
      <c r="B6" s="6">
        <f>GETPIVOTDATA("Sum of Profit",$A$3)</f>
        <v>1501995.7245000014</v>
      </c>
      <c r="C6" s="18">
        <f>GETPIVOTDATA("Average of ProfitMargin",$A$3)</f>
        <v>0.30863963633980457</v>
      </c>
      <c r="D6">
        <f>GETPIVOTDATA("Count of OrderID",$A$3)</f>
        <v>1500</v>
      </c>
      <c r="E6" s="18">
        <f>GETPIVOTDATA("Average of Returned",$A$3)</f>
        <v>0.248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F9098-1289-4F8A-BDB3-7B06C37806E1}">
  <dimension ref="A2:B89"/>
  <sheetViews>
    <sheetView tabSelected="1" workbookViewId="0">
      <selection activeCell="A41" sqref="A41"/>
    </sheetView>
  </sheetViews>
  <sheetFormatPr defaultRowHeight="14.4" x14ac:dyDescent="0.3"/>
  <cols>
    <col min="1" max="1" width="12.5546875" bestFit="1" customWidth="1"/>
    <col min="2" max="2" width="27.6640625" bestFit="1" customWidth="1"/>
    <col min="3" max="3" width="14.109375" bestFit="1" customWidth="1"/>
  </cols>
  <sheetData>
    <row r="2" spans="1:2" x14ac:dyDescent="0.3">
      <c r="A2" t="s">
        <v>2962</v>
      </c>
    </row>
    <row r="3" spans="1:2" ht="43.2" x14ac:dyDescent="0.3">
      <c r="A3" s="15" t="s">
        <v>2947</v>
      </c>
      <c r="B3" s="17" t="s">
        <v>2941</v>
      </c>
    </row>
    <row r="4" spans="1:2" x14ac:dyDescent="0.3">
      <c r="A4" s="16" t="s">
        <v>2948</v>
      </c>
      <c r="B4" s="14">
        <v>498358.50149999995</v>
      </c>
    </row>
    <row r="5" spans="1:2" x14ac:dyDescent="0.3">
      <c r="A5" s="16" t="s">
        <v>2949</v>
      </c>
      <c r="B5" s="14">
        <v>415057.81349999999</v>
      </c>
    </row>
    <row r="6" spans="1:2" x14ac:dyDescent="0.3">
      <c r="A6" s="16" t="s">
        <v>2950</v>
      </c>
      <c r="B6" s="14">
        <v>532090.95349999995</v>
      </c>
    </row>
    <row r="7" spans="1:2" x14ac:dyDescent="0.3">
      <c r="A7" s="16" t="s">
        <v>2951</v>
      </c>
      <c r="B7" s="14">
        <v>443318.72650000016</v>
      </c>
    </row>
    <row r="8" spans="1:2" x14ac:dyDescent="0.3">
      <c r="A8" s="16" t="s">
        <v>2952</v>
      </c>
      <c r="B8" s="14">
        <v>402408.02549999999</v>
      </c>
    </row>
    <row r="9" spans="1:2" x14ac:dyDescent="0.3">
      <c r="A9" s="16" t="s">
        <v>2953</v>
      </c>
      <c r="B9" s="14">
        <v>434261.66899999999</v>
      </c>
    </row>
    <row r="10" spans="1:2" x14ac:dyDescent="0.3">
      <c r="A10" s="16" t="s">
        <v>2954</v>
      </c>
      <c r="B10" s="14">
        <v>280050.04749999981</v>
      </c>
    </row>
    <row r="11" spans="1:2" x14ac:dyDescent="0.3">
      <c r="A11" s="16" t="s">
        <v>2955</v>
      </c>
      <c r="B11" s="14">
        <v>289639.00349999999</v>
      </c>
    </row>
    <row r="12" spans="1:2" x14ac:dyDescent="0.3">
      <c r="A12" s="16" t="s">
        <v>2956</v>
      </c>
      <c r="B12" s="14">
        <v>282114.64899999998</v>
      </c>
    </row>
    <row r="13" spans="1:2" x14ac:dyDescent="0.3">
      <c r="A13" s="16" t="s">
        <v>2957</v>
      </c>
      <c r="B13" s="14">
        <v>256612.89699999997</v>
      </c>
    </row>
    <row r="14" spans="1:2" x14ac:dyDescent="0.3">
      <c r="A14" s="16" t="s">
        <v>2958</v>
      </c>
      <c r="B14" s="14">
        <v>283330.62000000005</v>
      </c>
    </row>
    <row r="15" spans="1:2" x14ac:dyDescent="0.3">
      <c r="A15" s="16" t="s">
        <v>2959</v>
      </c>
      <c r="B15" s="14">
        <v>262749.522</v>
      </c>
    </row>
    <row r="16" spans="1:2" x14ac:dyDescent="0.3">
      <c r="A16" s="16" t="s">
        <v>2960</v>
      </c>
      <c r="B16" s="14">
        <v>4379992.4284999995</v>
      </c>
    </row>
    <row r="17" spans="1:2" x14ac:dyDescent="0.3">
      <c r="A17" s="16" t="s">
        <v>2961</v>
      </c>
    </row>
    <row r="18" spans="1:2" x14ac:dyDescent="0.3">
      <c r="A18" s="15" t="s">
        <v>2947</v>
      </c>
      <c r="B18" t="s">
        <v>2942</v>
      </c>
    </row>
    <row r="19" spans="1:2" x14ac:dyDescent="0.3">
      <c r="A19" s="16" t="s">
        <v>2948</v>
      </c>
      <c r="B19" s="14">
        <v>173743.93150000018</v>
      </c>
    </row>
    <row r="20" spans="1:2" x14ac:dyDescent="0.3">
      <c r="A20" s="16" t="s">
        <v>2949</v>
      </c>
      <c r="B20" s="14">
        <v>140292.54749999996</v>
      </c>
    </row>
    <row r="21" spans="1:2" x14ac:dyDescent="0.3">
      <c r="A21" s="16" t="s">
        <v>2950</v>
      </c>
      <c r="B21" s="14">
        <v>179228.27150000015</v>
      </c>
    </row>
    <row r="22" spans="1:2" x14ac:dyDescent="0.3">
      <c r="A22" s="16" t="s">
        <v>2951</v>
      </c>
      <c r="B22" s="14">
        <v>152955.2525</v>
      </c>
    </row>
    <row r="23" spans="1:2" x14ac:dyDescent="0.3">
      <c r="A23" s="16" t="s">
        <v>2952</v>
      </c>
      <c r="B23" s="14">
        <v>136595.00150000004</v>
      </c>
    </row>
    <row r="24" spans="1:2" x14ac:dyDescent="0.3">
      <c r="A24" s="16" t="s">
        <v>2953</v>
      </c>
      <c r="B24" s="14">
        <v>148571.09300000002</v>
      </c>
    </row>
    <row r="25" spans="1:2" x14ac:dyDescent="0.3">
      <c r="A25" s="16" t="s">
        <v>2954</v>
      </c>
      <c r="B25" s="14">
        <v>96027.153500000015</v>
      </c>
    </row>
    <row r="26" spans="1:2" x14ac:dyDescent="0.3">
      <c r="A26" s="16" t="s">
        <v>2955</v>
      </c>
      <c r="B26" s="14">
        <v>99665.989500000025</v>
      </c>
    </row>
    <row r="27" spans="1:2" x14ac:dyDescent="0.3">
      <c r="A27" s="16" t="s">
        <v>2956</v>
      </c>
      <c r="B27" s="14">
        <v>97767.727000000028</v>
      </c>
    </row>
    <row r="28" spans="1:2" x14ac:dyDescent="0.3">
      <c r="A28" s="16" t="s">
        <v>2957</v>
      </c>
      <c r="B28" s="14">
        <v>87760.493000000002</v>
      </c>
    </row>
    <row r="29" spans="1:2" x14ac:dyDescent="0.3">
      <c r="A29" s="16" t="s">
        <v>2958</v>
      </c>
      <c r="B29" s="14">
        <v>98094.20600000002</v>
      </c>
    </row>
    <row r="30" spans="1:2" x14ac:dyDescent="0.3">
      <c r="A30" s="16" t="s">
        <v>2959</v>
      </c>
      <c r="B30" s="14">
        <v>91294.058000000019</v>
      </c>
    </row>
    <row r="31" spans="1:2" x14ac:dyDescent="0.3">
      <c r="A31" s="16" t="s">
        <v>2960</v>
      </c>
      <c r="B31" s="14">
        <v>1501995.7245000002</v>
      </c>
    </row>
    <row r="32" spans="1:2" x14ac:dyDescent="0.3">
      <c r="A32" s="16" t="s">
        <v>2976</v>
      </c>
    </row>
    <row r="33" spans="1:2" x14ac:dyDescent="0.3">
      <c r="A33" s="15" t="s">
        <v>2947</v>
      </c>
      <c r="B33" t="s">
        <v>2941</v>
      </c>
    </row>
    <row r="34" spans="1:2" x14ac:dyDescent="0.3">
      <c r="A34" s="16" t="s">
        <v>20</v>
      </c>
      <c r="B34" s="14">
        <v>827768.18699999992</v>
      </c>
    </row>
    <row r="35" spans="1:2" x14ac:dyDescent="0.3">
      <c r="A35" s="16" t="s">
        <v>22</v>
      </c>
      <c r="B35" s="14">
        <v>847153.68450000032</v>
      </c>
    </row>
    <row r="36" spans="1:2" x14ac:dyDescent="0.3">
      <c r="A36" s="16" t="s">
        <v>23</v>
      </c>
      <c r="B36" s="14">
        <v>853478.85900000017</v>
      </c>
    </row>
    <row r="37" spans="1:2" x14ac:dyDescent="0.3">
      <c r="A37" s="16" t="s">
        <v>19</v>
      </c>
      <c r="B37" s="14">
        <v>883633.71800000104</v>
      </c>
    </row>
    <row r="38" spans="1:2" x14ac:dyDescent="0.3">
      <c r="A38" s="16" t="s">
        <v>21</v>
      </c>
      <c r="B38" s="14">
        <v>967957.98000000068</v>
      </c>
    </row>
    <row r="39" spans="1:2" x14ac:dyDescent="0.3">
      <c r="A39" s="16" t="s">
        <v>2960</v>
      </c>
      <c r="B39" s="14">
        <v>4379992.4285000023</v>
      </c>
    </row>
    <row r="40" spans="1:2" x14ac:dyDescent="0.3">
      <c r="A40" s="16"/>
    </row>
    <row r="41" spans="1:2" x14ac:dyDescent="0.3">
      <c r="A41" s="14" t="e" vm="1">
        <v>#VALUE!</v>
      </c>
    </row>
    <row r="48" spans="1:2" x14ac:dyDescent="0.3">
      <c r="A48" s="16" t="s">
        <v>2977</v>
      </c>
    </row>
    <row r="49" spans="1:2" x14ac:dyDescent="0.3">
      <c r="A49" s="15" t="s">
        <v>2947</v>
      </c>
      <c r="B49" t="s">
        <v>2942</v>
      </c>
    </row>
    <row r="50" spans="1:2" x14ac:dyDescent="0.3">
      <c r="A50" s="16" t="s">
        <v>29</v>
      </c>
      <c r="B50" s="14">
        <v>236324.63750000016</v>
      </c>
    </row>
    <row r="51" spans="1:2" x14ac:dyDescent="0.3">
      <c r="A51" s="16" t="s">
        <v>24</v>
      </c>
      <c r="B51" s="14">
        <v>235698.79550000004</v>
      </c>
    </row>
    <row r="52" spans="1:2" x14ac:dyDescent="0.3">
      <c r="A52" s="16" t="s">
        <v>30</v>
      </c>
      <c r="B52" s="14">
        <v>232417.24950000003</v>
      </c>
    </row>
    <row r="53" spans="1:2" x14ac:dyDescent="0.3">
      <c r="A53" s="16" t="s">
        <v>28</v>
      </c>
      <c r="B53" s="14">
        <v>223635.4425</v>
      </c>
    </row>
    <row r="54" spans="1:2" x14ac:dyDescent="0.3">
      <c r="A54" s="16" t="s">
        <v>27</v>
      </c>
      <c r="B54" s="14">
        <v>215627.78600000014</v>
      </c>
    </row>
    <row r="55" spans="1:2" x14ac:dyDescent="0.3">
      <c r="A55" s="16" t="s">
        <v>26</v>
      </c>
      <c r="B55" s="14">
        <v>188387.56050000008</v>
      </c>
    </row>
    <row r="56" spans="1:2" x14ac:dyDescent="0.3">
      <c r="A56" s="16" t="s">
        <v>25</v>
      </c>
      <c r="B56" s="14">
        <v>169904.25300000006</v>
      </c>
    </row>
    <row r="57" spans="1:2" x14ac:dyDescent="0.3">
      <c r="A57" s="16" t="s">
        <v>2960</v>
      </c>
      <c r="B57" s="14">
        <v>1501995.7245000005</v>
      </c>
    </row>
    <row r="58" spans="1:2" x14ac:dyDescent="0.3">
      <c r="A58" s="15" t="s">
        <v>2947</v>
      </c>
      <c r="B58" t="s">
        <v>2942</v>
      </c>
    </row>
    <row r="59" spans="1:2" x14ac:dyDescent="0.3">
      <c r="A59" s="16" t="s">
        <v>2975</v>
      </c>
      <c r="B59" s="14">
        <v>45267.6895</v>
      </c>
    </row>
    <row r="60" spans="1:2" x14ac:dyDescent="0.3">
      <c r="A60" s="16" t="s">
        <v>2981</v>
      </c>
      <c r="B60" s="14">
        <v>52500.037499999991</v>
      </c>
    </row>
    <row r="61" spans="1:2" x14ac:dyDescent="0.3">
      <c r="A61" s="16" t="s">
        <v>2974</v>
      </c>
      <c r="B61" s="14">
        <v>61314.278499999993</v>
      </c>
    </row>
    <row r="62" spans="1:2" x14ac:dyDescent="0.3">
      <c r="A62" s="16" t="s">
        <v>2982</v>
      </c>
      <c r="B62" s="14">
        <v>26446.214499999995</v>
      </c>
    </row>
    <row r="63" spans="1:2" x14ac:dyDescent="0.3">
      <c r="A63" s="16" t="s">
        <v>2973</v>
      </c>
      <c r="B63" s="14">
        <v>48791.404999999999</v>
      </c>
    </row>
    <row r="64" spans="1:2" x14ac:dyDescent="0.3">
      <c r="A64" s="16" t="s">
        <v>2983</v>
      </c>
      <c r="B64" s="14">
        <v>49302.800999999992</v>
      </c>
    </row>
    <row r="65" spans="1:2" x14ac:dyDescent="0.3">
      <c r="A65" s="16" t="s">
        <v>2984</v>
      </c>
      <c r="B65" s="14">
        <v>50819.759000000005</v>
      </c>
    </row>
    <row r="66" spans="1:2" x14ac:dyDescent="0.3">
      <c r="A66" s="16" t="s">
        <v>2972</v>
      </c>
      <c r="B66" s="14">
        <v>45836.764999999999</v>
      </c>
    </row>
    <row r="67" spans="1:2" x14ac:dyDescent="0.3">
      <c r="A67" s="16" t="s">
        <v>2985</v>
      </c>
      <c r="B67" s="14">
        <v>39938.477500000008</v>
      </c>
    </row>
    <row r="68" spans="1:2" x14ac:dyDescent="0.3">
      <c r="A68" s="16" t="s">
        <v>2986</v>
      </c>
      <c r="B68" s="14">
        <v>62609.130999999994</v>
      </c>
    </row>
    <row r="69" spans="1:2" x14ac:dyDescent="0.3">
      <c r="A69" s="16" t="s">
        <v>2963</v>
      </c>
      <c r="B69" s="14">
        <v>48623.587500000009</v>
      </c>
    </row>
    <row r="70" spans="1:2" x14ac:dyDescent="0.3">
      <c r="A70" s="16" t="s">
        <v>2987</v>
      </c>
      <c r="B70" s="14">
        <v>67995.553</v>
      </c>
    </row>
    <row r="71" spans="1:2" x14ac:dyDescent="0.3">
      <c r="A71" s="16" t="s">
        <v>2988</v>
      </c>
      <c r="B71" s="14">
        <v>46915.729499999994</v>
      </c>
    </row>
    <row r="72" spans="1:2" x14ac:dyDescent="0.3">
      <c r="A72" s="16" t="s">
        <v>2971</v>
      </c>
      <c r="B72" s="14">
        <v>54797.492999999995</v>
      </c>
    </row>
    <row r="73" spans="1:2" x14ac:dyDescent="0.3">
      <c r="A73" s="16" t="s">
        <v>2989</v>
      </c>
      <c r="B73" s="14">
        <v>46857.870500000019</v>
      </c>
    </row>
    <row r="74" spans="1:2" x14ac:dyDescent="0.3">
      <c r="A74" s="16" t="s">
        <v>2970</v>
      </c>
      <c r="B74" s="14">
        <v>47176.911499999995</v>
      </c>
    </row>
    <row r="75" spans="1:2" x14ac:dyDescent="0.3">
      <c r="A75" s="16" t="s">
        <v>2990</v>
      </c>
      <c r="B75" s="14">
        <v>48850.241999999998</v>
      </c>
    </row>
    <row r="76" spans="1:2" x14ac:dyDescent="0.3">
      <c r="A76" s="16" t="s">
        <v>2991</v>
      </c>
      <c r="B76" s="14">
        <v>60124.786999999997</v>
      </c>
    </row>
    <row r="77" spans="1:2" x14ac:dyDescent="0.3">
      <c r="A77" s="16" t="s">
        <v>2969</v>
      </c>
      <c r="B77" s="14">
        <v>59115.1175</v>
      </c>
    </row>
    <row r="78" spans="1:2" x14ac:dyDescent="0.3">
      <c r="A78" s="16" t="s">
        <v>2992</v>
      </c>
      <c r="B78" s="14">
        <v>54504.027000000009</v>
      </c>
    </row>
    <row r="79" spans="1:2" x14ac:dyDescent="0.3">
      <c r="A79" s="16" t="s">
        <v>2993</v>
      </c>
      <c r="B79" s="14">
        <v>45187.101000000017</v>
      </c>
    </row>
    <row r="80" spans="1:2" x14ac:dyDescent="0.3">
      <c r="A80" s="16" t="s">
        <v>2968</v>
      </c>
      <c r="B80" s="14">
        <v>46705.338499999983</v>
      </c>
    </row>
    <row r="81" spans="1:2" x14ac:dyDescent="0.3">
      <c r="A81" s="16" t="s">
        <v>2994</v>
      </c>
      <c r="B81" s="14">
        <v>48400.107999999993</v>
      </c>
    </row>
    <row r="82" spans="1:2" x14ac:dyDescent="0.3">
      <c r="A82" s="16" t="s">
        <v>2967</v>
      </c>
      <c r="B82" s="14">
        <v>50439.94249999999</v>
      </c>
    </row>
    <row r="83" spans="1:2" x14ac:dyDescent="0.3">
      <c r="A83" s="16" t="s">
        <v>2995</v>
      </c>
      <c r="B83" s="14">
        <v>40854.1155</v>
      </c>
    </row>
    <row r="84" spans="1:2" x14ac:dyDescent="0.3">
      <c r="A84" s="16" t="s">
        <v>2966</v>
      </c>
      <c r="B84" s="14">
        <v>44213.947999999997</v>
      </c>
    </row>
    <row r="85" spans="1:2" x14ac:dyDescent="0.3">
      <c r="A85" s="16" t="s">
        <v>2996</v>
      </c>
      <c r="B85" s="14">
        <v>55452.041499999999</v>
      </c>
    </row>
    <row r="86" spans="1:2" x14ac:dyDescent="0.3">
      <c r="A86" s="16" t="s">
        <v>2997</v>
      </c>
      <c r="B86" s="14">
        <v>44257.868500000004</v>
      </c>
    </row>
    <row r="87" spans="1:2" x14ac:dyDescent="0.3">
      <c r="A87" s="16" t="s">
        <v>2965</v>
      </c>
      <c r="B87" s="14">
        <v>56726.847500000003</v>
      </c>
    </row>
    <row r="88" spans="1:2" x14ac:dyDescent="0.3">
      <c r="A88" s="16" t="s">
        <v>2998</v>
      </c>
      <c r="B88" s="14">
        <v>51970.536499999995</v>
      </c>
    </row>
    <row r="89" spans="1:2" x14ac:dyDescent="0.3">
      <c r="A89" s="16" t="s">
        <v>2960</v>
      </c>
      <c r="B89" s="14">
        <v>1501995.7245</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E9C3-E187-4EA7-A523-33E8BE790191}">
  <dimension ref="A2:B25"/>
  <sheetViews>
    <sheetView topLeftCell="A3" workbookViewId="0">
      <selection activeCell="A11" sqref="A11"/>
    </sheetView>
  </sheetViews>
  <sheetFormatPr defaultRowHeight="14.4" x14ac:dyDescent="0.3"/>
  <cols>
    <col min="1" max="1" width="12.5546875" bestFit="1" customWidth="1"/>
    <col min="2" max="2" width="27.6640625" bestFit="1" customWidth="1"/>
    <col min="3" max="3" width="16.6640625" bestFit="1" customWidth="1"/>
  </cols>
  <sheetData>
    <row r="2" spans="1:2" x14ac:dyDescent="0.3">
      <c r="A2" t="s">
        <v>2978</v>
      </c>
    </row>
    <row r="3" spans="1:2" x14ac:dyDescent="0.3">
      <c r="A3" s="15" t="s">
        <v>2947</v>
      </c>
      <c r="B3" t="s">
        <v>2941</v>
      </c>
    </row>
    <row r="4" spans="1:2" x14ac:dyDescent="0.3">
      <c r="A4" s="16" t="s">
        <v>36</v>
      </c>
      <c r="B4" s="14">
        <v>2195525.5929999994</v>
      </c>
    </row>
    <row r="5" spans="1:2" x14ac:dyDescent="0.3">
      <c r="A5" s="16" t="s">
        <v>35</v>
      </c>
      <c r="B5" s="14">
        <v>2184466.8355000019</v>
      </c>
    </row>
    <row r="6" spans="1:2" x14ac:dyDescent="0.3">
      <c r="A6" s="16" t="s">
        <v>2960</v>
      </c>
      <c r="B6" s="14">
        <v>4379992.4285000013</v>
      </c>
    </row>
    <row r="7" spans="1:2" x14ac:dyDescent="0.3">
      <c r="A7" s="16" t="s">
        <v>2979</v>
      </c>
    </row>
    <row r="8" spans="1:2" x14ac:dyDescent="0.3">
      <c r="A8" s="15" t="s">
        <v>2947</v>
      </c>
      <c r="B8" t="s">
        <v>2941</v>
      </c>
    </row>
    <row r="9" spans="1:2" x14ac:dyDescent="0.3">
      <c r="A9" s="16" t="s">
        <v>41</v>
      </c>
      <c r="B9" s="14">
        <v>676568.2495000005</v>
      </c>
    </row>
    <row r="10" spans="1:2" x14ac:dyDescent="0.3">
      <c r="A10" s="16" t="s">
        <v>37</v>
      </c>
      <c r="B10" s="14">
        <v>698669.57950000011</v>
      </c>
    </row>
    <row r="11" spans="1:2" x14ac:dyDescent="0.3">
      <c r="A11" s="16" t="s">
        <v>40</v>
      </c>
      <c r="B11" s="14">
        <v>707166.7160000006</v>
      </c>
    </row>
    <row r="12" spans="1:2" x14ac:dyDescent="0.3">
      <c r="A12" s="16" t="s">
        <v>39</v>
      </c>
      <c r="B12" s="14">
        <v>714641.52200000035</v>
      </c>
    </row>
    <row r="13" spans="1:2" x14ac:dyDescent="0.3">
      <c r="A13" s="16" t="s">
        <v>38</v>
      </c>
      <c r="B13" s="14">
        <v>786165.8400000002</v>
      </c>
    </row>
    <row r="14" spans="1:2" x14ac:dyDescent="0.3">
      <c r="A14" s="16" t="s">
        <v>42</v>
      </c>
      <c r="B14" s="14">
        <v>796780.52149999957</v>
      </c>
    </row>
    <row r="15" spans="1:2" x14ac:dyDescent="0.3">
      <c r="A15" s="16" t="s">
        <v>2960</v>
      </c>
      <c r="B15" s="14">
        <v>4379992.4285000004</v>
      </c>
    </row>
    <row r="17" spans="1:2" x14ac:dyDescent="0.3">
      <c r="A17" s="15" t="s">
        <v>2947</v>
      </c>
      <c r="B17" t="s">
        <v>2941</v>
      </c>
    </row>
    <row r="18" spans="1:2" x14ac:dyDescent="0.3">
      <c r="A18" s="16" t="s">
        <v>2932</v>
      </c>
      <c r="B18" s="14">
        <v>1074246.7715000003</v>
      </c>
    </row>
    <row r="19" spans="1:2" x14ac:dyDescent="0.3">
      <c r="A19" s="16" t="s">
        <v>2931</v>
      </c>
      <c r="B19" s="14">
        <v>3305745.6569999987</v>
      </c>
    </row>
    <row r="20" spans="1:2" x14ac:dyDescent="0.3">
      <c r="A20" s="16" t="s">
        <v>2960</v>
      </c>
      <c r="B20" s="14">
        <v>4379992.4284999985</v>
      </c>
    </row>
    <row r="22" spans="1:2" x14ac:dyDescent="0.3">
      <c r="A22" s="15" t="s">
        <v>2947</v>
      </c>
      <c r="B22" t="s">
        <v>2980</v>
      </c>
    </row>
    <row r="23" spans="1:2" x14ac:dyDescent="0.3">
      <c r="A23" s="16" t="s">
        <v>2932</v>
      </c>
      <c r="B23" s="14">
        <v>1128</v>
      </c>
    </row>
    <row r="24" spans="1:2" x14ac:dyDescent="0.3">
      <c r="A24" s="16" t="s">
        <v>2964</v>
      </c>
      <c r="B24" s="14">
        <v>372</v>
      </c>
    </row>
    <row r="25" spans="1:2" x14ac:dyDescent="0.3">
      <c r="A25" s="16" t="s">
        <v>2960</v>
      </c>
      <c r="B25" s="14">
        <v>1500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C70D4-25E6-46D8-8A34-82E538BBBEE1}">
  <dimension ref="I17"/>
  <sheetViews>
    <sheetView showGridLines="0" zoomScale="48" workbookViewId="0">
      <selection activeCell="AI12" sqref="AI12"/>
    </sheetView>
  </sheetViews>
  <sheetFormatPr defaultRowHeight="14.4" x14ac:dyDescent="0.3"/>
  <cols>
    <col min="1" max="1" width="6.88671875" style="20" bestFit="1" customWidth="1"/>
    <col min="2" max="2" width="12" style="20" bestFit="1" customWidth="1"/>
    <col min="3" max="16384" width="8.88671875" style="20"/>
  </cols>
  <sheetData>
    <row r="17" spans="9:9" ht="16.8" x14ac:dyDescent="0.4">
      <c r="I17"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0ED2-8EBC-44D2-B2E9-9A26F02E6687}">
  <dimension ref="A1:AC1503"/>
  <sheetViews>
    <sheetView workbookViewId="0">
      <pane ySplit="1" topLeftCell="A1471" activePane="bottomLeft" state="frozen"/>
      <selection activeCell="I1" sqref="I1"/>
      <selection pane="bottomLeft" activeCell="B1480" sqref="B1480"/>
    </sheetView>
  </sheetViews>
  <sheetFormatPr defaultRowHeight="14.4" x14ac:dyDescent="0.3"/>
  <cols>
    <col min="1" max="1" width="12.88671875" style="3" customWidth="1"/>
    <col min="2" max="2" width="16" style="3" bestFit="1" customWidth="1"/>
    <col min="3" max="3" width="13.88671875" style="3" bestFit="1" customWidth="1"/>
    <col min="4" max="4" width="20" style="3" bestFit="1" customWidth="1"/>
    <col min="5" max="5" width="11.21875" bestFit="1" customWidth="1"/>
    <col min="6" max="6" width="12.109375" bestFit="1" customWidth="1"/>
    <col min="7" max="7" width="12.77734375" style="12" bestFit="1" customWidth="1"/>
    <col min="8" max="8" width="13.109375" style="8" bestFit="1" customWidth="1"/>
    <col min="9" max="9" width="17.109375" bestFit="1" customWidth="1"/>
    <col min="10" max="10" width="17.77734375" bestFit="1" customWidth="1"/>
    <col min="11" max="11" width="12.77734375" style="10" bestFit="1" customWidth="1"/>
    <col min="12" max="12" width="15.44140625" bestFit="1" customWidth="1"/>
    <col min="13" max="16" width="15.44140625" customWidth="1"/>
    <col min="17" max="17" width="13.77734375" style="8" bestFit="1" customWidth="1"/>
    <col min="18" max="18" width="19.88671875" bestFit="1" customWidth="1"/>
    <col min="19" max="19" width="14.44140625" bestFit="1" customWidth="1"/>
    <col min="20" max="20" width="14.44140625" customWidth="1"/>
    <col min="21" max="21" width="13.21875" bestFit="1" customWidth="1"/>
    <col min="22" max="22" width="13.21875" customWidth="1"/>
    <col min="23" max="23" width="12" bestFit="1" customWidth="1"/>
    <col min="24" max="24" width="18.6640625" bestFit="1" customWidth="1"/>
    <col min="25" max="25" width="16.44140625" style="10" bestFit="1" customWidth="1"/>
    <col min="26" max="26" width="14.109375" style="3" bestFit="1" customWidth="1"/>
    <col min="27" max="27" width="16.109375" style="3" bestFit="1" customWidth="1"/>
    <col min="28" max="28" width="18.88671875" bestFit="1" customWidth="1"/>
    <col min="29" max="29" width="16.21875" bestFit="1" customWidth="1"/>
  </cols>
  <sheetData>
    <row r="1" spans="1:29" x14ac:dyDescent="0.3">
      <c r="A1" s="5" t="s">
        <v>16</v>
      </c>
      <c r="B1" s="5" t="s">
        <v>2933</v>
      </c>
      <c r="C1" s="5" t="s">
        <v>2934</v>
      </c>
      <c r="D1" s="5" t="s">
        <v>2935</v>
      </c>
      <c r="E1" s="4" t="s">
        <v>1</v>
      </c>
      <c r="F1" s="4" t="s">
        <v>2</v>
      </c>
      <c r="G1" s="11" t="s">
        <v>3</v>
      </c>
      <c r="H1" s="7" t="s">
        <v>4</v>
      </c>
      <c r="I1" s="4" t="s">
        <v>5</v>
      </c>
      <c r="J1" s="4" t="s">
        <v>6</v>
      </c>
      <c r="K1" s="9" t="s">
        <v>7</v>
      </c>
      <c r="L1" s="4" t="s">
        <v>8</v>
      </c>
      <c r="M1" s="4" t="s">
        <v>2938</v>
      </c>
      <c r="N1" s="4" t="s">
        <v>2939</v>
      </c>
      <c r="O1" s="4" t="s">
        <v>2936</v>
      </c>
      <c r="P1" s="4" t="s">
        <v>2940</v>
      </c>
      <c r="Q1" s="7" t="s">
        <v>2927</v>
      </c>
      <c r="R1" s="4" t="s">
        <v>10</v>
      </c>
      <c r="S1" s="4" t="s">
        <v>11</v>
      </c>
      <c r="T1" s="4" t="s">
        <v>2929</v>
      </c>
      <c r="U1" s="4" t="s">
        <v>12</v>
      </c>
      <c r="V1" s="4" t="s">
        <v>2930</v>
      </c>
      <c r="W1" s="4" t="s">
        <v>13</v>
      </c>
      <c r="X1" s="4" t="s">
        <v>14</v>
      </c>
      <c r="Y1" s="9" t="s">
        <v>15</v>
      </c>
      <c r="Z1" s="5" t="s">
        <v>2928</v>
      </c>
      <c r="AA1" s="5" t="s">
        <v>17</v>
      </c>
      <c r="AB1" s="4" t="s">
        <v>18</v>
      </c>
      <c r="AC1" s="4" t="s">
        <v>2937</v>
      </c>
    </row>
    <row r="2" spans="1:29" x14ac:dyDescent="0.3">
      <c r="A2" s="3">
        <v>44980</v>
      </c>
      <c r="B2" s="3" t="str">
        <f>TEXT(CleanedTable[[#This Row],[OrderDate]],"mmm")</f>
        <v>Feb</v>
      </c>
      <c r="C2" s="3" t="str">
        <f>TEXT(CleanedTable[[#This Row],[OrderDate]],"yyyy")</f>
        <v>2023</v>
      </c>
      <c r="D2" s="3" t="str">
        <f>TEXT(CleanedTable[[#This Row],[OrderDate]],"mmm yyyy")</f>
        <v>Feb 2023</v>
      </c>
      <c r="E2" t="s">
        <v>19</v>
      </c>
      <c r="F2" t="s">
        <v>24</v>
      </c>
      <c r="G2" s="12">
        <v>14</v>
      </c>
      <c r="H2" s="8">
        <v>163.6</v>
      </c>
      <c r="I2" t="s">
        <v>31</v>
      </c>
      <c r="J2" t="s">
        <v>35</v>
      </c>
      <c r="K2" s="10">
        <v>0</v>
      </c>
      <c r="L2" t="s">
        <v>37</v>
      </c>
      <c r="M2">
        <v>2290.4</v>
      </c>
      <c r="N2">
        <v>1374.24</v>
      </c>
      <c r="O2" s="10">
        <v>872.82</v>
      </c>
      <c r="P2" s="10">
        <v>0.38107754104086622</v>
      </c>
      <c r="Q2" s="8">
        <v>2290.4</v>
      </c>
      <c r="R2" t="s">
        <v>43</v>
      </c>
      <c r="S2" t="s">
        <v>48</v>
      </c>
      <c r="T2" t="s">
        <v>2931</v>
      </c>
      <c r="U2">
        <v>0</v>
      </c>
      <c r="V2" t="str">
        <f>IF(CleanedTable[[#This Row],[Returned]] = 0,"NO","Yes")</f>
        <v>NO</v>
      </c>
      <c r="W2" t="s">
        <v>51</v>
      </c>
      <c r="X2" t="s">
        <v>1551</v>
      </c>
      <c r="Y2" s="10">
        <v>43.34</v>
      </c>
      <c r="Z2" s="3">
        <v>44980</v>
      </c>
      <c r="AA2" s="3">
        <v>44984</v>
      </c>
      <c r="AB2" t="s">
        <v>2922</v>
      </c>
      <c r="AC2">
        <v>4</v>
      </c>
    </row>
    <row r="3" spans="1:29" x14ac:dyDescent="0.3">
      <c r="A3" s="3">
        <v>45645</v>
      </c>
      <c r="B3" s="3" t="str">
        <f>TEXT(CleanedTable[[#This Row],[OrderDate]],"mmm")</f>
        <v>Dec</v>
      </c>
      <c r="C3" s="3" t="str">
        <f>TEXT(CleanedTable[[#This Row],[OrderDate]],"yyyy")</f>
        <v>2024</v>
      </c>
      <c r="D3" s="3" t="str">
        <f>TEXT(CleanedTable[[#This Row],[OrderDate]],"mmm yyyy")</f>
        <v>Dec 2024</v>
      </c>
      <c r="E3" t="s">
        <v>20</v>
      </c>
      <c r="F3" t="s">
        <v>25</v>
      </c>
      <c r="G3" s="12">
        <v>1</v>
      </c>
      <c r="H3" s="8">
        <v>544.01</v>
      </c>
      <c r="I3" t="s">
        <v>32</v>
      </c>
      <c r="J3" t="s">
        <v>36</v>
      </c>
      <c r="K3" s="10">
        <v>0</v>
      </c>
      <c r="L3" t="s">
        <v>38</v>
      </c>
      <c r="M3">
        <v>544.01</v>
      </c>
      <c r="N3">
        <v>326.40600000000001</v>
      </c>
      <c r="O3" s="10">
        <v>212.30399999999997</v>
      </c>
      <c r="P3" s="10">
        <v>0.39025753203066116</v>
      </c>
      <c r="Q3" s="8">
        <v>544.01</v>
      </c>
      <c r="R3" t="s">
        <v>44</v>
      </c>
      <c r="S3" t="s">
        <v>49</v>
      </c>
      <c r="T3" t="s">
        <v>2931</v>
      </c>
      <c r="U3">
        <v>0</v>
      </c>
      <c r="V3" t="str">
        <f>IF(CleanedTable[[#This Row],[Returned]] = 0,"NO","Yes")</f>
        <v>NO</v>
      </c>
      <c r="W3" t="s">
        <v>52</v>
      </c>
      <c r="X3" t="s">
        <v>1552</v>
      </c>
      <c r="Y3" s="10">
        <v>5.3</v>
      </c>
      <c r="Z3" s="3">
        <v>45645</v>
      </c>
      <c r="AA3" s="3">
        <v>45654</v>
      </c>
      <c r="AB3" t="s">
        <v>2923</v>
      </c>
      <c r="AC3">
        <v>9</v>
      </c>
    </row>
    <row r="4" spans="1:29" x14ac:dyDescent="0.3">
      <c r="A4" s="3">
        <v>45056</v>
      </c>
      <c r="B4" s="3" t="str">
        <f>TEXT(CleanedTable[[#This Row],[OrderDate]],"mmm")</f>
        <v>May</v>
      </c>
      <c r="C4" s="3" t="str">
        <f>TEXT(CleanedTable[[#This Row],[OrderDate]],"yyyy")</f>
        <v>2023</v>
      </c>
      <c r="D4" s="3" t="str">
        <f>TEXT(CleanedTable[[#This Row],[OrderDate]],"mmm yyyy")</f>
        <v>May 2023</v>
      </c>
      <c r="E4" t="s">
        <v>21</v>
      </c>
      <c r="F4" t="s">
        <v>26</v>
      </c>
      <c r="G4" s="12">
        <v>14</v>
      </c>
      <c r="H4" s="8">
        <v>346.18</v>
      </c>
      <c r="I4" t="s">
        <v>31</v>
      </c>
      <c r="J4" t="s">
        <v>35</v>
      </c>
      <c r="K4" s="10">
        <v>0.1</v>
      </c>
      <c r="L4" t="s">
        <v>38</v>
      </c>
      <c r="M4">
        <v>4361.8680000000004</v>
      </c>
      <c r="N4">
        <v>2907.9119999999998</v>
      </c>
      <c r="O4" s="10">
        <v>1433.4960000000005</v>
      </c>
      <c r="P4" s="10">
        <v>0.3286426824470618</v>
      </c>
      <c r="Q4" s="8">
        <v>4361.8680000000004</v>
      </c>
      <c r="R4" t="s">
        <v>43</v>
      </c>
      <c r="S4" t="s">
        <v>50</v>
      </c>
      <c r="T4" t="s">
        <v>2931</v>
      </c>
      <c r="U4">
        <v>0</v>
      </c>
      <c r="V4" t="str">
        <f>IF(CleanedTable[[#This Row],[Returned]] = 0,"NO","Yes")</f>
        <v>NO</v>
      </c>
      <c r="W4" t="s">
        <v>53</v>
      </c>
      <c r="X4" t="s">
        <v>1553</v>
      </c>
      <c r="Y4" s="10">
        <v>20.46</v>
      </c>
      <c r="Z4" s="3">
        <v>45056</v>
      </c>
      <c r="AA4" s="3">
        <v>45065</v>
      </c>
      <c r="AB4" t="s">
        <v>2924</v>
      </c>
      <c r="AC4">
        <v>9</v>
      </c>
    </row>
    <row r="5" spans="1:29" x14ac:dyDescent="0.3">
      <c r="A5" s="3">
        <v>45714</v>
      </c>
      <c r="B5" s="3" t="str">
        <f>TEXT(CleanedTable[[#This Row],[OrderDate]],"mmm")</f>
        <v>Feb</v>
      </c>
      <c r="C5" s="3" t="str">
        <f>TEXT(CleanedTable[[#This Row],[OrderDate]],"yyyy")</f>
        <v>2025</v>
      </c>
      <c r="D5" s="3" t="str">
        <f>TEXT(CleanedTable[[#This Row],[OrderDate]],"mmm yyyy")</f>
        <v>Feb 2025</v>
      </c>
      <c r="E5" t="s">
        <v>22</v>
      </c>
      <c r="F5" t="s">
        <v>27</v>
      </c>
      <c r="G5" s="12">
        <v>18</v>
      </c>
      <c r="H5" s="8">
        <v>384.82</v>
      </c>
      <c r="I5" t="s">
        <v>32</v>
      </c>
      <c r="J5" t="s">
        <v>35</v>
      </c>
      <c r="K5" s="10">
        <v>0.15</v>
      </c>
      <c r="L5" t="s">
        <v>39</v>
      </c>
      <c r="M5">
        <v>5887.7460000000001</v>
      </c>
      <c r="N5">
        <v>4156.0559999999996</v>
      </c>
      <c r="O5" s="10">
        <v>1703.7400000000005</v>
      </c>
      <c r="P5" s="10">
        <v>0.28937049933879627</v>
      </c>
      <c r="Q5" s="8">
        <v>5887.7460000000001</v>
      </c>
      <c r="R5" t="s">
        <v>44</v>
      </c>
      <c r="S5" t="s">
        <v>48</v>
      </c>
      <c r="T5" t="s">
        <v>2931</v>
      </c>
      <c r="U5">
        <v>0</v>
      </c>
      <c r="V5" t="str">
        <f>IF(CleanedTable[[#This Row],[Returned]] = 0,"NO","Yes")</f>
        <v>NO</v>
      </c>
      <c r="W5" t="s">
        <v>54</v>
      </c>
      <c r="X5" t="s">
        <v>1554</v>
      </c>
      <c r="Y5" s="10">
        <v>27.95</v>
      </c>
      <c r="Z5" s="3">
        <v>45714</v>
      </c>
      <c r="AA5" s="3">
        <v>45718</v>
      </c>
      <c r="AB5" t="s">
        <v>2925</v>
      </c>
      <c r="AC5">
        <v>4</v>
      </c>
    </row>
    <row r="6" spans="1:29" x14ac:dyDescent="0.3">
      <c r="A6" s="3">
        <v>45101</v>
      </c>
      <c r="B6" s="3" t="str">
        <f>TEXT(CleanedTable[[#This Row],[OrderDate]],"mmm")</f>
        <v>Jun</v>
      </c>
      <c r="C6" s="3" t="str">
        <f>TEXT(CleanedTable[[#This Row],[OrderDate]],"yyyy")</f>
        <v>2023</v>
      </c>
      <c r="D6" s="3" t="str">
        <f>TEXT(CleanedTable[[#This Row],[OrderDate]],"mmm yyyy")</f>
        <v>Jun 2023</v>
      </c>
      <c r="E6" t="s">
        <v>19</v>
      </c>
      <c r="F6" t="s">
        <v>26</v>
      </c>
      <c r="G6" s="12">
        <v>18</v>
      </c>
      <c r="H6" s="8">
        <v>237.76</v>
      </c>
      <c r="I6" t="s">
        <v>33</v>
      </c>
      <c r="J6" t="s">
        <v>36</v>
      </c>
      <c r="K6" s="10">
        <v>0</v>
      </c>
      <c r="L6" t="s">
        <v>40</v>
      </c>
      <c r="M6">
        <v>4279.68</v>
      </c>
      <c r="N6">
        <v>2567.8079999999995</v>
      </c>
      <c r="O6" s="10">
        <v>1706.1420000000007</v>
      </c>
      <c r="P6" s="10">
        <v>0.39866111484970851</v>
      </c>
      <c r="Q6" s="8">
        <v>4279.68</v>
      </c>
      <c r="R6" t="s">
        <v>43</v>
      </c>
      <c r="S6" t="s">
        <v>49</v>
      </c>
      <c r="T6" t="s">
        <v>2931</v>
      </c>
      <c r="U6">
        <v>0</v>
      </c>
      <c r="V6" t="str">
        <f>IF(CleanedTable[[#This Row],[Returned]] = 0,"NO","Yes")</f>
        <v>NO</v>
      </c>
      <c r="W6" t="s">
        <v>55</v>
      </c>
      <c r="X6" t="s">
        <v>1555</v>
      </c>
      <c r="Y6" s="10">
        <v>5.73</v>
      </c>
      <c r="Z6" s="3">
        <v>45101</v>
      </c>
      <c r="AA6" s="3">
        <v>45104</v>
      </c>
      <c r="AB6" t="s">
        <v>2922</v>
      </c>
      <c r="AC6">
        <v>3</v>
      </c>
    </row>
    <row r="7" spans="1:29" x14ac:dyDescent="0.3">
      <c r="A7" s="3">
        <v>45342</v>
      </c>
      <c r="B7" s="3" t="str">
        <f>TEXT(CleanedTable[[#This Row],[OrderDate]],"mmm")</f>
        <v>Feb</v>
      </c>
      <c r="C7" s="3" t="str">
        <f>TEXT(CleanedTable[[#This Row],[OrderDate]],"yyyy")</f>
        <v>2024</v>
      </c>
      <c r="D7" s="3" t="str">
        <f>TEXT(CleanedTable[[#This Row],[OrderDate]],"mmm yyyy")</f>
        <v>Feb 2024</v>
      </c>
      <c r="E7" t="s">
        <v>22</v>
      </c>
      <c r="F7" t="s">
        <v>28</v>
      </c>
      <c r="G7" s="12">
        <v>2</v>
      </c>
      <c r="H7" s="8">
        <v>385.09</v>
      </c>
      <c r="I7" t="s">
        <v>34</v>
      </c>
      <c r="J7" t="s">
        <v>35</v>
      </c>
      <c r="K7" s="10">
        <v>0.15</v>
      </c>
      <c r="L7" t="s">
        <v>41</v>
      </c>
      <c r="M7">
        <v>654.65299999999991</v>
      </c>
      <c r="N7">
        <v>462.10799999999995</v>
      </c>
      <c r="O7" s="10">
        <v>180.62499999999997</v>
      </c>
      <c r="P7" s="10">
        <v>0.27590952764288867</v>
      </c>
      <c r="Q7" s="8">
        <v>654.65299999999991</v>
      </c>
      <c r="R7" t="s">
        <v>45</v>
      </c>
      <c r="T7" t="s">
        <v>2932</v>
      </c>
      <c r="U7">
        <v>0</v>
      </c>
      <c r="V7" t="str">
        <f>IF(CleanedTable[[#This Row],[Returned]] = 0,"NO","Yes")</f>
        <v>NO</v>
      </c>
      <c r="W7" t="s">
        <v>56</v>
      </c>
      <c r="X7" t="s">
        <v>1556</v>
      </c>
      <c r="Y7" s="10">
        <v>11.92</v>
      </c>
      <c r="Z7" s="3">
        <v>45342</v>
      </c>
      <c r="AA7" s="3">
        <v>45352</v>
      </c>
      <c r="AB7" t="s">
        <v>2925</v>
      </c>
      <c r="AC7">
        <v>10</v>
      </c>
    </row>
    <row r="8" spans="1:29" x14ac:dyDescent="0.3">
      <c r="A8" s="3">
        <v>44937</v>
      </c>
      <c r="B8" s="3" t="str">
        <f>TEXT(CleanedTable[[#This Row],[OrderDate]],"mmm")</f>
        <v>Jan</v>
      </c>
      <c r="C8" s="3" t="str">
        <f>TEXT(CleanedTable[[#This Row],[OrderDate]],"yyyy")</f>
        <v>2023</v>
      </c>
      <c r="D8" s="3" t="str">
        <f>TEXT(CleanedTable[[#This Row],[OrderDate]],"mmm yyyy")</f>
        <v>Jan 2023</v>
      </c>
      <c r="E8" t="s">
        <v>20</v>
      </c>
      <c r="F8" t="s">
        <v>27</v>
      </c>
      <c r="G8" s="12">
        <v>7</v>
      </c>
      <c r="H8" s="8">
        <v>17.5</v>
      </c>
      <c r="I8" t="s">
        <v>33</v>
      </c>
      <c r="J8" t="s">
        <v>36</v>
      </c>
      <c r="K8" s="10">
        <v>0.1</v>
      </c>
      <c r="L8" t="s">
        <v>38</v>
      </c>
      <c r="M8">
        <v>110.25</v>
      </c>
      <c r="N8">
        <v>73.5</v>
      </c>
      <c r="O8" s="10">
        <v>31.73</v>
      </c>
      <c r="P8" s="10">
        <v>0.28780045351473921</v>
      </c>
      <c r="Q8" s="8">
        <v>110.25</v>
      </c>
      <c r="R8" t="s">
        <v>46</v>
      </c>
      <c r="S8" t="s">
        <v>50</v>
      </c>
      <c r="T8" t="s">
        <v>2931</v>
      </c>
      <c r="U8">
        <v>0</v>
      </c>
      <c r="V8" t="str">
        <f>IF(CleanedTable[[#This Row],[Returned]] = 0,"NO","Yes")</f>
        <v>NO</v>
      </c>
      <c r="W8" t="s">
        <v>57</v>
      </c>
      <c r="X8" t="s">
        <v>1557</v>
      </c>
      <c r="Y8" s="10">
        <v>5.0199999999999996</v>
      </c>
      <c r="Z8" s="3">
        <v>44937</v>
      </c>
      <c r="AA8" s="3">
        <v>44940</v>
      </c>
      <c r="AB8" t="s">
        <v>2923</v>
      </c>
      <c r="AC8">
        <v>3</v>
      </c>
    </row>
    <row r="9" spans="1:29" x14ac:dyDescent="0.3">
      <c r="A9" s="3">
        <v>44935</v>
      </c>
      <c r="B9" s="3" t="str">
        <f>TEXT(CleanedTable[[#This Row],[OrderDate]],"mmm")</f>
        <v>Jan</v>
      </c>
      <c r="C9" s="3" t="str">
        <f>TEXT(CleanedTable[[#This Row],[OrderDate]],"yyyy")</f>
        <v>2023</v>
      </c>
      <c r="D9" s="3" t="str">
        <f>TEXT(CleanedTable[[#This Row],[OrderDate]],"mmm yyyy")</f>
        <v>Jan 2023</v>
      </c>
      <c r="E9" t="s">
        <v>22</v>
      </c>
      <c r="F9" t="s">
        <v>27</v>
      </c>
      <c r="G9" s="12">
        <v>3</v>
      </c>
      <c r="H9" s="8">
        <v>330.22</v>
      </c>
      <c r="I9" t="s">
        <v>33</v>
      </c>
      <c r="J9" t="s">
        <v>35</v>
      </c>
      <c r="K9" s="10">
        <v>0.15</v>
      </c>
      <c r="L9" t="s">
        <v>40</v>
      </c>
      <c r="M9">
        <v>842.06100000000004</v>
      </c>
      <c r="N9">
        <v>594.39599999999996</v>
      </c>
      <c r="O9" s="10">
        <v>199.65500000000009</v>
      </c>
      <c r="P9" s="10">
        <v>0.23710277521462231</v>
      </c>
      <c r="Q9" s="8">
        <v>842.06100000000004</v>
      </c>
      <c r="R9" t="s">
        <v>47</v>
      </c>
      <c r="T9" t="s">
        <v>2932</v>
      </c>
      <c r="U9">
        <v>0</v>
      </c>
      <c r="V9" t="str">
        <f>IF(CleanedTable[[#This Row],[Returned]] = 0,"NO","Yes")</f>
        <v>NO</v>
      </c>
      <c r="W9" t="s">
        <v>58</v>
      </c>
      <c r="X9" t="s">
        <v>1558</v>
      </c>
      <c r="Y9" s="10">
        <v>48.01</v>
      </c>
      <c r="Z9" s="3">
        <v>44935</v>
      </c>
      <c r="AA9" s="3">
        <v>44937</v>
      </c>
      <c r="AB9" t="s">
        <v>2925</v>
      </c>
      <c r="AC9">
        <v>2</v>
      </c>
    </row>
    <row r="10" spans="1:29" x14ac:dyDescent="0.3">
      <c r="A10" s="3">
        <v>45581</v>
      </c>
      <c r="B10" s="3" t="str">
        <f>TEXT(CleanedTable[[#This Row],[OrderDate]],"mmm")</f>
        <v>Oct</v>
      </c>
      <c r="C10" s="3" t="str">
        <f>TEXT(CleanedTable[[#This Row],[OrderDate]],"yyyy")</f>
        <v>2024</v>
      </c>
      <c r="D10" s="3" t="str">
        <f>TEXT(CleanedTable[[#This Row],[OrderDate]],"mmm yyyy")</f>
        <v>Oct 2024</v>
      </c>
      <c r="E10" t="s">
        <v>20</v>
      </c>
      <c r="F10" t="s">
        <v>27</v>
      </c>
      <c r="G10" s="12">
        <v>3</v>
      </c>
      <c r="H10" s="8">
        <v>432.04</v>
      </c>
      <c r="I10" t="s">
        <v>34</v>
      </c>
      <c r="J10" t="s">
        <v>35</v>
      </c>
      <c r="K10" s="10">
        <v>0.05</v>
      </c>
      <c r="L10" t="s">
        <v>42</v>
      </c>
      <c r="M10">
        <v>1231.3140000000001</v>
      </c>
      <c r="N10">
        <v>777.67200000000003</v>
      </c>
      <c r="O10" s="10">
        <v>411.53200000000004</v>
      </c>
      <c r="P10" s="10">
        <v>0.33422181506910503</v>
      </c>
      <c r="Q10" s="8">
        <v>1231.3140000000001</v>
      </c>
      <c r="R10" t="s">
        <v>46</v>
      </c>
      <c r="S10" t="s">
        <v>48</v>
      </c>
      <c r="T10" t="s">
        <v>2931</v>
      </c>
      <c r="U10">
        <v>1</v>
      </c>
      <c r="V10" t="str">
        <f>IF(CleanedTable[[#This Row],[Returned]] = 0,"NO","Yes")</f>
        <v>Yes</v>
      </c>
      <c r="W10" t="s">
        <v>59</v>
      </c>
      <c r="X10" t="s">
        <v>1559</v>
      </c>
      <c r="Y10" s="10">
        <v>42.11</v>
      </c>
      <c r="Z10" s="3">
        <v>45581</v>
      </c>
      <c r="AA10" s="3">
        <v>45583</v>
      </c>
      <c r="AB10" t="s">
        <v>2923</v>
      </c>
      <c r="AC10">
        <v>2</v>
      </c>
    </row>
    <row r="11" spans="1:29" x14ac:dyDescent="0.3">
      <c r="A11" s="3">
        <v>45721</v>
      </c>
      <c r="B11" s="3" t="str">
        <f>TEXT(CleanedTable[[#This Row],[OrderDate]],"mmm")</f>
        <v>Mar</v>
      </c>
      <c r="C11" s="3" t="str">
        <f>TEXT(CleanedTable[[#This Row],[OrderDate]],"yyyy")</f>
        <v>2025</v>
      </c>
      <c r="D11" s="3" t="str">
        <f>TEXT(CleanedTable[[#This Row],[OrderDate]],"mmm yyyy")</f>
        <v>Mar 2025</v>
      </c>
      <c r="E11" t="s">
        <v>23</v>
      </c>
      <c r="F11" t="s">
        <v>26</v>
      </c>
      <c r="G11" s="12">
        <v>5</v>
      </c>
      <c r="H11" s="8">
        <v>323.27999999999997</v>
      </c>
      <c r="I11" t="s">
        <v>34</v>
      </c>
      <c r="J11" t="s">
        <v>36</v>
      </c>
      <c r="K11" s="10">
        <v>0.1</v>
      </c>
      <c r="L11" t="s">
        <v>39</v>
      </c>
      <c r="M11">
        <v>1454.76</v>
      </c>
      <c r="N11">
        <v>969.83999999999992</v>
      </c>
      <c r="O11" s="10">
        <v>443.82000000000005</v>
      </c>
      <c r="P11" s="10">
        <v>0.30508125051554902</v>
      </c>
      <c r="Q11" s="8">
        <v>1454.76</v>
      </c>
      <c r="R11" t="s">
        <v>44</v>
      </c>
      <c r="S11" t="s">
        <v>49</v>
      </c>
      <c r="T11" t="s">
        <v>2931</v>
      </c>
      <c r="U11">
        <v>0</v>
      </c>
      <c r="V11" t="str">
        <f>IF(CleanedTable[[#This Row],[Returned]] = 0,"NO","Yes")</f>
        <v>NO</v>
      </c>
      <c r="W11" t="s">
        <v>60</v>
      </c>
      <c r="X11" t="s">
        <v>1560</v>
      </c>
      <c r="Y11" s="10">
        <v>41.1</v>
      </c>
      <c r="Z11" s="3">
        <v>45721</v>
      </c>
      <c r="AA11" s="3">
        <v>45729</v>
      </c>
      <c r="AB11" t="s">
        <v>2926</v>
      </c>
      <c r="AC11">
        <v>8</v>
      </c>
    </row>
    <row r="12" spans="1:29" x14ac:dyDescent="0.3">
      <c r="A12" s="3">
        <v>45392</v>
      </c>
      <c r="B12" s="3" t="str">
        <f>TEXT(CleanedTable[[#This Row],[OrderDate]],"mmm")</f>
        <v>Apr</v>
      </c>
      <c r="C12" s="3" t="str">
        <f>TEXT(CleanedTable[[#This Row],[OrderDate]],"yyyy")</f>
        <v>2024</v>
      </c>
      <c r="D12" s="3" t="str">
        <f>TEXT(CleanedTable[[#This Row],[OrderDate]],"mmm yyyy")</f>
        <v>Apr 2024</v>
      </c>
      <c r="E12" t="s">
        <v>21</v>
      </c>
      <c r="F12" t="s">
        <v>26</v>
      </c>
      <c r="G12" s="12">
        <v>15</v>
      </c>
      <c r="H12" s="8">
        <v>523.29</v>
      </c>
      <c r="I12" t="s">
        <v>31</v>
      </c>
      <c r="J12" t="s">
        <v>35</v>
      </c>
      <c r="K12" s="10">
        <v>0.15</v>
      </c>
      <c r="L12" t="s">
        <v>37</v>
      </c>
      <c r="M12">
        <v>6671.9474999999993</v>
      </c>
      <c r="N12">
        <v>4709.6099999999997</v>
      </c>
      <c r="O12" s="10">
        <v>1950.1974999999995</v>
      </c>
      <c r="P12" s="10">
        <v>0.29229808837674454</v>
      </c>
      <c r="Q12" s="8">
        <v>6671.9474999999993</v>
      </c>
      <c r="R12" t="s">
        <v>46</v>
      </c>
      <c r="T12" t="s">
        <v>2932</v>
      </c>
      <c r="U12">
        <v>0</v>
      </c>
      <c r="V12" t="str">
        <f>IF(CleanedTable[[#This Row],[Returned]] = 0,"NO","Yes")</f>
        <v>NO</v>
      </c>
      <c r="W12" t="s">
        <v>61</v>
      </c>
      <c r="X12" t="s">
        <v>1561</v>
      </c>
      <c r="Y12" s="10">
        <v>12.14</v>
      </c>
      <c r="Z12" s="3">
        <v>45392</v>
      </c>
      <c r="AA12" s="3">
        <v>45399</v>
      </c>
      <c r="AB12" t="s">
        <v>2924</v>
      </c>
      <c r="AC12">
        <v>7</v>
      </c>
    </row>
    <row r="13" spans="1:29" x14ac:dyDescent="0.3">
      <c r="A13" s="3">
        <v>45485</v>
      </c>
      <c r="B13" s="3" t="str">
        <f>TEXT(CleanedTable[[#This Row],[OrderDate]],"mmm")</f>
        <v>Jul</v>
      </c>
      <c r="C13" s="3" t="str">
        <f>TEXT(CleanedTable[[#This Row],[OrderDate]],"yyyy")</f>
        <v>2024</v>
      </c>
      <c r="D13" s="3" t="str">
        <f>TEXT(CleanedTable[[#This Row],[OrderDate]],"mmm yyyy")</f>
        <v>Jul 2024</v>
      </c>
      <c r="E13" t="s">
        <v>19</v>
      </c>
      <c r="F13" t="s">
        <v>25</v>
      </c>
      <c r="G13" s="12">
        <v>19</v>
      </c>
      <c r="H13" s="8">
        <v>207.35</v>
      </c>
      <c r="I13" t="s">
        <v>34</v>
      </c>
      <c r="J13" t="s">
        <v>36</v>
      </c>
      <c r="K13" s="10">
        <v>0.1</v>
      </c>
      <c r="L13" t="s">
        <v>37</v>
      </c>
      <c r="M13">
        <v>3545.6849999999999</v>
      </c>
      <c r="N13">
        <v>2363.79</v>
      </c>
      <c r="O13" s="10">
        <v>1137.0049999999999</v>
      </c>
      <c r="P13" s="10">
        <v>0.32067287421189417</v>
      </c>
      <c r="Q13" s="8">
        <v>3545.6849999999999</v>
      </c>
      <c r="R13" t="s">
        <v>44</v>
      </c>
      <c r="T13" t="s">
        <v>2932</v>
      </c>
      <c r="U13">
        <v>1</v>
      </c>
      <c r="V13" t="str">
        <f>IF(CleanedTable[[#This Row],[Returned]] = 0,"NO","Yes")</f>
        <v>Yes</v>
      </c>
      <c r="W13" t="s">
        <v>62</v>
      </c>
      <c r="X13" t="s">
        <v>1562</v>
      </c>
      <c r="Y13" s="10">
        <v>44.89</v>
      </c>
      <c r="Z13" s="3">
        <v>45485</v>
      </c>
      <c r="AA13" s="3">
        <v>45491</v>
      </c>
      <c r="AB13" t="s">
        <v>2922</v>
      </c>
      <c r="AC13">
        <v>6</v>
      </c>
    </row>
    <row r="14" spans="1:29" x14ac:dyDescent="0.3">
      <c r="A14" s="3">
        <v>45128</v>
      </c>
      <c r="B14" s="3" t="str">
        <f>TEXT(CleanedTable[[#This Row],[OrderDate]],"mmm")</f>
        <v>Jul</v>
      </c>
      <c r="C14" s="3" t="str">
        <f>TEXT(CleanedTable[[#This Row],[OrderDate]],"yyyy")</f>
        <v>2023</v>
      </c>
      <c r="D14" s="3" t="str">
        <f>TEXT(CleanedTable[[#This Row],[OrderDate]],"mmm yyyy")</f>
        <v>Jul 2023</v>
      </c>
      <c r="E14" t="s">
        <v>22</v>
      </c>
      <c r="F14" t="s">
        <v>25</v>
      </c>
      <c r="G14" s="12">
        <v>1</v>
      </c>
      <c r="H14" s="8">
        <v>120.53</v>
      </c>
      <c r="I14" t="s">
        <v>31</v>
      </c>
      <c r="J14" t="s">
        <v>36</v>
      </c>
      <c r="K14" s="10">
        <v>0.05</v>
      </c>
      <c r="L14" t="s">
        <v>41</v>
      </c>
      <c r="M14">
        <v>114.5035</v>
      </c>
      <c r="N14">
        <v>72.317999999999998</v>
      </c>
      <c r="O14" s="10">
        <v>21.835500000000003</v>
      </c>
      <c r="P14" s="10">
        <v>0.19069722759566304</v>
      </c>
      <c r="Q14" s="8">
        <v>114.5035</v>
      </c>
      <c r="R14" t="s">
        <v>47</v>
      </c>
      <c r="S14" t="s">
        <v>50</v>
      </c>
      <c r="T14" t="s">
        <v>2931</v>
      </c>
      <c r="U14">
        <v>0</v>
      </c>
      <c r="V14" t="str">
        <f>IF(CleanedTable[[#This Row],[Returned]] = 0,"NO","Yes")</f>
        <v>NO</v>
      </c>
      <c r="W14" t="s">
        <v>63</v>
      </c>
      <c r="X14" t="s">
        <v>1563</v>
      </c>
      <c r="Y14" s="10">
        <v>20.350000000000001</v>
      </c>
      <c r="Z14" s="3">
        <v>45128</v>
      </c>
      <c r="AA14" s="3">
        <v>45138</v>
      </c>
      <c r="AB14" t="s">
        <v>2925</v>
      </c>
      <c r="AC14">
        <v>10</v>
      </c>
    </row>
    <row r="15" spans="1:29" x14ac:dyDescent="0.3">
      <c r="A15" s="3">
        <v>45675</v>
      </c>
      <c r="B15" s="3" t="str">
        <f>TEXT(CleanedTable[[#This Row],[OrderDate]],"mmm")</f>
        <v>Jan</v>
      </c>
      <c r="C15" s="3" t="str">
        <f>TEXT(CleanedTable[[#This Row],[OrderDate]],"yyyy")</f>
        <v>2025</v>
      </c>
      <c r="D15" s="3" t="str">
        <f>TEXT(CleanedTable[[#This Row],[OrderDate]],"mmm yyyy")</f>
        <v>Jan 2025</v>
      </c>
      <c r="E15" t="s">
        <v>23</v>
      </c>
      <c r="F15" t="s">
        <v>29</v>
      </c>
      <c r="G15" s="12">
        <v>1</v>
      </c>
      <c r="H15" s="8">
        <v>157.83000000000001</v>
      </c>
      <c r="I15" t="s">
        <v>32</v>
      </c>
      <c r="J15" t="s">
        <v>35</v>
      </c>
      <c r="K15" s="10">
        <v>0.15</v>
      </c>
      <c r="L15" t="s">
        <v>40</v>
      </c>
      <c r="M15">
        <v>134.15550000000002</v>
      </c>
      <c r="N15">
        <v>94.698000000000008</v>
      </c>
      <c r="O15" s="10">
        <v>-3.3624999999999901</v>
      </c>
      <c r="P15" s="10">
        <v>-2.5064197889762177E-2</v>
      </c>
      <c r="Q15" s="8">
        <v>134.15549999999999</v>
      </c>
      <c r="R15" t="s">
        <v>46</v>
      </c>
      <c r="T15" t="s">
        <v>2932</v>
      </c>
      <c r="U15">
        <v>0</v>
      </c>
      <c r="V15" t="str">
        <f>IF(CleanedTable[[#This Row],[Returned]] = 0,"NO","Yes")</f>
        <v>NO</v>
      </c>
      <c r="W15" t="s">
        <v>64</v>
      </c>
      <c r="X15" t="s">
        <v>1564</v>
      </c>
      <c r="Y15" s="10">
        <v>42.82</v>
      </c>
      <c r="Z15" s="3">
        <v>45675</v>
      </c>
      <c r="AA15" s="3">
        <v>45679</v>
      </c>
      <c r="AB15" t="s">
        <v>2926</v>
      </c>
      <c r="AC15">
        <v>4</v>
      </c>
    </row>
    <row r="16" spans="1:29" x14ac:dyDescent="0.3">
      <c r="A16" s="3">
        <v>45634</v>
      </c>
      <c r="B16" s="3" t="str">
        <f>TEXT(CleanedTable[[#This Row],[OrderDate]],"mmm")</f>
        <v>Dec</v>
      </c>
      <c r="C16" s="3" t="str">
        <f>TEXT(CleanedTable[[#This Row],[OrderDate]],"yyyy")</f>
        <v>2024</v>
      </c>
      <c r="D16" s="3" t="str">
        <f>TEXT(CleanedTable[[#This Row],[OrderDate]],"mmm yyyy")</f>
        <v>Dec 2024</v>
      </c>
      <c r="E16" t="s">
        <v>21</v>
      </c>
      <c r="F16" t="s">
        <v>26</v>
      </c>
      <c r="G16" s="12">
        <v>15</v>
      </c>
      <c r="H16" s="8">
        <v>220.3</v>
      </c>
      <c r="I16" t="s">
        <v>31</v>
      </c>
      <c r="J16" t="s">
        <v>36</v>
      </c>
      <c r="K16" s="10">
        <v>0.15</v>
      </c>
      <c r="L16" t="s">
        <v>41</v>
      </c>
      <c r="M16">
        <v>2808.8249999999998</v>
      </c>
      <c r="N16">
        <v>1982.7</v>
      </c>
      <c r="O16" s="10">
        <v>786.4649999999998</v>
      </c>
      <c r="P16" s="10">
        <v>0.27999786387546388</v>
      </c>
      <c r="Q16" s="8">
        <v>2808.8249999999998</v>
      </c>
      <c r="R16" t="s">
        <v>46</v>
      </c>
      <c r="T16" t="s">
        <v>2932</v>
      </c>
      <c r="U16">
        <v>0</v>
      </c>
      <c r="V16" t="str">
        <f>IF(CleanedTable[[#This Row],[Returned]] = 0,"NO","Yes")</f>
        <v>NO</v>
      </c>
      <c r="W16" t="s">
        <v>65</v>
      </c>
      <c r="X16" t="s">
        <v>1565</v>
      </c>
      <c r="Y16" s="10">
        <v>39.659999999999997</v>
      </c>
      <c r="Z16" s="3">
        <v>45634</v>
      </c>
      <c r="AA16" s="3">
        <v>45641</v>
      </c>
      <c r="AB16" t="s">
        <v>2924</v>
      </c>
      <c r="AC16">
        <v>7</v>
      </c>
    </row>
    <row r="17" spans="1:29" x14ac:dyDescent="0.3">
      <c r="A17" s="3">
        <v>45788</v>
      </c>
      <c r="B17" s="3" t="str">
        <f>TEXT(CleanedTable[[#This Row],[OrderDate]],"mmm")</f>
        <v>May</v>
      </c>
      <c r="C17" s="3" t="str">
        <f>TEXT(CleanedTable[[#This Row],[OrderDate]],"yyyy")</f>
        <v>2025</v>
      </c>
      <c r="D17" s="3" t="str">
        <f>TEXT(CleanedTable[[#This Row],[OrderDate]],"mmm yyyy")</f>
        <v>May 2025</v>
      </c>
      <c r="E17" t="s">
        <v>23</v>
      </c>
      <c r="F17" t="s">
        <v>27</v>
      </c>
      <c r="G17" s="12">
        <v>17</v>
      </c>
      <c r="H17" s="8">
        <v>162.96</v>
      </c>
      <c r="I17" t="s">
        <v>32</v>
      </c>
      <c r="J17" t="s">
        <v>35</v>
      </c>
      <c r="K17" s="10">
        <v>0.05</v>
      </c>
      <c r="L17" t="s">
        <v>37</v>
      </c>
      <c r="M17">
        <v>2631.8040000000001</v>
      </c>
      <c r="N17">
        <v>1662.192</v>
      </c>
      <c r="O17" s="10">
        <v>961.50200000000007</v>
      </c>
      <c r="P17" s="10">
        <v>0.3653395161645776</v>
      </c>
      <c r="Q17" s="8">
        <v>2631.8040000000001</v>
      </c>
      <c r="R17" t="s">
        <v>44</v>
      </c>
      <c r="S17" t="s">
        <v>48</v>
      </c>
      <c r="T17" t="s">
        <v>2931</v>
      </c>
      <c r="U17">
        <v>0</v>
      </c>
      <c r="V17" t="str">
        <f>IF(CleanedTable[[#This Row],[Returned]] = 0,"NO","Yes")</f>
        <v>NO</v>
      </c>
      <c r="W17" t="s">
        <v>66</v>
      </c>
      <c r="X17" t="s">
        <v>1566</v>
      </c>
      <c r="Y17" s="10">
        <v>8.11</v>
      </c>
      <c r="Z17" s="3">
        <v>45788</v>
      </c>
      <c r="AA17" s="3">
        <v>45794</v>
      </c>
      <c r="AB17" t="s">
        <v>2926</v>
      </c>
      <c r="AC17">
        <v>6</v>
      </c>
    </row>
    <row r="18" spans="1:29" x14ac:dyDescent="0.3">
      <c r="A18" s="3">
        <v>44983</v>
      </c>
      <c r="B18" s="3" t="str">
        <f>TEXT(CleanedTable[[#This Row],[OrderDate]],"mmm")</f>
        <v>Feb</v>
      </c>
      <c r="C18" s="3" t="str">
        <f>TEXT(CleanedTable[[#This Row],[OrderDate]],"yyyy")</f>
        <v>2023</v>
      </c>
      <c r="D18" s="3" t="str">
        <f>TEXT(CleanedTable[[#This Row],[OrderDate]],"mmm yyyy")</f>
        <v>Feb 2023</v>
      </c>
      <c r="E18" t="s">
        <v>23</v>
      </c>
      <c r="F18" t="s">
        <v>24</v>
      </c>
      <c r="G18" s="12">
        <v>19</v>
      </c>
      <c r="H18" s="8">
        <v>236.11</v>
      </c>
      <c r="I18" t="s">
        <v>34</v>
      </c>
      <c r="J18" t="s">
        <v>35</v>
      </c>
      <c r="K18" s="10">
        <v>0</v>
      </c>
      <c r="L18" t="s">
        <v>42</v>
      </c>
      <c r="M18">
        <v>4486.09</v>
      </c>
      <c r="N18">
        <v>2691.654</v>
      </c>
      <c r="O18" s="10">
        <v>1760.3260000000002</v>
      </c>
      <c r="P18" s="10">
        <v>0.39239649672654808</v>
      </c>
      <c r="Q18" s="8">
        <v>4486.09</v>
      </c>
      <c r="R18" t="s">
        <v>43</v>
      </c>
      <c r="S18" t="s">
        <v>50</v>
      </c>
      <c r="T18" t="s">
        <v>2931</v>
      </c>
      <c r="U18">
        <v>0</v>
      </c>
      <c r="V18" t="str">
        <f>IF(CleanedTable[[#This Row],[Returned]] = 0,"NO","Yes")</f>
        <v>NO</v>
      </c>
      <c r="W18" t="s">
        <v>67</v>
      </c>
      <c r="X18" t="s">
        <v>1567</v>
      </c>
      <c r="Y18" s="10">
        <v>34.11</v>
      </c>
      <c r="Z18" s="3">
        <v>44983</v>
      </c>
      <c r="AA18" s="3">
        <v>44989</v>
      </c>
      <c r="AB18" t="s">
        <v>2926</v>
      </c>
      <c r="AC18">
        <v>6</v>
      </c>
    </row>
    <row r="19" spans="1:29" x14ac:dyDescent="0.3">
      <c r="A19" s="3">
        <v>45440</v>
      </c>
      <c r="B19" s="3" t="str">
        <f>TEXT(CleanedTable[[#This Row],[OrderDate]],"mmm")</f>
        <v>May</v>
      </c>
      <c r="C19" s="3" t="str">
        <f>TEXT(CleanedTable[[#This Row],[OrderDate]],"yyyy")</f>
        <v>2024</v>
      </c>
      <c r="D19" s="3" t="str">
        <f>TEXT(CleanedTable[[#This Row],[OrderDate]],"mmm yyyy")</f>
        <v>May 2024</v>
      </c>
      <c r="E19" t="s">
        <v>22</v>
      </c>
      <c r="F19" t="s">
        <v>26</v>
      </c>
      <c r="G19" s="12">
        <v>11</v>
      </c>
      <c r="H19" s="8">
        <v>573.14</v>
      </c>
      <c r="I19" t="s">
        <v>34</v>
      </c>
      <c r="J19" t="s">
        <v>36</v>
      </c>
      <c r="K19" s="10">
        <v>0.05</v>
      </c>
      <c r="L19" t="s">
        <v>41</v>
      </c>
      <c r="M19">
        <v>5989.3130000000001</v>
      </c>
      <c r="N19">
        <v>3782.7239999999997</v>
      </c>
      <c r="O19" s="10">
        <v>2171.8790000000004</v>
      </c>
      <c r="P19" s="10">
        <v>0.36262573019643496</v>
      </c>
      <c r="Q19" s="8">
        <v>5989.3130000000001</v>
      </c>
      <c r="R19" t="s">
        <v>47</v>
      </c>
      <c r="S19" t="s">
        <v>49</v>
      </c>
      <c r="T19" t="s">
        <v>2931</v>
      </c>
      <c r="U19">
        <v>0</v>
      </c>
      <c r="V19" t="str">
        <f>IF(CleanedTable[[#This Row],[Returned]] = 0,"NO","Yes")</f>
        <v>NO</v>
      </c>
      <c r="W19" t="s">
        <v>68</v>
      </c>
      <c r="X19" t="s">
        <v>1568</v>
      </c>
      <c r="Y19" s="10">
        <v>34.71</v>
      </c>
      <c r="Z19" s="3">
        <v>45440</v>
      </c>
      <c r="AA19" s="3">
        <v>45444</v>
      </c>
      <c r="AB19" t="s">
        <v>2925</v>
      </c>
      <c r="AC19">
        <v>4</v>
      </c>
    </row>
    <row r="20" spans="1:29" x14ac:dyDescent="0.3">
      <c r="A20" s="3">
        <v>45260</v>
      </c>
      <c r="B20" s="3" t="str">
        <f>TEXT(CleanedTable[[#This Row],[OrderDate]],"mmm")</f>
        <v>Nov</v>
      </c>
      <c r="C20" s="3" t="str">
        <f>TEXT(CleanedTable[[#This Row],[OrderDate]],"yyyy")</f>
        <v>2023</v>
      </c>
      <c r="D20" s="3" t="str">
        <f>TEXT(CleanedTable[[#This Row],[OrderDate]],"mmm yyyy")</f>
        <v>Nov 2023</v>
      </c>
      <c r="E20" t="s">
        <v>19</v>
      </c>
      <c r="F20" t="s">
        <v>25</v>
      </c>
      <c r="G20" s="12">
        <v>20</v>
      </c>
      <c r="H20" s="8">
        <v>519.04</v>
      </c>
      <c r="I20" t="s">
        <v>31</v>
      </c>
      <c r="J20" t="s">
        <v>36</v>
      </c>
      <c r="K20" s="10">
        <v>0.15</v>
      </c>
      <c r="L20" t="s">
        <v>40</v>
      </c>
      <c r="M20">
        <v>8823.6799999999985</v>
      </c>
      <c r="N20">
        <v>6228.48</v>
      </c>
      <c r="O20" s="10">
        <v>2575.7699999999991</v>
      </c>
      <c r="P20" s="10">
        <v>0.29191561797345322</v>
      </c>
      <c r="Q20" s="8">
        <v>8823.6799999999985</v>
      </c>
      <c r="R20" t="s">
        <v>44</v>
      </c>
      <c r="S20" t="s">
        <v>48</v>
      </c>
      <c r="T20" t="s">
        <v>2931</v>
      </c>
      <c r="U20">
        <v>0</v>
      </c>
      <c r="V20" t="str">
        <f>IF(CleanedTable[[#This Row],[Returned]] = 0,"NO","Yes")</f>
        <v>NO</v>
      </c>
      <c r="W20" t="s">
        <v>69</v>
      </c>
      <c r="X20" t="s">
        <v>1569</v>
      </c>
      <c r="Y20" s="10">
        <v>19.43</v>
      </c>
      <c r="Z20" s="3">
        <v>45260</v>
      </c>
      <c r="AA20" s="3">
        <v>45268</v>
      </c>
      <c r="AB20" t="s">
        <v>2922</v>
      </c>
      <c r="AC20">
        <v>8</v>
      </c>
    </row>
    <row r="21" spans="1:29" x14ac:dyDescent="0.3">
      <c r="A21" s="3">
        <v>45099</v>
      </c>
      <c r="B21" s="3" t="str">
        <f>TEXT(CleanedTable[[#This Row],[OrderDate]],"mmm")</f>
        <v>Jun</v>
      </c>
      <c r="C21" s="3" t="str">
        <f>TEXT(CleanedTable[[#This Row],[OrderDate]],"yyyy")</f>
        <v>2023</v>
      </c>
      <c r="D21" s="3" t="str">
        <f>TEXT(CleanedTable[[#This Row],[OrderDate]],"mmm yyyy")</f>
        <v>Jun 2023</v>
      </c>
      <c r="E21" t="s">
        <v>23</v>
      </c>
      <c r="F21" t="s">
        <v>26</v>
      </c>
      <c r="G21" s="12">
        <v>14</v>
      </c>
      <c r="H21" s="8">
        <v>30.83</v>
      </c>
      <c r="I21" t="s">
        <v>31</v>
      </c>
      <c r="J21" t="s">
        <v>36</v>
      </c>
      <c r="K21" s="10">
        <v>0</v>
      </c>
      <c r="L21" t="s">
        <v>40</v>
      </c>
      <c r="M21">
        <v>431.62</v>
      </c>
      <c r="N21">
        <v>258.97199999999998</v>
      </c>
      <c r="O21" s="10">
        <v>165.54800000000003</v>
      </c>
      <c r="P21" s="10">
        <v>0.38355034521106535</v>
      </c>
      <c r="Q21" s="8">
        <v>431.62</v>
      </c>
      <c r="R21" t="s">
        <v>43</v>
      </c>
      <c r="S21" t="s">
        <v>50</v>
      </c>
      <c r="T21" t="s">
        <v>2931</v>
      </c>
      <c r="U21">
        <v>1</v>
      </c>
      <c r="V21" t="str">
        <f>IF(CleanedTable[[#This Row],[Returned]] = 0,"NO","Yes")</f>
        <v>Yes</v>
      </c>
      <c r="W21" t="s">
        <v>70</v>
      </c>
      <c r="X21" t="s">
        <v>1570</v>
      </c>
      <c r="Y21" s="10">
        <v>7.1</v>
      </c>
      <c r="Z21" s="3">
        <v>45099</v>
      </c>
      <c r="AA21" s="3">
        <v>45109</v>
      </c>
      <c r="AB21" t="s">
        <v>2926</v>
      </c>
      <c r="AC21">
        <v>10</v>
      </c>
    </row>
    <row r="22" spans="1:29" x14ac:dyDescent="0.3">
      <c r="A22" s="3">
        <v>45813</v>
      </c>
      <c r="B22" s="3" t="str">
        <f>TEXT(CleanedTable[[#This Row],[OrderDate]],"mmm")</f>
        <v>Jun</v>
      </c>
      <c r="C22" s="3" t="str">
        <f>TEXT(CleanedTable[[#This Row],[OrderDate]],"yyyy")</f>
        <v>2025</v>
      </c>
      <c r="D22" s="3" t="str">
        <f>TEXT(CleanedTable[[#This Row],[OrderDate]],"mmm yyyy")</f>
        <v>Jun 2025</v>
      </c>
      <c r="E22" t="s">
        <v>23</v>
      </c>
      <c r="F22" t="s">
        <v>25</v>
      </c>
      <c r="G22" s="12">
        <v>10</v>
      </c>
      <c r="H22" s="8">
        <v>319.05</v>
      </c>
      <c r="I22" t="s">
        <v>34</v>
      </c>
      <c r="J22" t="s">
        <v>35</v>
      </c>
      <c r="K22" s="10">
        <v>0</v>
      </c>
      <c r="L22" t="s">
        <v>41</v>
      </c>
      <c r="M22">
        <v>3190.5</v>
      </c>
      <c r="N22">
        <v>1914.3000000000002</v>
      </c>
      <c r="O22" s="10">
        <v>1247.7699999999998</v>
      </c>
      <c r="P22" s="10">
        <v>0.39108917097633594</v>
      </c>
      <c r="Q22" s="8">
        <v>3190.5</v>
      </c>
      <c r="R22" t="s">
        <v>43</v>
      </c>
      <c r="T22" t="s">
        <v>2932</v>
      </c>
      <c r="U22">
        <v>0</v>
      </c>
      <c r="V22" t="str">
        <f>IF(CleanedTable[[#This Row],[Returned]] = 0,"NO","Yes")</f>
        <v>NO</v>
      </c>
      <c r="W22" t="s">
        <v>71</v>
      </c>
      <c r="X22" t="s">
        <v>1571</v>
      </c>
      <c r="Y22" s="10">
        <v>28.43</v>
      </c>
      <c r="Z22" s="3">
        <v>45813</v>
      </c>
      <c r="AA22" s="3">
        <v>45816</v>
      </c>
      <c r="AB22" t="s">
        <v>2926</v>
      </c>
      <c r="AC22">
        <v>3</v>
      </c>
    </row>
    <row r="23" spans="1:29" x14ac:dyDescent="0.3">
      <c r="A23" s="3">
        <v>44988</v>
      </c>
      <c r="B23" s="3" t="str">
        <f>TEXT(CleanedTable[[#This Row],[OrderDate]],"mmm")</f>
        <v>Mar</v>
      </c>
      <c r="C23" s="3" t="str">
        <f>TEXT(CleanedTable[[#This Row],[OrderDate]],"yyyy")</f>
        <v>2023</v>
      </c>
      <c r="D23" s="3" t="str">
        <f>TEXT(CleanedTable[[#This Row],[OrderDate]],"mmm yyyy")</f>
        <v>Mar 2023</v>
      </c>
      <c r="E23" t="s">
        <v>22</v>
      </c>
      <c r="F23" t="s">
        <v>27</v>
      </c>
      <c r="G23" s="12">
        <v>14</v>
      </c>
      <c r="H23" s="8">
        <v>312.79000000000002</v>
      </c>
      <c r="I23" t="s">
        <v>32</v>
      </c>
      <c r="J23" t="s">
        <v>36</v>
      </c>
      <c r="K23" s="10">
        <v>0.05</v>
      </c>
      <c r="L23" t="s">
        <v>42</v>
      </c>
      <c r="M23">
        <v>4160.107</v>
      </c>
      <c r="N23">
        <v>2627.4360000000001</v>
      </c>
      <c r="O23" s="10">
        <v>1485.8409999999999</v>
      </c>
      <c r="P23" s="10">
        <v>0.35716413063413993</v>
      </c>
      <c r="Q23" s="8">
        <v>4160.107</v>
      </c>
      <c r="R23" t="s">
        <v>43</v>
      </c>
      <c r="T23" t="s">
        <v>2932</v>
      </c>
      <c r="U23">
        <v>1</v>
      </c>
      <c r="V23" t="str">
        <f>IF(CleanedTable[[#This Row],[Returned]] = 0,"NO","Yes")</f>
        <v>Yes</v>
      </c>
      <c r="W23" t="s">
        <v>72</v>
      </c>
      <c r="X23" t="s">
        <v>1572</v>
      </c>
      <c r="Y23" s="10">
        <v>46.83</v>
      </c>
      <c r="Z23" s="3">
        <v>44988</v>
      </c>
      <c r="AA23" s="3">
        <v>44993</v>
      </c>
      <c r="AB23" t="s">
        <v>2925</v>
      </c>
      <c r="AC23">
        <v>5</v>
      </c>
    </row>
    <row r="24" spans="1:29" x14ac:dyDescent="0.3">
      <c r="A24" s="3">
        <v>45340</v>
      </c>
      <c r="B24" s="3" t="str">
        <f>TEXT(CleanedTable[[#This Row],[OrderDate]],"mmm")</f>
        <v>Feb</v>
      </c>
      <c r="C24" s="3" t="str">
        <f>TEXT(CleanedTable[[#This Row],[OrderDate]],"yyyy")</f>
        <v>2024</v>
      </c>
      <c r="D24" s="3" t="str">
        <f>TEXT(CleanedTable[[#This Row],[OrderDate]],"mmm yyyy")</f>
        <v>Feb 2024</v>
      </c>
      <c r="E24" t="s">
        <v>21</v>
      </c>
      <c r="F24" t="s">
        <v>24</v>
      </c>
      <c r="G24" s="12">
        <v>14</v>
      </c>
      <c r="H24" s="8">
        <v>395.45</v>
      </c>
      <c r="I24" t="s">
        <v>33</v>
      </c>
      <c r="J24" t="s">
        <v>36</v>
      </c>
      <c r="K24" s="10">
        <v>0</v>
      </c>
      <c r="L24" t="s">
        <v>40</v>
      </c>
      <c r="M24">
        <v>5536.3</v>
      </c>
      <c r="N24">
        <v>3321.7799999999997</v>
      </c>
      <c r="O24" s="10">
        <v>2178.0700000000006</v>
      </c>
      <c r="P24" s="10">
        <v>0.39341618048154914</v>
      </c>
      <c r="Q24" s="8">
        <v>5536.3</v>
      </c>
      <c r="R24" t="s">
        <v>47</v>
      </c>
      <c r="S24" t="s">
        <v>48</v>
      </c>
      <c r="T24" t="s">
        <v>2931</v>
      </c>
      <c r="U24">
        <v>1</v>
      </c>
      <c r="V24" t="str">
        <f>IF(CleanedTable[[#This Row],[Returned]] = 0,"NO","Yes")</f>
        <v>Yes</v>
      </c>
      <c r="W24" t="s">
        <v>73</v>
      </c>
      <c r="X24" t="s">
        <v>1573</v>
      </c>
      <c r="Y24" s="10">
        <v>36.450000000000003</v>
      </c>
      <c r="Z24" s="3">
        <v>45340</v>
      </c>
      <c r="AA24" s="3">
        <v>45344</v>
      </c>
      <c r="AB24" t="s">
        <v>2924</v>
      </c>
      <c r="AC24">
        <v>4</v>
      </c>
    </row>
    <row r="25" spans="1:29" x14ac:dyDescent="0.3">
      <c r="A25" s="3">
        <v>45144</v>
      </c>
      <c r="B25" s="3" t="str">
        <f>TEXT(CleanedTable[[#This Row],[OrderDate]],"mmm")</f>
        <v>Aug</v>
      </c>
      <c r="C25" s="3" t="str">
        <f>TEXT(CleanedTable[[#This Row],[OrderDate]],"yyyy")</f>
        <v>2023</v>
      </c>
      <c r="D25" s="3" t="str">
        <f>TEXT(CleanedTable[[#This Row],[OrderDate]],"mmm yyyy")</f>
        <v>Aug 2023</v>
      </c>
      <c r="E25" t="s">
        <v>22</v>
      </c>
      <c r="F25" t="s">
        <v>24</v>
      </c>
      <c r="G25" s="12">
        <v>12</v>
      </c>
      <c r="H25" s="8">
        <v>472.72</v>
      </c>
      <c r="I25" t="s">
        <v>34</v>
      </c>
      <c r="J25" t="s">
        <v>36</v>
      </c>
      <c r="K25" s="10">
        <v>0.15</v>
      </c>
      <c r="L25" t="s">
        <v>41</v>
      </c>
      <c r="M25">
        <v>4821.7440000000006</v>
      </c>
      <c r="N25">
        <v>3403.5839999999998</v>
      </c>
      <c r="O25" s="10">
        <v>1390.1900000000007</v>
      </c>
      <c r="P25" s="10">
        <v>0.28831684137523694</v>
      </c>
      <c r="Q25" s="8">
        <v>4821.7440000000006</v>
      </c>
      <c r="R25" t="s">
        <v>45</v>
      </c>
      <c r="T25" t="s">
        <v>2932</v>
      </c>
      <c r="U25">
        <v>0</v>
      </c>
      <c r="V25" t="str">
        <f>IF(CleanedTable[[#This Row],[Returned]] = 0,"NO","Yes")</f>
        <v>NO</v>
      </c>
      <c r="W25" t="s">
        <v>74</v>
      </c>
      <c r="X25" t="s">
        <v>1574</v>
      </c>
      <c r="Y25" s="10">
        <v>27.97</v>
      </c>
      <c r="Z25" s="3">
        <v>45144</v>
      </c>
      <c r="AA25" s="3">
        <v>45152</v>
      </c>
      <c r="AB25" t="s">
        <v>2925</v>
      </c>
      <c r="AC25">
        <v>8</v>
      </c>
    </row>
    <row r="26" spans="1:29" x14ac:dyDescent="0.3">
      <c r="A26" s="3">
        <v>45435</v>
      </c>
      <c r="B26" s="3" t="str">
        <f>TEXT(CleanedTable[[#This Row],[OrderDate]],"mmm")</f>
        <v>May</v>
      </c>
      <c r="C26" s="3" t="str">
        <f>TEXT(CleanedTable[[#This Row],[OrderDate]],"yyyy")</f>
        <v>2024</v>
      </c>
      <c r="D26" s="3" t="str">
        <f>TEXT(CleanedTable[[#This Row],[OrderDate]],"mmm yyyy")</f>
        <v>May 2024</v>
      </c>
      <c r="E26" t="s">
        <v>21</v>
      </c>
      <c r="F26" t="s">
        <v>26</v>
      </c>
      <c r="G26" s="12">
        <v>5</v>
      </c>
      <c r="H26" s="8">
        <v>288.01</v>
      </c>
      <c r="I26" t="s">
        <v>32</v>
      </c>
      <c r="J26" t="s">
        <v>35</v>
      </c>
      <c r="K26" s="10">
        <v>0</v>
      </c>
      <c r="L26" t="s">
        <v>37</v>
      </c>
      <c r="M26">
        <v>1440.05</v>
      </c>
      <c r="N26">
        <v>864.03</v>
      </c>
      <c r="O26" s="10">
        <v>529.32999999999993</v>
      </c>
      <c r="P26" s="10">
        <v>0.36757751466962951</v>
      </c>
      <c r="Q26" s="8">
        <v>1440.05</v>
      </c>
      <c r="R26" t="s">
        <v>45</v>
      </c>
      <c r="S26" t="s">
        <v>48</v>
      </c>
      <c r="T26" t="s">
        <v>2931</v>
      </c>
      <c r="U26">
        <v>0</v>
      </c>
      <c r="V26" t="str">
        <f>IF(CleanedTable[[#This Row],[Returned]] = 0,"NO","Yes")</f>
        <v>NO</v>
      </c>
      <c r="W26" t="s">
        <v>75</v>
      </c>
      <c r="X26" t="s">
        <v>1575</v>
      </c>
      <c r="Y26" s="10">
        <v>46.69</v>
      </c>
      <c r="Z26" s="3">
        <v>45435</v>
      </c>
      <c r="AA26" s="3">
        <v>45442</v>
      </c>
      <c r="AB26" t="s">
        <v>2924</v>
      </c>
      <c r="AC26">
        <v>7</v>
      </c>
    </row>
    <row r="27" spans="1:29" x14ac:dyDescent="0.3">
      <c r="A27" s="3">
        <v>45222</v>
      </c>
      <c r="B27" s="3" t="str">
        <f>TEXT(CleanedTable[[#This Row],[OrderDate]],"mmm")</f>
        <v>Oct</v>
      </c>
      <c r="C27" s="3" t="str">
        <f>TEXT(CleanedTable[[#This Row],[OrderDate]],"yyyy")</f>
        <v>2023</v>
      </c>
      <c r="D27" s="3" t="str">
        <f>TEXT(CleanedTable[[#This Row],[OrderDate]],"mmm yyyy")</f>
        <v>Oct 2023</v>
      </c>
      <c r="E27" t="s">
        <v>19</v>
      </c>
      <c r="F27" t="s">
        <v>25</v>
      </c>
      <c r="G27" s="12">
        <v>13</v>
      </c>
      <c r="H27" s="8">
        <v>562.29</v>
      </c>
      <c r="I27" t="s">
        <v>34</v>
      </c>
      <c r="J27" t="s">
        <v>36</v>
      </c>
      <c r="K27" s="10">
        <v>0</v>
      </c>
      <c r="L27" t="s">
        <v>41</v>
      </c>
      <c r="M27">
        <v>7309.7699999999995</v>
      </c>
      <c r="N27">
        <v>4385.8619999999992</v>
      </c>
      <c r="O27" s="10">
        <v>2885.7780000000002</v>
      </c>
      <c r="P27" s="10">
        <v>0.39478369360458682</v>
      </c>
      <c r="Q27" s="8">
        <v>7309.77</v>
      </c>
      <c r="R27" t="s">
        <v>44</v>
      </c>
      <c r="S27" t="s">
        <v>49</v>
      </c>
      <c r="T27" t="s">
        <v>2931</v>
      </c>
      <c r="U27">
        <v>0</v>
      </c>
      <c r="V27" t="str">
        <f>IF(CleanedTable[[#This Row],[Returned]] = 0,"NO","Yes")</f>
        <v>NO</v>
      </c>
      <c r="W27" t="s">
        <v>76</v>
      </c>
      <c r="X27" t="s">
        <v>1576</v>
      </c>
      <c r="Y27" s="10">
        <v>38.130000000000003</v>
      </c>
      <c r="Z27" s="3">
        <v>45222</v>
      </c>
      <c r="AA27" s="3">
        <v>45227</v>
      </c>
      <c r="AB27" t="s">
        <v>2922</v>
      </c>
      <c r="AC27">
        <v>5</v>
      </c>
    </row>
    <row r="28" spans="1:29" x14ac:dyDescent="0.3">
      <c r="A28" s="3">
        <v>45824</v>
      </c>
      <c r="B28" s="3" t="str">
        <f>TEXT(CleanedTable[[#This Row],[OrderDate]],"mmm")</f>
        <v>Jun</v>
      </c>
      <c r="C28" s="3" t="str">
        <f>TEXT(CleanedTable[[#This Row],[OrderDate]],"yyyy")</f>
        <v>2025</v>
      </c>
      <c r="D28" s="3" t="str">
        <f>TEXT(CleanedTable[[#This Row],[OrderDate]],"mmm yyyy")</f>
        <v>Jun 2025</v>
      </c>
      <c r="E28" t="s">
        <v>23</v>
      </c>
      <c r="F28" t="s">
        <v>25</v>
      </c>
      <c r="G28" s="12">
        <v>1</v>
      </c>
      <c r="H28" s="8">
        <v>101.73</v>
      </c>
      <c r="I28" t="s">
        <v>34</v>
      </c>
      <c r="J28" t="s">
        <v>36</v>
      </c>
      <c r="K28" s="10">
        <v>0</v>
      </c>
      <c r="L28" t="s">
        <v>39</v>
      </c>
      <c r="M28">
        <v>101.73</v>
      </c>
      <c r="N28">
        <v>61.037999999999997</v>
      </c>
      <c r="O28" s="10">
        <v>29.102000000000007</v>
      </c>
      <c r="P28" s="10">
        <v>0.2860709721812642</v>
      </c>
      <c r="Q28" s="8">
        <v>101.73</v>
      </c>
      <c r="R28" t="s">
        <v>46</v>
      </c>
      <c r="S28" t="s">
        <v>50</v>
      </c>
      <c r="T28" t="s">
        <v>2931</v>
      </c>
      <c r="U28">
        <v>0</v>
      </c>
      <c r="V28" t="str">
        <f>IF(CleanedTable[[#This Row],[Returned]] = 0,"NO","Yes")</f>
        <v>NO</v>
      </c>
      <c r="W28" t="s">
        <v>77</v>
      </c>
      <c r="X28" t="s">
        <v>1577</v>
      </c>
      <c r="Y28" s="10">
        <v>11.59</v>
      </c>
      <c r="Z28" s="3">
        <v>45824</v>
      </c>
      <c r="AA28" s="3">
        <v>45833</v>
      </c>
      <c r="AB28" t="s">
        <v>2926</v>
      </c>
      <c r="AC28">
        <v>9</v>
      </c>
    </row>
    <row r="29" spans="1:29" x14ac:dyDescent="0.3">
      <c r="A29" s="3">
        <v>44988</v>
      </c>
      <c r="B29" s="3" t="str">
        <f>TEXT(CleanedTable[[#This Row],[OrderDate]],"mmm")</f>
        <v>Mar</v>
      </c>
      <c r="C29" s="3" t="str">
        <f>TEXT(CleanedTable[[#This Row],[OrderDate]],"yyyy")</f>
        <v>2023</v>
      </c>
      <c r="D29" s="3" t="str">
        <f>TEXT(CleanedTable[[#This Row],[OrderDate]],"mmm yyyy")</f>
        <v>Mar 2023</v>
      </c>
      <c r="E29" t="s">
        <v>21</v>
      </c>
      <c r="F29" t="s">
        <v>25</v>
      </c>
      <c r="G29" s="12">
        <v>4</v>
      </c>
      <c r="H29" s="8">
        <v>279.49</v>
      </c>
      <c r="I29" t="s">
        <v>31</v>
      </c>
      <c r="J29" t="s">
        <v>36</v>
      </c>
      <c r="K29" s="10">
        <v>0</v>
      </c>
      <c r="L29" t="s">
        <v>41</v>
      </c>
      <c r="M29">
        <v>1117.96</v>
      </c>
      <c r="N29">
        <v>670.77599999999995</v>
      </c>
      <c r="O29" s="10">
        <v>422.40400000000011</v>
      </c>
      <c r="P29" s="10">
        <v>0.37783462735697171</v>
      </c>
      <c r="Q29" s="8">
        <v>1117.96</v>
      </c>
      <c r="R29" t="s">
        <v>45</v>
      </c>
      <c r="S29" t="s">
        <v>48</v>
      </c>
      <c r="T29" t="s">
        <v>2931</v>
      </c>
      <c r="U29">
        <v>0</v>
      </c>
      <c r="V29" t="str">
        <f>IF(CleanedTable[[#This Row],[Returned]] = 0,"NO","Yes")</f>
        <v>NO</v>
      </c>
      <c r="W29" t="s">
        <v>78</v>
      </c>
      <c r="X29" t="s">
        <v>1578</v>
      </c>
      <c r="Y29" s="10">
        <v>24.78</v>
      </c>
      <c r="Z29" s="3">
        <v>44988</v>
      </c>
      <c r="AA29" s="3">
        <v>44993</v>
      </c>
      <c r="AB29" t="s">
        <v>2924</v>
      </c>
      <c r="AC29">
        <v>5</v>
      </c>
    </row>
    <row r="30" spans="1:29" x14ac:dyDescent="0.3">
      <c r="A30" s="3">
        <v>45614</v>
      </c>
      <c r="B30" s="3" t="str">
        <f>TEXT(CleanedTable[[#This Row],[OrderDate]],"mmm")</f>
        <v>Nov</v>
      </c>
      <c r="C30" s="3" t="str">
        <f>TEXT(CleanedTable[[#This Row],[OrderDate]],"yyyy")</f>
        <v>2024</v>
      </c>
      <c r="D30" s="3" t="str">
        <f>TEXT(CleanedTable[[#This Row],[OrderDate]],"mmm yyyy")</f>
        <v>Nov 2024</v>
      </c>
      <c r="E30" t="s">
        <v>20</v>
      </c>
      <c r="F30" t="s">
        <v>24</v>
      </c>
      <c r="G30" s="12">
        <v>1</v>
      </c>
      <c r="H30" s="8">
        <v>178.55</v>
      </c>
      <c r="I30" t="s">
        <v>32</v>
      </c>
      <c r="J30" t="s">
        <v>36</v>
      </c>
      <c r="K30" s="10">
        <v>0.15</v>
      </c>
      <c r="L30" t="s">
        <v>40</v>
      </c>
      <c r="M30">
        <v>151.76750000000001</v>
      </c>
      <c r="N30">
        <v>107.13000000000001</v>
      </c>
      <c r="O30" s="10">
        <v>37.027500000000003</v>
      </c>
      <c r="P30" s="10">
        <v>0.24397515937206582</v>
      </c>
      <c r="Q30" s="8">
        <v>151.76750000000001</v>
      </c>
      <c r="R30" t="s">
        <v>46</v>
      </c>
      <c r="S30" t="s">
        <v>49</v>
      </c>
      <c r="T30" t="s">
        <v>2931</v>
      </c>
      <c r="U30">
        <v>1</v>
      </c>
      <c r="V30" t="str">
        <f>IF(CleanedTable[[#This Row],[Returned]] = 0,"NO","Yes")</f>
        <v>Yes</v>
      </c>
      <c r="W30" t="s">
        <v>79</v>
      </c>
      <c r="X30" t="s">
        <v>1579</v>
      </c>
      <c r="Y30" s="10">
        <v>7.61</v>
      </c>
      <c r="Z30" s="3">
        <v>45614</v>
      </c>
      <c r="AA30" s="3">
        <v>45617</v>
      </c>
      <c r="AB30" t="s">
        <v>2923</v>
      </c>
      <c r="AC30">
        <v>3</v>
      </c>
    </row>
    <row r="31" spans="1:29" x14ac:dyDescent="0.3">
      <c r="A31" s="3">
        <v>45055</v>
      </c>
      <c r="B31" s="3" t="str">
        <f>TEXT(CleanedTable[[#This Row],[OrderDate]],"mmm")</f>
        <v>May</v>
      </c>
      <c r="C31" s="3" t="str">
        <f>TEXT(CleanedTable[[#This Row],[OrderDate]],"yyyy")</f>
        <v>2023</v>
      </c>
      <c r="D31" s="3" t="str">
        <f>TEXT(CleanedTable[[#This Row],[OrderDate]],"mmm yyyy")</f>
        <v>May 2023</v>
      </c>
      <c r="E31" t="s">
        <v>22</v>
      </c>
      <c r="F31" t="s">
        <v>29</v>
      </c>
      <c r="G31" s="12">
        <v>1</v>
      </c>
      <c r="H31" s="8">
        <v>472.07</v>
      </c>
      <c r="I31" t="s">
        <v>32</v>
      </c>
      <c r="J31" t="s">
        <v>35</v>
      </c>
      <c r="K31" s="10">
        <v>0.1</v>
      </c>
      <c r="L31" t="s">
        <v>40</v>
      </c>
      <c r="M31">
        <v>424.863</v>
      </c>
      <c r="N31">
        <v>283.24199999999996</v>
      </c>
      <c r="O31" s="10">
        <v>108.45100000000004</v>
      </c>
      <c r="P31" s="10">
        <v>0.25526110769824634</v>
      </c>
      <c r="Q31" s="8">
        <v>424.863</v>
      </c>
      <c r="R31" t="s">
        <v>43</v>
      </c>
      <c r="S31" t="s">
        <v>48</v>
      </c>
      <c r="T31" t="s">
        <v>2931</v>
      </c>
      <c r="U31">
        <v>0</v>
      </c>
      <c r="V31" t="str">
        <f>IF(CleanedTable[[#This Row],[Returned]] = 0,"NO","Yes")</f>
        <v>NO</v>
      </c>
      <c r="W31" t="s">
        <v>80</v>
      </c>
      <c r="X31" t="s">
        <v>1580</v>
      </c>
      <c r="Y31" s="10">
        <v>33.17</v>
      </c>
      <c r="Z31" s="3">
        <v>45055</v>
      </c>
      <c r="AA31" s="3">
        <v>45063</v>
      </c>
      <c r="AB31" t="s">
        <v>2925</v>
      </c>
      <c r="AC31">
        <v>8</v>
      </c>
    </row>
    <row r="32" spans="1:29" x14ac:dyDescent="0.3">
      <c r="A32" s="3">
        <v>45633</v>
      </c>
      <c r="B32" s="3" t="str">
        <f>TEXT(CleanedTable[[#This Row],[OrderDate]],"mmm")</f>
        <v>Dec</v>
      </c>
      <c r="C32" s="3" t="str">
        <f>TEXT(CleanedTable[[#This Row],[OrderDate]],"yyyy")</f>
        <v>2024</v>
      </c>
      <c r="D32" s="3" t="str">
        <f>TEXT(CleanedTable[[#This Row],[OrderDate]],"mmm yyyy")</f>
        <v>Dec 2024</v>
      </c>
      <c r="E32" t="s">
        <v>21</v>
      </c>
      <c r="F32" t="s">
        <v>29</v>
      </c>
      <c r="G32" s="12">
        <v>12</v>
      </c>
      <c r="H32" s="8">
        <v>306.29000000000002</v>
      </c>
      <c r="I32" t="s">
        <v>34</v>
      </c>
      <c r="J32" t="s">
        <v>36</v>
      </c>
      <c r="K32" s="10">
        <v>0</v>
      </c>
      <c r="L32" t="s">
        <v>39</v>
      </c>
      <c r="M32">
        <v>3675.4800000000005</v>
      </c>
      <c r="N32">
        <v>2205.288</v>
      </c>
      <c r="O32" s="10">
        <v>1432.8120000000004</v>
      </c>
      <c r="P32" s="10">
        <v>0.3898298997681936</v>
      </c>
      <c r="Q32" s="8">
        <v>3675.48</v>
      </c>
      <c r="R32" t="s">
        <v>46</v>
      </c>
      <c r="S32" t="s">
        <v>49</v>
      </c>
      <c r="T32" t="s">
        <v>2931</v>
      </c>
      <c r="U32">
        <v>0</v>
      </c>
      <c r="V32" t="str">
        <f>IF(CleanedTable[[#This Row],[Returned]] = 0,"NO","Yes")</f>
        <v>NO</v>
      </c>
      <c r="W32" t="s">
        <v>81</v>
      </c>
      <c r="X32" t="s">
        <v>1581</v>
      </c>
      <c r="Y32" s="10">
        <v>37.380000000000003</v>
      </c>
      <c r="Z32" s="3">
        <v>45633</v>
      </c>
      <c r="AA32" s="3">
        <v>45640</v>
      </c>
      <c r="AB32" t="s">
        <v>2924</v>
      </c>
      <c r="AC32">
        <v>7</v>
      </c>
    </row>
    <row r="33" spans="1:29" x14ac:dyDescent="0.3">
      <c r="A33" s="3">
        <v>45335</v>
      </c>
      <c r="B33" s="3" t="str">
        <f>TEXT(CleanedTable[[#This Row],[OrderDate]],"mmm")</f>
        <v>Feb</v>
      </c>
      <c r="C33" s="3" t="str">
        <f>TEXT(CleanedTable[[#This Row],[OrderDate]],"yyyy")</f>
        <v>2024</v>
      </c>
      <c r="D33" s="3" t="str">
        <f>TEXT(CleanedTable[[#This Row],[OrderDate]],"mmm yyyy")</f>
        <v>Feb 2024</v>
      </c>
      <c r="E33" t="s">
        <v>21</v>
      </c>
      <c r="F33" t="s">
        <v>25</v>
      </c>
      <c r="G33" s="12">
        <v>7</v>
      </c>
      <c r="H33" s="8">
        <v>434.77</v>
      </c>
      <c r="I33" t="s">
        <v>33</v>
      </c>
      <c r="J33" t="s">
        <v>36</v>
      </c>
      <c r="K33" s="10">
        <v>0.15</v>
      </c>
      <c r="L33" t="s">
        <v>39</v>
      </c>
      <c r="M33">
        <v>2586.8815</v>
      </c>
      <c r="N33">
        <v>1826.0339999999997</v>
      </c>
      <c r="O33" s="10">
        <v>748.49750000000029</v>
      </c>
      <c r="P33" s="10">
        <v>0.2893435590304389</v>
      </c>
      <c r="Q33" s="8">
        <v>2586.8815</v>
      </c>
      <c r="R33" t="s">
        <v>43</v>
      </c>
      <c r="S33" t="s">
        <v>49</v>
      </c>
      <c r="T33" t="s">
        <v>2931</v>
      </c>
      <c r="U33">
        <v>0</v>
      </c>
      <c r="V33" t="str">
        <f>IF(CleanedTable[[#This Row],[Returned]] = 0,"NO","Yes")</f>
        <v>NO</v>
      </c>
      <c r="W33" t="s">
        <v>82</v>
      </c>
      <c r="X33" t="s">
        <v>1582</v>
      </c>
      <c r="Y33" s="10">
        <v>12.35</v>
      </c>
      <c r="Z33" s="3">
        <v>45335</v>
      </c>
      <c r="AA33" s="3">
        <v>45337</v>
      </c>
      <c r="AB33" t="s">
        <v>2924</v>
      </c>
      <c r="AC33">
        <v>2</v>
      </c>
    </row>
    <row r="34" spans="1:29" x14ac:dyDescent="0.3">
      <c r="A34" s="3">
        <v>45725</v>
      </c>
      <c r="B34" s="3" t="str">
        <f>TEXT(CleanedTable[[#This Row],[OrderDate]],"mmm")</f>
        <v>Mar</v>
      </c>
      <c r="C34" s="3" t="str">
        <f>TEXT(CleanedTable[[#This Row],[OrderDate]],"yyyy")</f>
        <v>2025</v>
      </c>
      <c r="D34" s="3" t="str">
        <f>TEXT(CleanedTable[[#This Row],[OrderDate]],"mmm yyyy")</f>
        <v>Mar 2025</v>
      </c>
      <c r="E34" t="s">
        <v>20</v>
      </c>
      <c r="F34" t="s">
        <v>26</v>
      </c>
      <c r="G34" s="12">
        <v>6</v>
      </c>
      <c r="H34" s="8">
        <v>64.98</v>
      </c>
      <c r="I34" t="s">
        <v>33</v>
      </c>
      <c r="J34" t="s">
        <v>36</v>
      </c>
      <c r="K34" s="10">
        <v>0</v>
      </c>
      <c r="L34" t="s">
        <v>40</v>
      </c>
      <c r="M34">
        <v>389.88</v>
      </c>
      <c r="N34">
        <v>233.928</v>
      </c>
      <c r="O34" s="10">
        <v>134.702</v>
      </c>
      <c r="P34" s="10">
        <v>0.34549605006668721</v>
      </c>
      <c r="Q34" s="8">
        <v>389.88</v>
      </c>
      <c r="R34" t="s">
        <v>46</v>
      </c>
      <c r="S34" t="s">
        <v>50</v>
      </c>
      <c r="T34" t="s">
        <v>2931</v>
      </c>
      <c r="U34">
        <v>0</v>
      </c>
      <c r="V34" t="str">
        <f>IF(CleanedTable[[#This Row],[Returned]] = 0,"NO","Yes")</f>
        <v>NO</v>
      </c>
      <c r="W34" t="s">
        <v>83</v>
      </c>
      <c r="X34" t="s">
        <v>1583</v>
      </c>
      <c r="Y34" s="10">
        <v>21.25</v>
      </c>
      <c r="Z34" s="3">
        <v>45725</v>
      </c>
      <c r="AA34" s="3">
        <v>45731</v>
      </c>
      <c r="AB34" t="s">
        <v>2923</v>
      </c>
      <c r="AC34">
        <v>6</v>
      </c>
    </row>
    <row r="35" spans="1:29" x14ac:dyDescent="0.3">
      <c r="A35" s="3">
        <v>45021</v>
      </c>
      <c r="B35" s="3" t="str">
        <f>TEXT(CleanedTable[[#This Row],[OrderDate]],"mmm")</f>
        <v>Apr</v>
      </c>
      <c r="C35" s="3" t="str">
        <f>TEXT(CleanedTable[[#This Row],[OrderDate]],"yyyy")</f>
        <v>2023</v>
      </c>
      <c r="D35" s="3" t="str">
        <f>TEXT(CleanedTable[[#This Row],[OrderDate]],"mmm yyyy")</f>
        <v>Apr 2023</v>
      </c>
      <c r="E35" t="s">
        <v>22</v>
      </c>
      <c r="F35" t="s">
        <v>26</v>
      </c>
      <c r="G35" s="12">
        <v>17</v>
      </c>
      <c r="H35" s="8">
        <v>476.49</v>
      </c>
      <c r="I35" t="s">
        <v>34</v>
      </c>
      <c r="J35" t="s">
        <v>36</v>
      </c>
      <c r="K35" s="10">
        <v>0</v>
      </c>
      <c r="L35" t="s">
        <v>38</v>
      </c>
      <c r="M35">
        <v>8100.33</v>
      </c>
      <c r="N35">
        <v>4860.1980000000003</v>
      </c>
      <c r="O35" s="10">
        <v>3222.2219999999998</v>
      </c>
      <c r="P35" s="10">
        <v>0.39778897896752352</v>
      </c>
      <c r="Q35" s="8">
        <v>8100.33</v>
      </c>
      <c r="R35" t="s">
        <v>44</v>
      </c>
      <c r="T35" t="s">
        <v>2932</v>
      </c>
      <c r="U35">
        <v>0</v>
      </c>
      <c r="V35" t="str">
        <f>IF(CleanedTable[[#This Row],[Returned]] = 0,"NO","Yes")</f>
        <v>NO</v>
      </c>
      <c r="W35" t="s">
        <v>84</v>
      </c>
      <c r="X35" t="s">
        <v>1584</v>
      </c>
      <c r="Y35" s="10">
        <v>17.91</v>
      </c>
      <c r="Z35" s="3">
        <v>45021</v>
      </c>
      <c r="AA35" s="3">
        <v>45027</v>
      </c>
      <c r="AB35" t="s">
        <v>2925</v>
      </c>
      <c r="AC35">
        <v>6</v>
      </c>
    </row>
    <row r="36" spans="1:29" x14ac:dyDescent="0.3">
      <c r="A36" s="3">
        <v>45785</v>
      </c>
      <c r="B36" s="3" t="str">
        <f>TEXT(CleanedTable[[#This Row],[OrderDate]],"mmm")</f>
        <v>May</v>
      </c>
      <c r="C36" s="3" t="str">
        <f>TEXT(CleanedTable[[#This Row],[OrderDate]],"yyyy")</f>
        <v>2025</v>
      </c>
      <c r="D36" s="3" t="str">
        <f>TEXT(CleanedTable[[#This Row],[OrderDate]],"mmm yyyy")</f>
        <v>May 2025</v>
      </c>
      <c r="E36" t="s">
        <v>21</v>
      </c>
      <c r="F36" t="s">
        <v>28</v>
      </c>
      <c r="G36" s="12">
        <v>4</v>
      </c>
      <c r="H36" s="8">
        <v>559.72</v>
      </c>
      <c r="I36" t="s">
        <v>34</v>
      </c>
      <c r="J36" t="s">
        <v>36</v>
      </c>
      <c r="K36" s="10">
        <v>0.15</v>
      </c>
      <c r="L36" t="s">
        <v>41</v>
      </c>
      <c r="M36">
        <v>1903.048</v>
      </c>
      <c r="N36">
        <v>1343.328</v>
      </c>
      <c r="O36" s="10">
        <v>517.81000000000006</v>
      </c>
      <c r="P36" s="10">
        <v>0.27209508115402242</v>
      </c>
      <c r="Q36" s="8">
        <v>1903.048</v>
      </c>
      <c r="R36" t="s">
        <v>43</v>
      </c>
      <c r="S36" t="s">
        <v>49</v>
      </c>
      <c r="T36" t="s">
        <v>2931</v>
      </c>
      <c r="U36">
        <v>0</v>
      </c>
      <c r="V36" t="str">
        <f>IF(CleanedTable[[#This Row],[Returned]] = 0,"NO","Yes")</f>
        <v>NO</v>
      </c>
      <c r="W36" t="s">
        <v>85</v>
      </c>
      <c r="X36" t="s">
        <v>1585</v>
      </c>
      <c r="Y36" s="10">
        <v>41.91</v>
      </c>
      <c r="Z36" s="3">
        <v>45785</v>
      </c>
      <c r="AA36" s="3">
        <v>45789</v>
      </c>
      <c r="AB36" t="s">
        <v>2924</v>
      </c>
      <c r="AC36">
        <v>4</v>
      </c>
    </row>
    <row r="37" spans="1:29" x14ac:dyDescent="0.3">
      <c r="A37" s="3">
        <v>45172</v>
      </c>
      <c r="B37" s="3" t="str">
        <f>TEXT(CleanedTable[[#This Row],[OrderDate]],"mmm")</f>
        <v>Sep</v>
      </c>
      <c r="C37" s="3" t="str">
        <f>TEXT(CleanedTable[[#This Row],[OrderDate]],"yyyy")</f>
        <v>2023</v>
      </c>
      <c r="D37" s="3" t="str">
        <f>TEXT(CleanedTable[[#This Row],[OrderDate]],"mmm yyyy")</f>
        <v>Sep 2023</v>
      </c>
      <c r="E37" t="s">
        <v>21</v>
      </c>
      <c r="F37" t="s">
        <v>29</v>
      </c>
      <c r="G37" s="12">
        <v>14</v>
      </c>
      <c r="H37" s="8">
        <v>82.14</v>
      </c>
      <c r="I37" t="s">
        <v>33</v>
      </c>
      <c r="J37" t="s">
        <v>36</v>
      </c>
      <c r="K37" s="10">
        <v>0</v>
      </c>
      <c r="L37" t="s">
        <v>38</v>
      </c>
      <c r="M37">
        <v>1149.96</v>
      </c>
      <c r="N37">
        <v>689.976</v>
      </c>
      <c r="O37" s="10">
        <v>447.41400000000004</v>
      </c>
      <c r="P37" s="10">
        <v>0.38906918501513099</v>
      </c>
      <c r="Q37" s="8">
        <v>1149.96</v>
      </c>
      <c r="R37" t="s">
        <v>45</v>
      </c>
      <c r="T37" t="s">
        <v>2932</v>
      </c>
      <c r="U37">
        <v>0</v>
      </c>
      <c r="V37" t="str">
        <f>IF(CleanedTable[[#This Row],[Returned]] = 0,"NO","Yes")</f>
        <v>NO</v>
      </c>
      <c r="W37" t="s">
        <v>86</v>
      </c>
      <c r="X37" t="s">
        <v>1586</v>
      </c>
      <c r="Y37" s="10">
        <v>12.57</v>
      </c>
      <c r="Z37" s="3">
        <v>45172</v>
      </c>
      <c r="AA37" s="3">
        <v>45180</v>
      </c>
      <c r="AB37" t="s">
        <v>2924</v>
      </c>
      <c r="AC37">
        <v>8</v>
      </c>
    </row>
    <row r="38" spans="1:29" x14ac:dyDescent="0.3">
      <c r="A38" s="3">
        <v>45737</v>
      </c>
      <c r="B38" s="3" t="str">
        <f>TEXT(CleanedTable[[#This Row],[OrderDate]],"mmm")</f>
        <v>Mar</v>
      </c>
      <c r="C38" s="3" t="str">
        <f>TEXT(CleanedTable[[#This Row],[OrderDate]],"yyyy")</f>
        <v>2025</v>
      </c>
      <c r="D38" s="3" t="str">
        <f>TEXT(CleanedTable[[#This Row],[OrderDate]],"mmm yyyy")</f>
        <v>Mar 2025</v>
      </c>
      <c r="E38" t="s">
        <v>22</v>
      </c>
      <c r="F38" t="s">
        <v>27</v>
      </c>
      <c r="G38" s="12">
        <v>9</v>
      </c>
      <c r="H38" s="8">
        <v>343.21</v>
      </c>
      <c r="I38" t="s">
        <v>32</v>
      </c>
      <c r="J38" t="s">
        <v>36</v>
      </c>
      <c r="K38" s="10">
        <v>0.05</v>
      </c>
      <c r="L38" t="s">
        <v>40</v>
      </c>
      <c r="M38">
        <v>2934.4454999999998</v>
      </c>
      <c r="N38">
        <v>1853.3339999999998</v>
      </c>
      <c r="O38" s="10">
        <v>1040.8215</v>
      </c>
      <c r="P38" s="10">
        <v>0.35469103106532396</v>
      </c>
      <c r="Q38" s="8">
        <v>2934.4454999999998</v>
      </c>
      <c r="R38" t="s">
        <v>46</v>
      </c>
      <c r="S38" t="s">
        <v>48</v>
      </c>
      <c r="T38" t="s">
        <v>2931</v>
      </c>
      <c r="U38">
        <v>0</v>
      </c>
      <c r="V38" t="str">
        <f>IF(CleanedTable[[#This Row],[Returned]] = 0,"NO","Yes")</f>
        <v>NO</v>
      </c>
      <c r="W38" t="s">
        <v>87</v>
      </c>
      <c r="X38" t="s">
        <v>1587</v>
      </c>
      <c r="Y38" s="10">
        <v>40.29</v>
      </c>
      <c r="Z38" s="3">
        <v>45737</v>
      </c>
      <c r="AA38" s="3">
        <v>45744</v>
      </c>
      <c r="AB38" t="s">
        <v>2925</v>
      </c>
      <c r="AC38">
        <v>7</v>
      </c>
    </row>
    <row r="39" spans="1:29" x14ac:dyDescent="0.3">
      <c r="A39" s="3">
        <v>45828</v>
      </c>
      <c r="B39" s="3" t="str">
        <f>TEXT(CleanedTable[[#This Row],[OrderDate]],"mmm")</f>
        <v>Jun</v>
      </c>
      <c r="C39" s="3" t="str">
        <f>TEXT(CleanedTable[[#This Row],[OrderDate]],"yyyy")</f>
        <v>2025</v>
      </c>
      <c r="D39" s="3" t="str">
        <f>TEXT(CleanedTable[[#This Row],[OrderDate]],"mmm yyyy")</f>
        <v>Jun 2025</v>
      </c>
      <c r="E39" t="s">
        <v>20</v>
      </c>
      <c r="F39" t="s">
        <v>27</v>
      </c>
      <c r="G39" s="12">
        <v>7</v>
      </c>
      <c r="H39" s="8">
        <v>301.01</v>
      </c>
      <c r="I39" t="s">
        <v>31</v>
      </c>
      <c r="J39" t="s">
        <v>36</v>
      </c>
      <c r="K39" s="10">
        <v>0.15</v>
      </c>
      <c r="L39" t="s">
        <v>41</v>
      </c>
      <c r="M39">
        <v>1791.0094999999997</v>
      </c>
      <c r="N39">
        <v>1264.242</v>
      </c>
      <c r="O39" s="10">
        <v>491.79749999999967</v>
      </c>
      <c r="P39" s="10">
        <v>0.27459234582507785</v>
      </c>
      <c r="Q39" s="8">
        <v>1791.0094999999999</v>
      </c>
      <c r="R39" t="s">
        <v>47</v>
      </c>
      <c r="S39" t="s">
        <v>49</v>
      </c>
      <c r="T39" t="s">
        <v>2931</v>
      </c>
      <c r="U39">
        <v>1</v>
      </c>
      <c r="V39" t="str">
        <f>IF(CleanedTable[[#This Row],[Returned]] = 0,"NO","Yes")</f>
        <v>Yes</v>
      </c>
      <c r="W39" t="s">
        <v>88</v>
      </c>
      <c r="X39" t="s">
        <v>1588</v>
      </c>
      <c r="Y39" s="10">
        <v>34.97</v>
      </c>
      <c r="Z39" s="3">
        <v>45828</v>
      </c>
      <c r="AA39" s="3">
        <v>45838</v>
      </c>
      <c r="AB39" t="s">
        <v>2923</v>
      </c>
      <c r="AC39">
        <v>10</v>
      </c>
    </row>
    <row r="40" spans="1:29" x14ac:dyDescent="0.3">
      <c r="A40" s="3">
        <v>45337</v>
      </c>
      <c r="B40" s="3" t="str">
        <f>TEXT(CleanedTable[[#This Row],[OrderDate]],"mmm")</f>
        <v>Feb</v>
      </c>
      <c r="C40" s="3" t="str">
        <f>TEXT(CleanedTable[[#This Row],[OrderDate]],"yyyy")</f>
        <v>2024</v>
      </c>
      <c r="D40" s="3" t="str">
        <f>TEXT(CleanedTable[[#This Row],[OrderDate]],"mmm yyyy")</f>
        <v>Feb 2024</v>
      </c>
      <c r="E40" t="s">
        <v>22</v>
      </c>
      <c r="F40" t="s">
        <v>30</v>
      </c>
      <c r="G40" s="12">
        <v>14</v>
      </c>
      <c r="H40" s="8">
        <v>428.13</v>
      </c>
      <c r="I40" t="s">
        <v>33</v>
      </c>
      <c r="J40" t="s">
        <v>36</v>
      </c>
      <c r="K40" s="10">
        <v>0.1</v>
      </c>
      <c r="L40" t="s">
        <v>42</v>
      </c>
      <c r="M40">
        <v>5394.4380000000001</v>
      </c>
      <c r="N40">
        <v>3596.2919999999999</v>
      </c>
      <c r="O40" s="10">
        <v>1773.3760000000002</v>
      </c>
      <c r="P40" s="10">
        <v>0.32874156677674304</v>
      </c>
      <c r="Q40" s="8">
        <v>5394.4380000000001</v>
      </c>
      <c r="R40" t="s">
        <v>47</v>
      </c>
      <c r="T40" t="s">
        <v>2932</v>
      </c>
      <c r="U40">
        <v>1</v>
      </c>
      <c r="V40" t="str">
        <f>IF(CleanedTable[[#This Row],[Returned]] = 0,"NO","Yes")</f>
        <v>Yes</v>
      </c>
      <c r="W40" t="s">
        <v>89</v>
      </c>
      <c r="X40" t="s">
        <v>1589</v>
      </c>
      <c r="Y40" s="10">
        <v>24.77</v>
      </c>
      <c r="Z40" s="3">
        <v>45337</v>
      </c>
      <c r="AA40" s="3">
        <v>45347</v>
      </c>
      <c r="AB40" t="s">
        <v>2925</v>
      </c>
      <c r="AC40">
        <v>10</v>
      </c>
    </row>
    <row r="41" spans="1:29" x14ac:dyDescent="0.3">
      <c r="A41" s="3">
        <v>45086</v>
      </c>
      <c r="B41" s="3" t="str">
        <f>TEXT(CleanedTable[[#This Row],[OrderDate]],"mmm")</f>
        <v>Jun</v>
      </c>
      <c r="C41" s="3" t="str">
        <f>TEXT(CleanedTable[[#This Row],[OrderDate]],"yyyy")</f>
        <v>2023</v>
      </c>
      <c r="D41" s="3" t="str">
        <f>TEXT(CleanedTable[[#This Row],[OrderDate]],"mmm yyyy")</f>
        <v>Jun 2023</v>
      </c>
      <c r="E41" t="s">
        <v>22</v>
      </c>
      <c r="F41" t="s">
        <v>24</v>
      </c>
      <c r="G41" s="12">
        <v>2</v>
      </c>
      <c r="H41" s="8">
        <v>503.28</v>
      </c>
      <c r="I41" t="s">
        <v>34</v>
      </c>
      <c r="J41" t="s">
        <v>36</v>
      </c>
      <c r="K41" s="10">
        <v>0.15</v>
      </c>
      <c r="L41" t="s">
        <v>38</v>
      </c>
      <c r="M41">
        <v>855.57599999999991</v>
      </c>
      <c r="N41">
        <v>603.93599999999992</v>
      </c>
      <c r="O41" s="10">
        <v>216.85</v>
      </c>
      <c r="P41" s="10">
        <v>0.25345498237444719</v>
      </c>
      <c r="Q41" s="8">
        <v>855.57599999999991</v>
      </c>
      <c r="R41" t="s">
        <v>44</v>
      </c>
      <c r="T41" t="s">
        <v>2932</v>
      </c>
      <c r="U41">
        <v>0</v>
      </c>
      <c r="V41" t="str">
        <f>IF(CleanedTable[[#This Row],[Returned]] = 0,"NO","Yes")</f>
        <v>NO</v>
      </c>
      <c r="W41" t="s">
        <v>90</v>
      </c>
      <c r="X41" t="s">
        <v>1590</v>
      </c>
      <c r="Y41" s="10">
        <v>34.79</v>
      </c>
      <c r="Z41" s="3">
        <v>45086</v>
      </c>
      <c r="AA41" s="3">
        <v>45094</v>
      </c>
      <c r="AB41" t="s">
        <v>2925</v>
      </c>
      <c r="AC41">
        <v>8</v>
      </c>
    </row>
    <row r="42" spans="1:29" x14ac:dyDescent="0.3">
      <c r="A42" s="3">
        <v>45148</v>
      </c>
      <c r="B42" s="3" t="str">
        <f>TEXT(CleanedTable[[#This Row],[OrderDate]],"mmm")</f>
        <v>Aug</v>
      </c>
      <c r="C42" s="3" t="str">
        <f>TEXT(CleanedTable[[#This Row],[OrderDate]],"yyyy")</f>
        <v>2023</v>
      </c>
      <c r="D42" s="3" t="str">
        <f>TEXT(CleanedTable[[#This Row],[OrderDate]],"mmm yyyy")</f>
        <v>Aug 2023</v>
      </c>
      <c r="E42" t="s">
        <v>20</v>
      </c>
      <c r="F42" t="s">
        <v>30</v>
      </c>
      <c r="G42" s="12">
        <v>5</v>
      </c>
      <c r="H42" s="8">
        <v>470.32</v>
      </c>
      <c r="I42" t="s">
        <v>32</v>
      </c>
      <c r="J42" t="s">
        <v>36</v>
      </c>
      <c r="K42" s="10">
        <v>0.1</v>
      </c>
      <c r="L42" t="s">
        <v>37</v>
      </c>
      <c r="M42">
        <v>2116.44</v>
      </c>
      <c r="N42">
        <v>1410.96</v>
      </c>
      <c r="O42" s="10">
        <v>687.71</v>
      </c>
      <c r="P42" s="10">
        <v>0.32493715862486061</v>
      </c>
      <c r="Q42" s="8">
        <v>2116.44</v>
      </c>
      <c r="R42" t="s">
        <v>46</v>
      </c>
      <c r="S42" t="s">
        <v>49</v>
      </c>
      <c r="T42" t="s">
        <v>2931</v>
      </c>
      <c r="U42">
        <v>0</v>
      </c>
      <c r="V42" t="str">
        <f>IF(CleanedTable[[#This Row],[Returned]] = 0,"NO","Yes")</f>
        <v>NO</v>
      </c>
      <c r="W42" t="s">
        <v>91</v>
      </c>
      <c r="X42" t="s">
        <v>1591</v>
      </c>
      <c r="Y42" s="10">
        <v>17.77</v>
      </c>
      <c r="Z42" s="3">
        <v>45148</v>
      </c>
      <c r="AA42" s="3">
        <v>45152</v>
      </c>
      <c r="AB42" t="s">
        <v>2923</v>
      </c>
      <c r="AC42">
        <v>4</v>
      </c>
    </row>
    <row r="43" spans="1:29" x14ac:dyDescent="0.3">
      <c r="A43" s="3">
        <v>45459</v>
      </c>
      <c r="B43" s="3" t="str">
        <f>TEXT(CleanedTable[[#This Row],[OrderDate]],"mmm")</f>
        <v>Jun</v>
      </c>
      <c r="C43" s="3" t="str">
        <f>TEXT(CleanedTable[[#This Row],[OrderDate]],"yyyy")</f>
        <v>2024</v>
      </c>
      <c r="D43" s="3" t="str">
        <f>TEXT(CleanedTable[[#This Row],[OrderDate]],"mmm yyyy")</f>
        <v>Jun 2024</v>
      </c>
      <c r="E43" t="s">
        <v>22</v>
      </c>
      <c r="F43" t="s">
        <v>30</v>
      </c>
      <c r="G43" s="12">
        <v>20</v>
      </c>
      <c r="H43" s="8">
        <v>65.17</v>
      </c>
      <c r="I43" t="s">
        <v>33</v>
      </c>
      <c r="J43" t="s">
        <v>35</v>
      </c>
      <c r="K43" s="10">
        <v>0.05</v>
      </c>
      <c r="L43" t="s">
        <v>37</v>
      </c>
      <c r="M43">
        <v>1238.23</v>
      </c>
      <c r="N43">
        <v>782.04</v>
      </c>
      <c r="O43" s="10">
        <v>434.47</v>
      </c>
      <c r="P43" s="10">
        <v>0.35087988499713302</v>
      </c>
      <c r="Q43" s="8">
        <v>1238.23</v>
      </c>
      <c r="R43" t="s">
        <v>44</v>
      </c>
      <c r="S43" t="s">
        <v>48</v>
      </c>
      <c r="T43" t="s">
        <v>2931</v>
      </c>
      <c r="U43">
        <v>0</v>
      </c>
      <c r="V43" t="str">
        <f>IF(CleanedTable[[#This Row],[Returned]] = 0,"NO","Yes")</f>
        <v>NO</v>
      </c>
      <c r="W43" t="s">
        <v>92</v>
      </c>
      <c r="X43" t="s">
        <v>1592</v>
      </c>
      <c r="Y43" s="10">
        <v>21.72</v>
      </c>
      <c r="Z43" s="3">
        <v>45459</v>
      </c>
      <c r="AA43" s="3">
        <v>45468</v>
      </c>
      <c r="AB43" t="s">
        <v>2925</v>
      </c>
      <c r="AC43">
        <v>9</v>
      </c>
    </row>
    <row r="44" spans="1:29" x14ac:dyDescent="0.3">
      <c r="A44" s="3">
        <v>45130</v>
      </c>
      <c r="B44" s="3" t="str">
        <f>TEXT(CleanedTable[[#This Row],[OrderDate]],"mmm")</f>
        <v>Jul</v>
      </c>
      <c r="C44" s="3" t="str">
        <f>TEXT(CleanedTable[[#This Row],[OrderDate]],"yyyy")</f>
        <v>2023</v>
      </c>
      <c r="D44" s="3" t="str">
        <f>TEXT(CleanedTable[[#This Row],[OrderDate]],"mmm yyyy")</f>
        <v>Jul 2023</v>
      </c>
      <c r="E44" t="s">
        <v>20</v>
      </c>
      <c r="F44" t="s">
        <v>24</v>
      </c>
      <c r="G44" s="12">
        <v>12</v>
      </c>
      <c r="H44" s="8">
        <v>36.17</v>
      </c>
      <c r="I44" t="s">
        <v>32</v>
      </c>
      <c r="J44" t="s">
        <v>36</v>
      </c>
      <c r="K44" s="10">
        <v>0</v>
      </c>
      <c r="L44" t="s">
        <v>37</v>
      </c>
      <c r="M44">
        <v>434.04</v>
      </c>
      <c r="N44">
        <v>260.42400000000004</v>
      </c>
      <c r="O44" s="10">
        <v>138.76599999999999</v>
      </c>
      <c r="P44" s="10">
        <v>0.31970786102663346</v>
      </c>
      <c r="Q44" s="8">
        <v>434.04</v>
      </c>
      <c r="R44" t="s">
        <v>43</v>
      </c>
      <c r="S44" t="s">
        <v>50</v>
      </c>
      <c r="T44" t="s">
        <v>2931</v>
      </c>
      <c r="U44">
        <v>0</v>
      </c>
      <c r="V44" t="str">
        <f>IF(CleanedTable[[#This Row],[Returned]] = 0,"NO","Yes")</f>
        <v>NO</v>
      </c>
      <c r="W44" t="s">
        <v>93</v>
      </c>
      <c r="X44" t="s">
        <v>1593</v>
      </c>
      <c r="Y44" s="10">
        <v>34.85</v>
      </c>
      <c r="Z44" s="3">
        <v>45130</v>
      </c>
      <c r="AA44" s="3">
        <v>45133</v>
      </c>
      <c r="AB44" t="s">
        <v>2923</v>
      </c>
      <c r="AC44">
        <v>3</v>
      </c>
    </row>
    <row r="45" spans="1:29" x14ac:dyDescent="0.3">
      <c r="A45" s="3">
        <v>45066</v>
      </c>
      <c r="B45" s="3" t="str">
        <f>TEXT(CleanedTable[[#This Row],[OrderDate]],"mmm")</f>
        <v>May</v>
      </c>
      <c r="C45" s="3" t="str">
        <f>TEXT(CleanedTable[[#This Row],[OrderDate]],"yyyy")</f>
        <v>2023</v>
      </c>
      <c r="D45" s="3" t="str">
        <f>TEXT(CleanedTable[[#This Row],[OrderDate]],"mmm yyyy")</f>
        <v>May 2023</v>
      </c>
      <c r="E45" t="s">
        <v>22</v>
      </c>
      <c r="F45" t="s">
        <v>30</v>
      </c>
      <c r="G45" s="12">
        <v>4</v>
      </c>
      <c r="H45" s="8">
        <v>459.31</v>
      </c>
      <c r="I45" t="s">
        <v>34</v>
      </c>
      <c r="J45" t="s">
        <v>35</v>
      </c>
      <c r="K45" s="10">
        <v>0.15</v>
      </c>
      <c r="L45" t="s">
        <v>40</v>
      </c>
      <c r="M45">
        <v>1561.654</v>
      </c>
      <c r="N45">
        <v>1102.3440000000001</v>
      </c>
      <c r="O45" s="10">
        <v>431.91999999999996</v>
      </c>
      <c r="P45" s="10">
        <v>0.27657855069048581</v>
      </c>
      <c r="Q45" s="8">
        <v>1561.654</v>
      </c>
      <c r="R45" t="s">
        <v>44</v>
      </c>
      <c r="S45" t="s">
        <v>50</v>
      </c>
      <c r="T45" t="s">
        <v>2931</v>
      </c>
      <c r="U45">
        <v>1</v>
      </c>
      <c r="V45" t="str">
        <f>IF(CleanedTable[[#This Row],[Returned]] = 0,"NO","Yes")</f>
        <v>Yes</v>
      </c>
      <c r="W45" t="s">
        <v>94</v>
      </c>
      <c r="X45" t="s">
        <v>1594</v>
      </c>
      <c r="Y45" s="10">
        <v>27.39</v>
      </c>
      <c r="Z45" s="3">
        <v>45066</v>
      </c>
      <c r="AA45" s="3">
        <v>45073</v>
      </c>
      <c r="AB45" t="s">
        <v>2925</v>
      </c>
      <c r="AC45">
        <v>7</v>
      </c>
    </row>
    <row r="46" spans="1:29" x14ac:dyDescent="0.3">
      <c r="A46" s="3">
        <v>45107</v>
      </c>
      <c r="B46" s="3" t="str">
        <f>TEXT(CleanedTable[[#This Row],[OrderDate]],"mmm")</f>
        <v>Jun</v>
      </c>
      <c r="C46" s="3" t="str">
        <f>TEXT(CleanedTable[[#This Row],[OrderDate]],"yyyy")</f>
        <v>2023</v>
      </c>
      <c r="D46" s="3" t="str">
        <f>TEXT(CleanedTable[[#This Row],[OrderDate]],"mmm yyyy")</f>
        <v>Jun 2023</v>
      </c>
      <c r="E46" t="s">
        <v>20</v>
      </c>
      <c r="F46" t="s">
        <v>24</v>
      </c>
      <c r="G46" s="12">
        <v>2</v>
      </c>
      <c r="H46" s="8">
        <v>416.06</v>
      </c>
      <c r="I46" t="s">
        <v>34</v>
      </c>
      <c r="J46" t="s">
        <v>36</v>
      </c>
      <c r="K46" s="10">
        <v>0.05</v>
      </c>
      <c r="L46" t="s">
        <v>37</v>
      </c>
      <c r="M46">
        <v>790.51400000000001</v>
      </c>
      <c r="N46">
        <v>499.27199999999999</v>
      </c>
      <c r="O46" s="10">
        <v>279.62200000000001</v>
      </c>
      <c r="P46" s="10">
        <v>0.35372175571843129</v>
      </c>
      <c r="Q46" s="8">
        <v>790.51400000000001</v>
      </c>
      <c r="R46" t="s">
        <v>46</v>
      </c>
      <c r="S46" t="s">
        <v>49</v>
      </c>
      <c r="T46" t="s">
        <v>2931</v>
      </c>
      <c r="U46">
        <v>0</v>
      </c>
      <c r="V46" t="str">
        <f>IF(CleanedTable[[#This Row],[Returned]] = 0,"NO","Yes")</f>
        <v>NO</v>
      </c>
      <c r="W46" t="s">
        <v>95</v>
      </c>
      <c r="X46" t="s">
        <v>1595</v>
      </c>
      <c r="Y46" s="10">
        <v>11.62</v>
      </c>
      <c r="Z46" s="3">
        <v>45107</v>
      </c>
      <c r="AA46" s="3">
        <v>45111</v>
      </c>
      <c r="AB46" t="s">
        <v>2923</v>
      </c>
      <c r="AC46">
        <v>4</v>
      </c>
    </row>
    <row r="47" spans="1:29" x14ac:dyDescent="0.3">
      <c r="A47" s="3">
        <v>45447</v>
      </c>
      <c r="B47" s="3" t="str">
        <f>TEXT(CleanedTable[[#This Row],[OrderDate]],"mmm")</f>
        <v>Jun</v>
      </c>
      <c r="C47" s="3" t="str">
        <f>TEXT(CleanedTable[[#This Row],[OrderDate]],"yyyy")</f>
        <v>2024</v>
      </c>
      <c r="D47" s="3" t="str">
        <f>TEXT(CleanedTable[[#This Row],[OrderDate]],"mmm yyyy")</f>
        <v>Jun 2024</v>
      </c>
      <c r="E47" t="s">
        <v>20</v>
      </c>
      <c r="F47" t="s">
        <v>29</v>
      </c>
      <c r="G47" s="12">
        <v>16</v>
      </c>
      <c r="H47" s="8">
        <v>302.58</v>
      </c>
      <c r="I47" t="s">
        <v>34</v>
      </c>
      <c r="J47" t="s">
        <v>36</v>
      </c>
      <c r="K47" s="10">
        <v>0</v>
      </c>
      <c r="L47" t="s">
        <v>38</v>
      </c>
      <c r="M47">
        <v>4841.28</v>
      </c>
      <c r="N47">
        <v>2904.7679999999996</v>
      </c>
      <c r="O47" s="10">
        <v>1915.7520000000002</v>
      </c>
      <c r="P47" s="10">
        <v>0.39571187785048589</v>
      </c>
      <c r="Q47" s="8">
        <v>4841.28</v>
      </c>
      <c r="R47" t="s">
        <v>43</v>
      </c>
      <c r="S47" t="s">
        <v>50</v>
      </c>
      <c r="T47" t="s">
        <v>2931</v>
      </c>
      <c r="U47">
        <v>1</v>
      </c>
      <c r="V47" t="str">
        <f>IF(CleanedTable[[#This Row],[Returned]] = 0,"NO","Yes")</f>
        <v>Yes</v>
      </c>
      <c r="W47" t="s">
        <v>96</v>
      </c>
      <c r="X47" t="s">
        <v>1596</v>
      </c>
      <c r="Y47" s="10">
        <v>20.76</v>
      </c>
      <c r="Z47" s="3">
        <v>45447</v>
      </c>
      <c r="AA47" s="3">
        <v>45457</v>
      </c>
      <c r="AB47" t="s">
        <v>2923</v>
      </c>
      <c r="AC47">
        <v>10</v>
      </c>
    </row>
    <row r="48" spans="1:29" x14ac:dyDescent="0.3">
      <c r="A48" s="3">
        <v>45691</v>
      </c>
      <c r="B48" s="3" t="str">
        <f>TEXT(CleanedTable[[#This Row],[OrderDate]],"mmm")</f>
        <v>Feb</v>
      </c>
      <c r="C48" s="3" t="str">
        <f>TEXT(CleanedTable[[#This Row],[OrderDate]],"yyyy")</f>
        <v>2025</v>
      </c>
      <c r="D48" s="3" t="str">
        <f>TEXT(CleanedTable[[#This Row],[OrderDate]],"mmm yyyy")</f>
        <v>Feb 2025</v>
      </c>
      <c r="E48" t="s">
        <v>23</v>
      </c>
      <c r="F48" t="s">
        <v>27</v>
      </c>
      <c r="G48" s="12">
        <v>11</v>
      </c>
      <c r="H48" s="8">
        <v>33.130000000000003</v>
      </c>
      <c r="I48" t="s">
        <v>32</v>
      </c>
      <c r="J48" t="s">
        <v>36</v>
      </c>
      <c r="K48" s="10">
        <v>0.15</v>
      </c>
      <c r="L48" t="s">
        <v>39</v>
      </c>
      <c r="M48">
        <v>309.76549999999997</v>
      </c>
      <c r="N48">
        <v>218.65800000000002</v>
      </c>
      <c r="O48" s="10">
        <v>66.157499999999956</v>
      </c>
      <c r="P48" s="10">
        <v>0.21357284784780733</v>
      </c>
      <c r="Q48" s="8">
        <v>309.76549999999997</v>
      </c>
      <c r="R48" t="s">
        <v>43</v>
      </c>
      <c r="S48" t="s">
        <v>48</v>
      </c>
      <c r="T48" t="s">
        <v>2931</v>
      </c>
      <c r="U48">
        <v>0</v>
      </c>
      <c r="V48" t="str">
        <f>IF(CleanedTable[[#This Row],[Returned]] = 0,"NO","Yes")</f>
        <v>NO</v>
      </c>
      <c r="W48" t="s">
        <v>97</v>
      </c>
      <c r="X48" t="s">
        <v>1597</v>
      </c>
      <c r="Y48" s="10">
        <v>24.95</v>
      </c>
      <c r="Z48" s="3">
        <v>45691</v>
      </c>
      <c r="AA48" s="3">
        <v>45693</v>
      </c>
      <c r="AB48" t="s">
        <v>2926</v>
      </c>
      <c r="AC48">
        <v>2</v>
      </c>
    </row>
    <row r="49" spans="1:29" x14ac:dyDescent="0.3">
      <c r="A49" s="3">
        <v>45300</v>
      </c>
      <c r="B49" s="3" t="str">
        <f>TEXT(CleanedTable[[#This Row],[OrderDate]],"mmm")</f>
        <v>Jan</v>
      </c>
      <c r="C49" s="3" t="str">
        <f>TEXT(CleanedTable[[#This Row],[OrderDate]],"yyyy")</f>
        <v>2024</v>
      </c>
      <c r="D49" s="3" t="str">
        <f>TEXT(CleanedTable[[#This Row],[OrderDate]],"mmm yyyy")</f>
        <v>Jan 2024</v>
      </c>
      <c r="E49" t="s">
        <v>19</v>
      </c>
      <c r="F49" t="s">
        <v>29</v>
      </c>
      <c r="G49" s="12">
        <v>8</v>
      </c>
      <c r="H49" s="8">
        <v>582.52</v>
      </c>
      <c r="I49" t="s">
        <v>34</v>
      </c>
      <c r="J49" t="s">
        <v>36</v>
      </c>
      <c r="K49" s="10">
        <v>0.15</v>
      </c>
      <c r="L49" t="s">
        <v>39</v>
      </c>
      <c r="M49">
        <v>3961.136</v>
      </c>
      <c r="N49">
        <v>2796.096</v>
      </c>
      <c r="O49" s="10">
        <v>1158.57</v>
      </c>
      <c r="P49" s="10">
        <v>0.29248427723764092</v>
      </c>
      <c r="Q49" s="8">
        <v>3961.136</v>
      </c>
      <c r="R49" t="s">
        <v>44</v>
      </c>
      <c r="S49" t="s">
        <v>50</v>
      </c>
      <c r="T49" t="s">
        <v>2931</v>
      </c>
      <c r="U49">
        <v>0</v>
      </c>
      <c r="V49" t="str">
        <f>IF(CleanedTable[[#This Row],[Returned]] = 0,"NO","Yes")</f>
        <v>NO</v>
      </c>
      <c r="W49" t="s">
        <v>98</v>
      </c>
      <c r="X49" t="s">
        <v>1598</v>
      </c>
      <c r="Y49" s="10">
        <v>6.47</v>
      </c>
      <c r="Z49" s="3">
        <v>45300</v>
      </c>
      <c r="AA49" s="3">
        <v>45304</v>
      </c>
      <c r="AB49" t="s">
        <v>2922</v>
      </c>
      <c r="AC49">
        <v>4</v>
      </c>
    </row>
    <row r="50" spans="1:29" x14ac:dyDescent="0.3">
      <c r="A50" s="3">
        <v>45365</v>
      </c>
      <c r="B50" s="3" t="str">
        <f>TEXT(CleanedTable[[#This Row],[OrderDate]],"mmm")</f>
        <v>Mar</v>
      </c>
      <c r="C50" s="3" t="str">
        <f>TEXT(CleanedTable[[#This Row],[OrderDate]],"yyyy")</f>
        <v>2024</v>
      </c>
      <c r="D50" s="3" t="str">
        <f>TEXT(CleanedTable[[#This Row],[OrderDate]],"mmm yyyy")</f>
        <v>Mar 2024</v>
      </c>
      <c r="E50" t="s">
        <v>21</v>
      </c>
      <c r="F50" t="s">
        <v>26</v>
      </c>
      <c r="G50" s="12">
        <v>5</v>
      </c>
      <c r="H50" s="8">
        <v>165.15</v>
      </c>
      <c r="I50" t="s">
        <v>32</v>
      </c>
      <c r="J50" t="s">
        <v>36</v>
      </c>
      <c r="K50" s="10">
        <v>0.1</v>
      </c>
      <c r="L50" t="s">
        <v>37</v>
      </c>
      <c r="M50">
        <v>743.17500000000007</v>
      </c>
      <c r="N50">
        <v>495.45000000000005</v>
      </c>
      <c r="O50" s="10">
        <v>227.15500000000003</v>
      </c>
      <c r="P50" s="10">
        <v>0.30565479193998724</v>
      </c>
      <c r="Q50" s="8">
        <v>743.17500000000007</v>
      </c>
      <c r="R50" t="s">
        <v>44</v>
      </c>
      <c r="T50" t="s">
        <v>2932</v>
      </c>
      <c r="U50">
        <v>0</v>
      </c>
      <c r="V50" t="str">
        <f>IF(CleanedTable[[#This Row],[Returned]] = 0,"NO","Yes")</f>
        <v>NO</v>
      </c>
      <c r="W50" t="s">
        <v>99</v>
      </c>
      <c r="X50" t="s">
        <v>1599</v>
      </c>
      <c r="Y50" s="10">
        <v>20.57</v>
      </c>
      <c r="Z50" s="3">
        <v>45365</v>
      </c>
      <c r="AA50" s="3">
        <v>45367</v>
      </c>
      <c r="AB50" t="s">
        <v>2924</v>
      </c>
      <c r="AC50">
        <v>2</v>
      </c>
    </row>
    <row r="51" spans="1:29" x14ac:dyDescent="0.3">
      <c r="A51" s="3">
        <v>45541</v>
      </c>
      <c r="B51" s="3" t="str">
        <f>TEXT(CleanedTable[[#This Row],[OrderDate]],"mmm")</f>
        <v>Sep</v>
      </c>
      <c r="C51" s="3" t="str">
        <f>TEXT(CleanedTable[[#This Row],[OrderDate]],"yyyy")</f>
        <v>2024</v>
      </c>
      <c r="D51" s="3" t="str">
        <f>TEXT(CleanedTable[[#This Row],[OrderDate]],"mmm yyyy")</f>
        <v>Sep 2024</v>
      </c>
      <c r="E51" t="s">
        <v>23</v>
      </c>
      <c r="F51" t="s">
        <v>28</v>
      </c>
      <c r="G51" s="12">
        <v>14</v>
      </c>
      <c r="H51" s="8">
        <v>242.82</v>
      </c>
      <c r="I51" t="s">
        <v>34</v>
      </c>
      <c r="J51" t="s">
        <v>35</v>
      </c>
      <c r="K51" s="10">
        <v>0.15</v>
      </c>
      <c r="L51" t="s">
        <v>38</v>
      </c>
      <c r="M51">
        <v>2889.558</v>
      </c>
      <c r="N51">
        <v>2039.6879999999996</v>
      </c>
      <c r="O51" s="10">
        <v>829.16000000000031</v>
      </c>
      <c r="P51" s="10">
        <v>0.28695046093554805</v>
      </c>
      <c r="Q51" s="8">
        <v>2889.558</v>
      </c>
      <c r="R51" t="s">
        <v>47</v>
      </c>
      <c r="S51" t="s">
        <v>50</v>
      </c>
      <c r="T51" t="s">
        <v>2931</v>
      </c>
      <c r="U51">
        <v>1</v>
      </c>
      <c r="V51" t="str">
        <f>IF(CleanedTable[[#This Row],[Returned]] = 0,"NO","Yes")</f>
        <v>Yes</v>
      </c>
      <c r="W51" t="s">
        <v>100</v>
      </c>
      <c r="X51" t="s">
        <v>1600</v>
      </c>
      <c r="Y51" s="10">
        <v>20.71</v>
      </c>
      <c r="Z51" s="3">
        <v>45541</v>
      </c>
      <c r="AA51" s="3">
        <v>45548</v>
      </c>
      <c r="AB51" t="s">
        <v>2926</v>
      </c>
      <c r="AC51">
        <v>7</v>
      </c>
    </row>
    <row r="52" spans="1:29" x14ac:dyDescent="0.3">
      <c r="A52" s="3">
        <v>45002</v>
      </c>
      <c r="B52" s="3" t="str">
        <f>TEXT(CleanedTable[[#This Row],[OrderDate]],"mmm")</f>
        <v>Mar</v>
      </c>
      <c r="C52" s="3" t="str">
        <f>TEXT(CleanedTable[[#This Row],[OrderDate]],"yyyy")</f>
        <v>2023</v>
      </c>
      <c r="D52" s="3" t="str">
        <f>TEXT(CleanedTable[[#This Row],[OrderDate]],"mmm yyyy")</f>
        <v>Mar 2023</v>
      </c>
      <c r="E52" t="s">
        <v>19</v>
      </c>
      <c r="F52" t="s">
        <v>28</v>
      </c>
      <c r="G52" s="12">
        <v>13</v>
      </c>
      <c r="H52" s="8">
        <v>65.989999999999995</v>
      </c>
      <c r="I52" t="s">
        <v>32</v>
      </c>
      <c r="J52" t="s">
        <v>35</v>
      </c>
      <c r="K52" s="10">
        <v>0.1</v>
      </c>
      <c r="L52" t="s">
        <v>39</v>
      </c>
      <c r="M52">
        <v>772.08299999999997</v>
      </c>
      <c r="N52">
        <v>514.72199999999998</v>
      </c>
      <c r="O52" s="10">
        <v>244.49099999999999</v>
      </c>
      <c r="P52" s="10">
        <v>0.31666414103146939</v>
      </c>
      <c r="Q52" s="8">
        <v>772.08299999999997</v>
      </c>
      <c r="R52" t="s">
        <v>47</v>
      </c>
      <c r="S52" t="s">
        <v>50</v>
      </c>
      <c r="T52" t="s">
        <v>2931</v>
      </c>
      <c r="U52">
        <v>0</v>
      </c>
      <c r="V52" t="str">
        <f>IF(CleanedTable[[#This Row],[Returned]] = 0,"NO","Yes")</f>
        <v>NO</v>
      </c>
      <c r="W52" t="s">
        <v>101</v>
      </c>
      <c r="X52" t="s">
        <v>1601</v>
      </c>
      <c r="Y52" s="10">
        <v>12.87</v>
      </c>
      <c r="Z52" s="3">
        <v>45002</v>
      </c>
      <c r="AA52" s="3">
        <v>45005</v>
      </c>
      <c r="AB52" t="s">
        <v>2922</v>
      </c>
      <c r="AC52">
        <v>3</v>
      </c>
    </row>
    <row r="53" spans="1:29" x14ac:dyDescent="0.3">
      <c r="A53" s="3">
        <v>45674</v>
      </c>
      <c r="B53" s="3" t="str">
        <f>TEXT(CleanedTable[[#This Row],[OrderDate]],"mmm")</f>
        <v>Jan</v>
      </c>
      <c r="C53" s="3" t="str">
        <f>TEXT(CleanedTable[[#This Row],[OrderDate]],"yyyy")</f>
        <v>2025</v>
      </c>
      <c r="D53" s="3" t="str">
        <f>TEXT(CleanedTable[[#This Row],[OrderDate]],"mmm yyyy")</f>
        <v>Jan 2025</v>
      </c>
      <c r="E53" t="s">
        <v>23</v>
      </c>
      <c r="F53" t="s">
        <v>27</v>
      </c>
      <c r="G53" s="12">
        <v>2</v>
      </c>
      <c r="H53" s="8">
        <v>251.69</v>
      </c>
      <c r="I53" t="s">
        <v>33</v>
      </c>
      <c r="J53" t="s">
        <v>35</v>
      </c>
      <c r="K53" s="10">
        <v>0</v>
      </c>
      <c r="L53" t="s">
        <v>38</v>
      </c>
      <c r="M53">
        <v>503.38</v>
      </c>
      <c r="N53">
        <v>302.02799999999996</v>
      </c>
      <c r="O53" s="10">
        <v>158.86200000000002</v>
      </c>
      <c r="P53" s="10">
        <v>0.31559060749334505</v>
      </c>
      <c r="Q53" s="8">
        <v>503.38</v>
      </c>
      <c r="R53" t="s">
        <v>46</v>
      </c>
      <c r="S53" t="s">
        <v>48</v>
      </c>
      <c r="T53" t="s">
        <v>2931</v>
      </c>
      <c r="U53">
        <v>0</v>
      </c>
      <c r="V53" t="str">
        <f>IF(CleanedTable[[#This Row],[Returned]] = 0,"NO","Yes")</f>
        <v>NO</v>
      </c>
      <c r="W53" t="s">
        <v>102</v>
      </c>
      <c r="X53" t="s">
        <v>1602</v>
      </c>
      <c r="Y53" s="10">
        <v>42.49</v>
      </c>
      <c r="Z53" s="3">
        <v>45674</v>
      </c>
      <c r="AA53" s="3">
        <v>45681</v>
      </c>
      <c r="AB53" t="s">
        <v>2926</v>
      </c>
      <c r="AC53">
        <v>7</v>
      </c>
    </row>
    <row r="54" spans="1:29" x14ac:dyDescent="0.3">
      <c r="A54" s="3">
        <v>45547</v>
      </c>
      <c r="B54" s="3" t="str">
        <f>TEXT(CleanedTable[[#This Row],[OrderDate]],"mmm")</f>
        <v>Sep</v>
      </c>
      <c r="C54" s="3" t="str">
        <f>TEXT(CleanedTable[[#This Row],[OrderDate]],"yyyy")</f>
        <v>2024</v>
      </c>
      <c r="D54" s="3" t="str">
        <f>TEXT(CleanedTable[[#This Row],[OrderDate]],"mmm yyyy")</f>
        <v>Sep 2024</v>
      </c>
      <c r="E54" t="s">
        <v>20</v>
      </c>
      <c r="F54" t="s">
        <v>24</v>
      </c>
      <c r="G54" s="12">
        <v>1</v>
      </c>
      <c r="H54" s="8">
        <v>269.41000000000003</v>
      </c>
      <c r="I54" t="s">
        <v>31</v>
      </c>
      <c r="J54" t="s">
        <v>35</v>
      </c>
      <c r="K54" s="10">
        <v>0.1</v>
      </c>
      <c r="L54" t="s">
        <v>37</v>
      </c>
      <c r="M54">
        <v>242.46900000000002</v>
      </c>
      <c r="N54">
        <v>161.64600000000002</v>
      </c>
      <c r="O54" s="10">
        <v>61.603000000000009</v>
      </c>
      <c r="P54" s="10">
        <v>0.25406546816294046</v>
      </c>
      <c r="Q54" s="8">
        <v>242.46899999999999</v>
      </c>
      <c r="R54" t="s">
        <v>47</v>
      </c>
      <c r="S54" t="s">
        <v>50</v>
      </c>
      <c r="T54" t="s">
        <v>2931</v>
      </c>
      <c r="U54">
        <v>1</v>
      </c>
      <c r="V54" t="str">
        <f>IF(CleanedTable[[#This Row],[Returned]] = 0,"NO","Yes")</f>
        <v>Yes</v>
      </c>
      <c r="W54" t="s">
        <v>103</v>
      </c>
      <c r="X54" t="s">
        <v>1603</v>
      </c>
      <c r="Y54" s="10">
        <v>19.22</v>
      </c>
      <c r="Z54" s="3">
        <v>45547</v>
      </c>
      <c r="AA54" s="3">
        <v>45553</v>
      </c>
      <c r="AB54" t="s">
        <v>2923</v>
      </c>
      <c r="AC54">
        <v>6</v>
      </c>
    </row>
    <row r="55" spans="1:29" x14ac:dyDescent="0.3">
      <c r="A55" s="3">
        <v>45296</v>
      </c>
      <c r="B55" s="3" t="str">
        <f>TEXT(CleanedTable[[#This Row],[OrderDate]],"mmm")</f>
        <v>Jan</v>
      </c>
      <c r="C55" s="3" t="str">
        <f>TEXT(CleanedTable[[#This Row],[OrderDate]],"yyyy")</f>
        <v>2024</v>
      </c>
      <c r="D55" s="3" t="str">
        <f>TEXT(CleanedTable[[#This Row],[OrderDate]],"mmm yyyy")</f>
        <v>Jan 2024</v>
      </c>
      <c r="E55" t="s">
        <v>20</v>
      </c>
      <c r="F55" t="s">
        <v>28</v>
      </c>
      <c r="G55" s="12">
        <v>2</v>
      </c>
      <c r="H55" s="8">
        <v>371.3</v>
      </c>
      <c r="I55" t="s">
        <v>31</v>
      </c>
      <c r="J55" t="s">
        <v>35</v>
      </c>
      <c r="K55" s="10">
        <v>0.05</v>
      </c>
      <c r="L55" t="s">
        <v>42</v>
      </c>
      <c r="M55">
        <v>705.47</v>
      </c>
      <c r="N55">
        <v>445.56</v>
      </c>
      <c r="O55" s="10">
        <v>223.40000000000003</v>
      </c>
      <c r="P55" s="10">
        <v>0.31666832041050652</v>
      </c>
      <c r="Q55" s="8">
        <v>705.47</v>
      </c>
      <c r="R55" t="s">
        <v>45</v>
      </c>
      <c r="S55" t="s">
        <v>49</v>
      </c>
      <c r="T55" t="s">
        <v>2931</v>
      </c>
      <c r="U55">
        <v>0</v>
      </c>
      <c r="V55" t="str">
        <f>IF(CleanedTable[[#This Row],[Returned]] = 0,"NO","Yes")</f>
        <v>NO</v>
      </c>
      <c r="W55" t="s">
        <v>104</v>
      </c>
      <c r="X55" t="s">
        <v>1604</v>
      </c>
      <c r="Y55" s="10">
        <v>36.51</v>
      </c>
      <c r="Z55" s="3">
        <v>45296</v>
      </c>
      <c r="AA55" s="3">
        <v>45306</v>
      </c>
      <c r="AB55" t="s">
        <v>2923</v>
      </c>
      <c r="AC55">
        <v>10</v>
      </c>
    </row>
    <row r="56" spans="1:29" x14ac:dyDescent="0.3">
      <c r="A56" s="3">
        <v>45401</v>
      </c>
      <c r="B56" s="3" t="str">
        <f>TEXT(CleanedTable[[#This Row],[OrderDate]],"mmm")</f>
        <v>Apr</v>
      </c>
      <c r="C56" s="3" t="str">
        <f>TEXT(CleanedTable[[#This Row],[OrderDate]],"yyyy")</f>
        <v>2024</v>
      </c>
      <c r="D56" s="3" t="str">
        <f>TEXT(CleanedTable[[#This Row],[OrderDate]],"mmm yyyy")</f>
        <v>Apr 2024</v>
      </c>
      <c r="E56" t="s">
        <v>23</v>
      </c>
      <c r="F56" t="s">
        <v>29</v>
      </c>
      <c r="G56" s="12">
        <v>11</v>
      </c>
      <c r="H56" s="8">
        <v>288.24</v>
      </c>
      <c r="I56" t="s">
        <v>32</v>
      </c>
      <c r="J56" t="s">
        <v>35</v>
      </c>
      <c r="K56" s="10">
        <v>0.15</v>
      </c>
      <c r="L56" t="s">
        <v>41</v>
      </c>
      <c r="M56">
        <v>2695.0440000000003</v>
      </c>
      <c r="N56">
        <v>1902.3839999999998</v>
      </c>
      <c r="O56" s="10">
        <v>755.27000000000055</v>
      </c>
      <c r="P56" s="10">
        <v>0.28024403312153734</v>
      </c>
      <c r="Q56" s="8">
        <v>2695.0439999999999</v>
      </c>
      <c r="R56" t="s">
        <v>43</v>
      </c>
      <c r="T56" t="s">
        <v>2932</v>
      </c>
      <c r="U56">
        <v>0</v>
      </c>
      <c r="V56" t="str">
        <f>IF(CleanedTable[[#This Row],[Returned]] = 0,"NO","Yes")</f>
        <v>NO</v>
      </c>
      <c r="W56" t="s">
        <v>105</v>
      </c>
      <c r="X56" t="s">
        <v>1605</v>
      </c>
      <c r="Y56" s="10">
        <v>37.39</v>
      </c>
      <c r="Z56" s="3">
        <v>45401</v>
      </c>
      <c r="AA56" s="3">
        <v>45407</v>
      </c>
      <c r="AB56" t="s">
        <v>2926</v>
      </c>
      <c r="AC56">
        <v>6</v>
      </c>
    </row>
    <row r="57" spans="1:29" x14ac:dyDescent="0.3">
      <c r="A57" s="3">
        <v>45819</v>
      </c>
      <c r="B57" s="3" t="str">
        <f>TEXT(CleanedTable[[#This Row],[OrderDate]],"mmm")</f>
        <v>Jun</v>
      </c>
      <c r="C57" s="3" t="str">
        <f>TEXT(CleanedTable[[#This Row],[OrderDate]],"yyyy")</f>
        <v>2025</v>
      </c>
      <c r="D57" s="3" t="str">
        <f>TEXT(CleanedTable[[#This Row],[OrderDate]],"mmm yyyy")</f>
        <v>Jun 2025</v>
      </c>
      <c r="E57" t="s">
        <v>22</v>
      </c>
      <c r="F57" t="s">
        <v>29</v>
      </c>
      <c r="G57" s="12">
        <v>11</v>
      </c>
      <c r="H57" s="8">
        <v>232.75</v>
      </c>
      <c r="I57" t="s">
        <v>34</v>
      </c>
      <c r="J57" t="s">
        <v>35</v>
      </c>
      <c r="K57" s="10">
        <v>0.05</v>
      </c>
      <c r="L57" t="s">
        <v>37</v>
      </c>
      <c r="M57">
        <v>2432.2374999999997</v>
      </c>
      <c r="N57">
        <v>1536.15</v>
      </c>
      <c r="O57" s="10">
        <v>859.7574999999996</v>
      </c>
      <c r="P57" s="10">
        <v>0.35348418894125255</v>
      </c>
      <c r="Q57" s="8">
        <v>2432.2375000000002</v>
      </c>
      <c r="R57" t="s">
        <v>45</v>
      </c>
      <c r="S57" t="s">
        <v>49</v>
      </c>
      <c r="T57" t="s">
        <v>2931</v>
      </c>
      <c r="U57">
        <v>0</v>
      </c>
      <c r="V57" t="str">
        <f>IF(CleanedTable[[#This Row],[Returned]] = 0,"NO","Yes")</f>
        <v>NO</v>
      </c>
      <c r="W57" t="s">
        <v>106</v>
      </c>
      <c r="X57" t="s">
        <v>1606</v>
      </c>
      <c r="Y57" s="10">
        <v>36.33</v>
      </c>
      <c r="Z57" s="3">
        <v>45819</v>
      </c>
      <c r="AA57" s="3">
        <v>45829</v>
      </c>
      <c r="AB57" t="s">
        <v>2925</v>
      </c>
      <c r="AC57">
        <v>10</v>
      </c>
    </row>
    <row r="58" spans="1:29" x14ac:dyDescent="0.3">
      <c r="A58" s="3">
        <v>45722</v>
      </c>
      <c r="B58" s="3" t="str">
        <f>TEXT(CleanedTable[[#This Row],[OrderDate]],"mmm")</f>
        <v>Mar</v>
      </c>
      <c r="C58" s="3" t="str">
        <f>TEXT(CleanedTable[[#This Row],[OrderDate]],"yyyy")</f>
        <v>2025</v>
      </c>
      <c r="D58" s="3" t="str">
        <f>TEXT(CleanedTable[[#This Row],[OrderDate]],"mmm yyyy")</f>
        <v>Mar 2025</v>
      </c>
      <c r="E58" t="s">
        <v>19</v>
      </c>
      <c r="F58" t="s">
        <v>25</v>
      </c>
      <c r="G58" s="12">
        <v>17</v>
      </c>
      <c r="H58" s="8">
        <v>146.28</v>
      </c>
      <c r="I58" t="s">
        <v>31</v>
      </c>
      <c r="J58" t="s">
        <v>36</v>
      </c>
      <c r="K58" s="10">
        <v>0.15</v>
      </c>
      <c r="L58" t="s">
        <v>40</v>
      </c>
      <c r="M58">
        <v>2113.7460000000001</v>
      </c>
      <c r="N58">
        <v>1492.056</v>
      </c>
      <c r="O58" s="10">
        <v>613.85</v>
      </c>
      <c r="P58" s="10">
        <v>0.29040859213926368</v>
      </c>
      <c r="Q58" s="8">
        <v>2113.7460000000001</v>
      </c>
      <c r="R58" t="s">
        <v>47</v>
      </c>
      <c r="S58" t="s">
        <v>49</v>
      </c>
      <c r="T58" t="s">
        <v>2931</v>
      </c>
      <c r="U58">
        <v>0</v>
      </c>
      <c r="V58" t="str">
        <f>IF(CleanedTable[[#This Row],[Returned]] = 0,"NO","Yes")</f>
        <v>NO</v>
      </c>
      <c r="W58" t="s">
        <v>107</v>
      </c>
      <c r="X58" t="s">
        <v>1607</v>
      </c>
      <c r="Y58" s="10">
        <v>7.84</v>
      </c>
      <c r="Z58" s="3">
        <v>45722</v>
      </c>
      <c r="AA58" s="3">
        <v>45731</v>
      </c>
      <c r="AB58" t="s">
        <v>2922</v>
      </c>
      <c r="AC58">
        <v>9</v>
      </c>
    </row>
    <row r="59" spans="1:29" x14ac:dyDescent="0.3">
      <c r="A59" s="3">
        <v>45070</v>
      </c>
      <c r="B59" s="3" t="str">
        <f>TEXT(CleanedTable[[#This Row],[OrderDate]],"mmm")</f>
        <v>May</v>
      </c>
      <c r="C59" s="3" t="str">
        <f>TEXT(CleanedTable[[#This Row],[OrderDate]],"yyyy")</f>
        <v>2023</v>
      </c>
      <c r="D59" s="3" t="str">
        <f>TEXT(CleanedTable[[#This Row],[OrderDate]],"mmm yyyy")</f>
        <v>May 2023</v>
      </c>
      <c r="E59" t="s">
        <v>19</v>
      </c>
      <c r="F59" t="s">
        <v>27</v>
      </c>
      <c r="G59" s="12">
        <v>5</v>
      </c>
      <c r="H59" s="8">
        <v>100.38</v>
      </c>
      <c r="I59" t="s">
        <v>33</v>
      </c>
      <c r="J59" t="s">
        <v>36</v>
      </c>
      <c r="K59" s="10">
        <v>0.1</v>
      </c>
      <c r="L59" t="s">
        <v>37</v>
      </c>
      <c r="M59">
        <v>451.71</v>
      </c>
      <c r="N59">
        <v>301.14</v>
      </c>
      <c r="O59" s="10">
        <v>132.22</v>
      </c>
      <c r="P59" s="10">
        <v>0.29270992450908773</v>
      </c>
      <c r="Q59" s="8">
        <v>451.71</v>
      </c>
      <c r="R59" t="s">
        <v>44</v>
      </c>
      <c r="S59" t="s">
        <v>50</v>
      </c>
      <c r="T59" t="s">
        <v>2931</v>
      </c>
      <c r="U59">
        <v>1</v>
      </c>
      <c r="V59" t="str">
        <f>IF(CleanedTable[[#This Row],[Returned]] = 0,"NO","Yes")</f>
        <v>Yes</v>
      </c>
      <c r="W59" t="s">
        <v>108</v>
      </c>
      <c r="X59" t="s">
        <v>1608</v>
      </c>
      <c r="Y59" s="10">
        <v>18.350000000000001</v>
      </c>
      <c r="Z59" s="3">
        <v>45070</v>
      </c>
      <c r="AA59" s="3">
        <v>45072</v>
      </c>
      <c r="AB59" t="s">
        <v>2922</v>
      </c>
      <c r="AC59">
        <v>2</v>
      </c>
    </row>
    <row r="60" spans="1:29" x14ac:dyDescent="0.3">
      <c r="A60" s="3">
        <v>44953</v>
      </c>
      <c r="B60" s="3" t="str">
        <f>TEXT(CleanedTable[[#This Row],[OrderDate]],"mmm")</f>
        <v>Jan</v>
      </c>
      <c r="C60" s="3" t="str">
        <f>TEXT(CleanedTable[[#This Row],[OrderDate]],"yyyy")</f>
        <v>2023</v>
      </c>
      <c r="D60" s="3" t="str">
        <f>TEXT(CleanedTable[[#This Row],[OrderDate]],"mmm yyyy")</f>
        <v>Jan 2023</v>
      </c>
      <c r="E60" t="s">
        <v>20</v>
      </c>
      <c r="F60" t="s">
        <v>25</v>
      </c>
      <c r="G60" s="12">
        <v>11</v>
      </c>
      <c r="H60" s="8">
        <v>375.48</v>
      </c>
      <c r="I60" t="s">
        <v>31</v>
      </c>
      <c r="J60" t="s">
        <v>36</v>
      </c>
      <c r="K60" s="10">
        <v>0.05</v>
      </c>
      <c r="L60" t="s">
        <v>42</v>
      </c>
      <c r="M60">
        <v>3923.7660000000005</v>
      </c>
      <c r="N60">
        <v>2478.1680000000001</v>
      </c>
      <c r="O60" s="10">
        <v>1429.6480000000004</v>
      </c>
      <c r="P60" s="10">
        <v>0.36435608035749334</v>
      </c>
      <c r="Q60" s="8">
        <v>3923.766000000001</v>
      </c>
      <c r="R60" t="s">
        <v>46</v>
      </c>
      <c r="S60" t="s">
        <v>50</v>
      </c>
      <c r="T60" t="s">
        <v>2931</v>
      </c>
      <c r="U60">
        <v>0</v>
      </c>
      <c r="V60" t="str">
        <f>IF(CleanedTable[[#This Row],[Returned]] = 0,"NO","Yes")</f>
        <v>NO</v>
      </c>
      <c r="W60" t="s">
        <v>109</v>
      </c>
      <c r="X60" t="s">
        <v>1609</v>
      </c>
      <c r="Y60" s="10">
        <v>15.95</v>
      </c>
      <c r="Z60" s="3">
        <v>44953</v>
      </c>
      <c r="AA60" s="3">
        <v>44960</v>
      </c>
      <c r="AB60" t="s">
        <v>2923</v>
      </c>
      <c r="AC60">
        <v>7</v>
      </c>
    </row>
    <row r="61" spans="1:29" x14ac:dyDescent="0.3">
      <c r="A61" s="3">
        <v>45372</v>
      </c>
      <c r="B61" s="3" t="str">
        <f>TEXT(CleanedTable[[#This Row],[OrderDate]],"mmm")</f>
        <v>Mar</v>
      </c>
      <c r="C61" s="3" t="str">
        <f>TEXT(CleanedTable[[#This Row],[OrderDate]],"yyyy")</f>
        <v>2024</v>
      </c>
      <c r="D61" s="3" t="str">
        <f>TEXT(CleanedTable[[#This Row],[OrderDate]],"mmm yyyy")</f>
        <v>Mar 2024</v>
      </c>
      <c r="E61" t="s">
        <v>20</v>
      </c>
      <c r="F61" t="s">
        <v>24</v>
      </c>
      <c r="G61" s="12">
        <v>18</v>
      </c>
      <c r="H61" s="8">
        <v>316.89</v>
      </c>
      <c r="I61" t="s">
        <v>31</v>
      </c>
      <c r="J61" t="s">
        <v>35</v>
      </c>
      <c r="K61" s="10">
        <v>0.05</v>
      </c>
      <c r="L61" t="s">
        <v>42</v>
      </c>
      <c r="M61">
        <v>5418.8189999999995</v>
      </c>
      <c r="N61">
        <v>3422.4119999999998</v>
      </c>
      <c r="O61" s="10">
        <v>1980.7169999999996</v>
      </c>
      <c r="P61" s="10">
        <v>0.36552558777106225</v>
      </c>
      <c r="Q61" s="8">
        <v>5418.8190000000004</v>
      </c>
      <c r="R61" t="s">
        <v>47</v>
      </c>
      <c r="S61" t="s">
        <v>48</v>
      </c>
      <c r="T61" t="s">
        <v>2931</v>
      </c>
      <c r="U61">
        <v>0</v>
      </c>
      <c r="V61" t="str">
        <f>IF(CleanedTable[[#This Row],[Returned]] = 0,"NO","Yes")</f>
        <v>NO</v>
      </c>
      <c r="W61" t="s">
        <v>110</v>
      </c>
      <c r="X61" t="s">
        <v>1610</v>
      </c>
      <c r="Y61" s="10">
        <v>15.69</v>
      </c>
      <c r="Z61" s="3">
        <v>45372</v>
      </c>
      <c r="AA61" s="3">
        <v>45378</v>
      </c>
      <c r="AB61" t="s">
        <v>2923</v>
      </c>
      <c r="AC61">
        <v>6</v>
      </c>
    </row>
    <row r="62" spans="1:29" x14ac:dyDescent="0.3">
      <c r="A62" s="3">
        <v>45682</v>
      </c>
      <c r="B62" s="3" t="str">
        <f>TEXT(CleanedTable[[#This Row],[OrderDate]],"mmm")</f>
        <v>Jan</v>
      </c>
      <c r="C62" s="3" t="str">
        <f>TEXT(CleanedTable[[#This Row],[OrderDate]],"yyyy")</f>
        <v>2025</v>
      </c>
      <c r="D62" s="3" t="str">
        <f>TEXT(CleanedTable[[#This Row],[OrderDate]],"mmm yyyy")</f>
        <v>Jan 2025</v>
      </c>
      <c r="E62" t="s">
        <v>23</v>
      </c>
      <c r="F62" t="s">
        <v>24</v>
      </c>
      <c r="G62" s="12">
        <v>20</v>
      </c>
      <c r="H62" s="8">
        <v>295.06</v>
      </c>
      <c r="I62" t="s">
        <v>34</v>
      </c>
      <c r="J62" t="s">
        <v>36</v>
      </c>
      <c r="K62" s="10">
        <v>0.15</v>
      </c>
      <c r="L62" t="s">
        <v>39</v>
      </c>
      <c r="M62">
        <v>5016.0199999999995</v>
      </c>
      <c r="N62">
        <v>3540.7200000000003</v>
      </c>
      <c r="O62" s="10">
        <v>1461.6399999999992</v>
      </c>
      <c r="P62" s="10">
        <v>0.2913943724307318</v>
      </c>
      <c r="Q62" s="8">
        <v>5016.0200000000004</v>
      </c>
      <c r="R62" t="s">
        <v>43</v>
      </c>
      <c r="S62" t="s">
        <v>49</v>
      </c>
      <c r="T62" t="s">
        <v>2931</v>
      </c>
      <c r="U62">
        <v>1</v>
      </c>
      <c r="V62" t="str">
        <f>IF(CleanedTable[[#This Row],[Returned]] = 0,"NO","Yes")</f>
        <v>Yes</v>
      </c>
      <c r="W62" t="s">
        <v>111</v>
      </c>
      <c r="X62" t="s">
        <v>1611</v>
      </c>
      <c r="Y62" s="10">
        <v>13.66</v>
      </c>
      <c r="Z62" s="3">
        <v>45682</v>
      </c>
      <c r="AA62" s="3">
        <v>45688</v>
      </c>
      <c r="AB62" t="s">
        <v>2926</v>
      </c>
      <c r="AC62">
        <v>6</v>
      </c>
    </row>
    <row r="63" spans="1:29" x14ac:dyDescent="0.3">
      <c r="A63" s="3">
        <v>45089</v>
      </c>
      <c r="B63" s="3" t="str">
        <f>TEXT(CleanedTable[[#This Row],[OrderDate]],"mmm")</f>
        <v>Jun</v>
      </c>
      <c r="C63" s="3" t="str">
        <f>TEXT(CleanedTable[[#This Row],[OrderDate]],"yyyy")</f>
        <v>2023</v>
      </c>
      <c r="D63" s="3" t="str">
        <f>TEXT(CleanedTable[[#This Row],[OrderDate]],"mmm yyyy")</f>
        <v>Jun 2023</v>
      </c>
      <c r="E63" t="s">
        <v>22</v>
      </c>
      <c r="F63" t="s">
        <v>25</v>
      </c>
      <c r="G63" s="12">
        <v>8</v>
      </c>
      <c r="H63" s="8">
        <v>301.68</v>
      </c>
      <c r="I63" t="s">
        <v>34</v>
      </c>
      <c r="J63" t="s">
        <v>36</v>
      </c>
      <c r="K63" s="10">
        <v>0</v>
      </c>
      <c r="L63" t="s">
        <v>37</v>
      </c>
      <c r="M63">
        <v>2413.44</v>
      </c>
      <c r="N63">
        <v>1448.0640000000001</v>
      </c>
      <c r="O63" s="10">
        <v>928.83600000000001</v>
      </c>
      <c r="P63" s="10">
        <v>0.38485978520286396</v>
      </c>
      <c r="Q63" s="8">
        <v>2413.44</v>
      </c>
      <c r="R63" t="s">
        <v>47</v>
      </c>
      <c r="S63" t="s">
        <v>49</v>
      </c>
      <c r="T63" t="s">
        <v>2931</v>
      </c>
      <c r="U63">
        <v>0</v>
      </c>
      <c r="V63" t="str">
        <f>IF(CleanedTable[[#This Row],[Returned]] = 0,"NO","Yes")</f>
        <v>NO</v>
      </c>
      <c r="W63" t="s">
        <v>112</v>
      </c>
      <c r="X63" t="s">
        <v>1612</v>
      </c>
      <c r="Y63" s="10">
        <v>36.54</v>
      </c>
      <c r="Z63" s="3">
        <v>45089</v>
      </c>
      <c r="AA63" s="3">
        <v>45098</v>
      </c>
      <c r="AB63" t="s">
        <v>2925</v>
      </c>
      <c r="AC63">
        <v>9</v>
      </c>
    </row>
    <row r="64" spans="1:29" x14ac:dyDescent="0.3">
      <c r="A64" s="3">
        <v>45738</v>
      </c>
      <c r="B64" s="3" t="str">
        <f>TEXT(CleanedTable[[#This Row],[OrderDate]],"mmm")</f>
        <v>Mar</v>
      </c>
      <c r="C64" s="3" t="str">
        <f>TEXT(CleanedTable[[#This Row],[OrderDate]],"yyyy")</f>
        <v>2025</v>
      </c>
      <c r="D64" s="3" t="str">
        <f>TEXT(CleanedTable[[#This Row],[OrderDate]],"mmm yyyy")</f>
        <v>Mar 2025</v>
      </c>
      <c r="E64" t="s">
        <v>22</v>
      </c>
      <c r="F64" t="s">
        <v>27</v>
      </c>
      <c r="G64" s="12">
        <v>3</v>
      </c>
      <c r="H64" s="8">
        <v>475.39</v>
      </c>
      <c r="I64" t="s">
        <v>31</v>
      </c>
      <c r="J64" t="s">
        <v>36</v>
      </c>
      <c r="K64" s="10">
        <v>0.1</v>
      </c>
      <c r="L64" t="s">
        <v>38</v>
      </c>
      <c r="M64">
        <v>1283.5530000000001</v>
      </c>
      <c r="N64">
        <v>855.702</v>
      </c>
      <c r="O64" s="10">
        <v>412.23100000000011</v>
      </c>
      <c r="P64" s="10">
        <v>0.32116398777456018</v>
      </c>
      <c r="Q64" s="8">
        <v>1283.5530000000001</v>
      </c>
      <c r="R64" t="s">
        <v>44</v>
      </c>
      <c r="T64" t="s">
        <v>2932</v>
      </c>
      <c r="U64">
        <v>0</v>
      </c>
      <c r="V64" t="str">
        <f>IF(CleanedTable[[#This Row],[Returned]] = 0,"NO","Yes")</f>
        <v>NO</v>
      </c>
      <c r="W64" t="s">
        <v>113</v>
      </c>
      <c r="X64" t="s">
        <v>1613</v>
      </c>
      <c r="Y64" s="10">
        <v>15.62</v>
      </c>
      <c r="Z64" s="3">
        <v>45738</v>
      </c>
      <c r="AA64" s="3">
        <v>45742</v>
      </c>
      <c r="AB64" t="s">
        <v>2925</v>
      </c>
      <c r="AC64">
        <v>4</v>
      </c>
    </row>
    <row r="65" spans="1:29" x14ac:dyDescent="0.3">
      <c r="A65" s="3">
        <v>45346</v>
      </c>
      <c r="B65" s="3" t="str">
        <f>TEXT(CleanedTable[[#This Row],[OrderDate]],"mmm")</f>
        <v>Feb</v>
      </c>
      <c r="C65" s="3" t="str">
        <f>TEXT(CleanedTable[[#This Row],[OrderDate]],"yyyy")</f>
        <v>2024</v>
      </c>
      <c r="D65" s="3" t="str">
        <f>TEXT(CleanedTable[[#This Row],[OrderDate]],"mmm yyyy")</f>
        <v>Feb 2024</v>
      </c>
      <c r="E65" t="s">
        <v>22</v>
      </c>
      <c r="F65" t="s">
        <v>26</v>
      </c>
      <c r="G65" s="12">
        <v>16</v>
      </c>
      <c r="H65" s="8">
        <v>47.25</v>
      </c>
      <c r="I65" t="s">
        <v>34</v>
      </c>
      <c r="J65" t="s">
        <v>36</v>
      </c>
      <c r="K65" s="10">
        <v>0.15</v>
      </c>
      <c r="L65" t="s">
        <v>42</v>
      </c>
      <c r="M65">
        <v>642.6</v>
      </c>
      <c r="N65">
        <v>453.59999999999997</v>
      </c>
      <c r="O65" s="10">
        <v>159.50000000000006</v>
      </c>
      <c r="P65" s="10">
        <v>0.24821039526921887</v>
      </c>
      <c r="Q65" s="8">
        <v>642.6</v>
      </c>
      <c r="R65" t="s">
        <v>46</v>
      </c>
      <c r="S65" t="s">
        <v>48</v>
      </c>
      <c r="T65" t="s">
        <v>2931</v>
      </c>
      <c r="U65">
        <v>0</v>
      </c>
      <c r="V65" t="str">
        <f>IF(CleanedTable[[#This Row],[Returned]] = 0,"NO","Yes")</f>
        <v>NO</v>
      </c>
      <c r="W65" t="s">
        <v>114</v>
      </c>
      <c r="X65" t="s">
        <v>1614</v>
      </c>
      <c r="Y65" s="10">
        <v>29.5</v>
      </c>
      <c r="Z65" s="3">
        <v>45346</v>
      </c>
      <c r="AA65" s="3">
        <v>45349</v>
      </c>
      <c r="AB65" t="s">
        <v>2925</v>
      </c>
      <c r="AC65">
        <v>3</v>
      </c>
    </row>
    <row r="66" spans="1:29" x14ac:dyDescent="0.3">
      <c r="A66" s="3">
        <v>45269</v>
      </c>
      <c r="B66" s="3" t="str">
        <f>TEXT(CleanedTable[[#This Row],[OrderDate]],"mmm")</f>
        <v>Dec</v>
      </c>
      <c r="C66" s="3" t="str">
        <f>TEXT(CleanedTable[[#This Row],[OrderDate]],"yyyy")</f>
        <v>2023</v>
      </c>
      <c r="D66" s="3" t="str">
        <f>TEXT(CleanedTable[[#This Row],[OrderDate]],"mmm yyyy")</f>
        <v>Dec 2023</v>
      </c>
      <c r="E66" t="s">
        <v>20</v>
      </c>
      <c r="F66" t="s">
        <v>27</v>
      </c>
      <c r="G66" s="12">
        <v>15</v>
      </c>
      <c r="H66" s="8">
        <v>511.17</v>
      </c>
      <c r="I66" t="s">
        <v>31</v>
      </c>
      <c r="J66" t="s">
        <v>35</v>
      </c>
      <c r="K66" s="10">
        <v>0</v>
      </c>
      <c r="L66" t="s">
        <v>39</v>
      </c>
      <c r="M66">
        <v>7667.55</v>
      </c>
      <c r="N66">
        <v>4600.53</v>
      </c>
      <c r="O66" s="10">
        <v>3045.2500000000005</v>
      </c>
      <c r="P66" s="10">
        <v>0.3971607619122145</v>
      </c>
      <c r="Q66" s="8">
        <v>7667.55</v>
      </c>
      <c r="R66" t="s">
        <v>43</v>
      </c>
      <c r="S66" t="s">
        <v>48</v>
      </c>
      <c r="T66" t="s">
        <v>2931</v>
      </c>
      <c r="U66">
        <v>0</v>
      </c>
      <c r="V66" t="str">
        <f>IF(CleanedTable[[#This Row],[Returned]] = 0,"NO","Yes")</f>
        <v>NO</v>
      </c>
      <c r="W66" t="s">
        <v>115</v>
      </c>
      <c r="X66" t="s">
        <v>1615</v>
      </c>
      <c r="Y66" s="10">
        <v>21.77</v>
      </c>
      <c r="Z66" s="3">
        <v>45269</v>
      </c>
      <c r="AA66" s="3">
        <v>45272</v>
      </c>
      <c r="AB66" t="s">
        <v>2923</v>
      </c>
      <c r="AC66">
        <v>3</v>
      </c>
    </row>
    <row r="67" spans="1:29" x14ac:dyDescent="0.3">
      <c r="A67" s="3">
        <v>45200</v>
      </c>
      <c r="B67" s="3" t="str">
        <f>TEXT(CleanedTable[[#This Row],[OrderDate]],"mmm")</f>
        <v>Oct</v>
      </c>
      <c r="C67" s="3" t="str">
        <f>TEXT(CleanedTable[[#This Row],[OrderDate]],"yyyy")</f>
        <v>2023</v>
      </c>
      <c r="D67" s="3" t="str">
        <f>TEXT(CleanedTable[[#This Row],[OrderDate]],"mmm yyyy")</f>
        <v>Oct 2023</v>
      </c>
      <c r="E67" t="s">
        <v>22</v>
      </c>
      <c r="F67" t="s">
        <v>28</v>
      </c>
      <c r="G67" s="12">
        <v>3</v>
      </c>
      <c r="H67" s="8">
        <v>66.58</v>
      </c>
      <c r="I67" t="s">
        <v>31</v>
      </c>
      <c r="J67" t="s">
        <v>36</v>
      </c>
      <c r="K67" s="10">
        <v>0.1</v>
      </c>
      <c r="L67" t="s">
        <v>39</v>
      </c>
      <c r="M67">
        <v>179.76600000000002</v>
      </c>
      <c r="N67">
        <v>119.84399999999999</v>
      </c>
      <c r="O67" s="10">
        <v>37.492000000000026</v>
      </c>
      <c r="P67" s="10">
        <v>0.20856001691087314</v>
      </c>
      <c r="Q67" s="8">
        <v>179.76599999999999</v>
      </c>
      <c r="R67" t="s">
        <v>46</v>
      </c>
      <c r="S67" t="s">
        <v>48</v>
      </c>
      <c r="T67" t="s">
        <v>2931</v>
      </c>
      <c r="U67">
        <v>0</v>
      </c>
      <c r="V67" t="str">
        <f>IF(CleanedTable[[#This Row],[Returned]] = 0,"NO","Yes")</f>
        <v>NO</v>
      </c>
      <c r="W67" t="s">
        <v>116</v>
      </c>
      <c r="X67" t="s">
        <v>1616</v>
      </c>
      <c r="Y67" s="10">
        <v>22.43</v>
      </c>
      <c r="Z67" s="3">
        <v>45200</v>
      </c>
      <c r="AA67" s="3">
        <v>45204</v>
      </c>
      <c r="AB67" t="s">
        <v>2925</v>
      </c>
      <c r="AC67">
        <v>4</v>
      </c>
    </row>
    <row r="68" spans="1:29" x14ac:dyDescent="0.3">
      <c r="A68" s="3">
        <v>45138</v>
      </c>
      <c r="B68" s="3" t="str">
        <f>TEXT(CleanedTable[[#This Row],[OrderDate]],"mmm")</f>
        <v>Jul</v>
      </c>
      <c r="C68" s="3" t="str">
        <f>TEXT(CleanedTable[[#This Row],[OrderDate]],"yyyy")</f>
        <v>2023</v>
      </c>
      <c r="D68" s="3" t="str">
        <f>TEXT(CleanedTable[[#This Row],[OrderDate]],"mmm yyyy")</f>
        <v>Jul 2023</v>
      </c>
      <c r="E68" t="s">
        <v>23</v>
      </c>
      <c r="F68" t="s">
        <v>29</v>
      </c>
      <c r="G68" s="12">
        <v>5</v>
      </c>
      <c r="H68" s="8">
        <v>490.52</v>
      </c>
      <c r="I68" t="s">
        <v>34</v>
      </c>
      <c r="J68" t="s">
        <v>35</v>
      </c>
      <c r="K68" s="10">
        <v>0.05</v>
      </c>
      <c r="L68" t="s">
        <v>39</v>
      </c>
      <c r="M68">
        <v>2329.9699999999998</v>
      </c>
      <c r="N68">
        <v>1471.5599999999997</v>
      </c>
      <c r="O68" s="10">
        <v>846.17000000000007</v>
      </c>
      <c r="P68" s="10">
        <v>0.3631677661085766</v>
      </c>
      <c r="Q68" s="8">
        <v>2329.9699999999998</v>
      </c>
      <c r="R68" t="s">
        <v>43</v>
      </c>
      <c r="T68" t="s">
        <v>2932</v>
      </c>
      <c r="U68">
        <v>0</v>
      </c>
      <c r="V68" t="str">
        <f>IF(CleanedTable[[#This Row],[Returned]] = 0,"NO","Yes")</f>
        <v>NO</v>
      </c>
      <c r="W68" t="s">
        <v>117</v>
      </c>
      <c r="X68" t="s">
        <v>1617</v>
      </c>
      <c r="Y68" s="10">
        <v>12.24</v>
      </c>
      <c r="Z68" s="3">
        <v>45138</v>
      </c>
      <c r="AA68" s="3">
        <v>45145</v>
      </c>
      <c r="AB68" t="s">
        <v>2926</v>
      </c>
      <c r="AC68">
        <v>7</v>
      </c>
    </row>
    <row r="69" spans="1:29" x14ac:dyDescent="0.3">
      <c r="A69" s="3">
        <v>45650</v>
      </c>
      <c r="B69" s="3" t="str">
        <f>TEXT(CleanedTable[[#This Row],[OrderDate]],"mmm")</f>
        <v>Dec</v>
      </c>
      <c r="C69" s="3" t="str">
        <f>TEXT(CleanedTable[[#This Row],[OrderDate]],"yyyy")</f>
        <v>2024</v>
      </c>
      <c r="D69" s="3" t="str">
        <f>TEXT(CleanedTable[[#This Row],[OrderDate]],"mmm yyyy")</f>
        <v>Dec 2024</v>
      </c>
      <c r="E69" t="s">
        <v>20</v>
      </c>
      <c r="F69" t="s">
        <v>27</v>
      </c>
      <c r="G69" s="12">
        <v>8</v>
      </c>
      <c r="H69" s="8">
        <v>405.96</v>
      </c>
      <c r="I69" t="s">
        <v>32</v>
      </c>
      <c r="J69" t="s">
        <v>35</v>
      </c>
      <c r="K69" s="10">
        <v>0.05</v>
      </c>
      <c r="L69" t="s">
        <v>40</v>
      </c>
      <c r="M69">
        <v>3085.2959999999998</v>
      </c>
      <c r="N69">
        <v>1948.6079999999997</v>
      </c>
      <c r="O69" s="10">
        <v>1095.4180000000001</v>
      </c>
      <c r="P69" s="10">
        <v>0.35504470235594904</v>
      </c>
      <c r="Q69" s="8">
        <v>3085.2959999999998</v>
      </c>
      <c r="R69" t="s">
        <v>45</v>
      </c>
      <c r="S69" t="s">
        <v>50</v>
      </c>
      <c r="T69" t="s">
        <v>2931</v>
      </c>
      <c r="U69">
        <v>0</v>
      </c>
      <c r="V69" t="str">
        <f>IF(CleanedTable[[#This Row],[Returned]] = 0,"NO","Yes")</f>
        <v>NO</v>
      </c>
      <c r="W69" t="s">
        <v>118</v>
      </c>
      <c r="X69" t="s">
        <v>1618</v>
      </c>
      <c r="Y69" s="10">
        <v>41.27</v>
      </c>
      <c r="Z69" s="3">
        <v>45650</v>
      </c>
      <c r="AA69" s="3">
        <v>45657</v>
      </c>
      <c r="AB69" t="s">
        <v>2923</v>
      </c>
      <c r="AC69">
        <v>7</v>
      </c>
    </row>
    <row r="70" spans="1:29" x14ac:dyDescent="0.3">
      <c r="A70" s="3">
        <v>45611</v>
      </c>
      <c r="B70" s="3" t="str">
        <f>TEXT(CleanedTable[[#This Row],[OrderDate]],"mmm")</f>
        <v>Nov</v>
      </c>
      <c r="C70" s="3" t="str">
        <f>TEXT(CleanedTable[[#This Row],[OrderDate]],"yyyy")</f>
        <v>2024</v>
      </c>
      <c r="D70" s="3" t="str">
        <f>TEXT(CleanedTable[[#This Row],[OrderDate]],"mmm yyyy")</f>
        <v>Nov 2024</v>
      </c>
      <c r="E70" t="s">
        <v>21</v>
      </c>
      <c r="F70" t="s">
        <v>25</v>
      </c>
      <c r="G70" s="12">
        <v>1</v>
      </c>
      <c r="H70" s="8">
        <v>159.41</v>
      </c>
      <c r="I70" t="s">
        <v>31</v>
      </c>
      <c r="J70" t="s">
        <v>36</v>
      </c>
      <c r="K70" s="10">
        <v>0.1</v>
      </c>
      <c r="L70" t="s">
        <v>42</v>
      </c>
      <c r="M70">
        <v>143.46899999999999</v>
      </c>
      <c r="N70">
        <v>95.646000000000001</v>
      </c>
      <c r="O70" s="10">
        <v>12.682999999999993</v>
      </c>
      <c r="P70" s="10">
        <v>8.840237263799143E-2</v>
      </c>
      <c r="Q70" s="8">
        <v>143.46899999999999</v>
      </c>
      <c r="R70" t="s">
        <v>45</v>
      </c>
      <c r="S70" t="s">
        <v>48</v>
      </c>
      <c r="T70" t="s">
        <v>2931</v>
      </c>
      <c r="U70">
        <v>0</v>
      </c>
      <c r="V70" t="str">
        <f>IF(CleanedTable[[#This Row],[Returned]] = 0,"NO","Yes")</f>
        <v>NO</v>
      </c>
      <c r="W70" t="s">
        <v>119</v>
      </c>
      <c r="X70" t="s">
        <v>1619</v>
      </c>
      <c r="Y70" s="10">
        <v>35.14</v>
      </c>
      <c r="Z70" s="3">
        <v>45611</v>
      </c>
      <c r="AA70" s="3">
        <v>45615</v>
      </c>
      <c r="AB70" t="s">
        <v>2924</v>
      </c>
      <c r="AC70">
        <v>4</v>
      </c>
    </row>
    <row r="71" spans="1:29" x14ac:dyDescent="0.3">
      <c r="A71" s="3">
        <v>45729</v>
      </c>
      <c r="B71" s="3" t="str">
        <f>TEXT(CleanedTable[[#This Row],[OrderDate]],"mmm")</f>
        <v>Mar</v>
      </c>
      <c r="C71" s="3" t="str">
        <f>TEXT(CleanedTable[[#This Row],[OrderDate]],"yyyy")</f>
        <v>2025</v>
      </c>
      <c r="D71" s="3" t="str">
        <f>TEXT(CleanedTable[[#This Row],[OrderDate]],"mmm yyyy")</f>
        <v>Mar 2025</v>
      </c>
      <c r="E71" t="s">
        <v>23</v>
      </c>
      <c r="F71" t="s">
        <v>28</v>
      </c>
      <c r="G71" s="12">
        <v>16</v>
      </c>
      <c r="H71" s="8">
        <v>38.49</v>
      </c>
      <c r="I71" t="s">
        <v>33</v>
      </c>
      <c r="J71" t="s">
        <v>36</v>
      </c>
      <c r="K71" s="10">
        <v>0.15</v>
      </c>
      <c r="L71" t="s">
        <v>40</v>
      </c>
      <c r="M71">
        <v>523.46400000000006</v>
      </c>
      <c r="N71">
        <v>369.50400000000002</v>
      </c>
      <c r="O71" s="10">
        <v>145.58000000000004</v>
      </c>
      <c r="P71" s="10">
        <v>0.27810890529243659</v>
      </c>
      <c r="Q71" s="8">
        <v>523.46400000000006</v>
      </c>
      <c r="R71" t="s">
        <v>46</v>
      </c>
      <c r="S71" t="s">
        <v>49</v>
      </c>
      <c r="T71" t="s">
        <v>2931</v>
      </c>
      <c r="U71">
        <v>0</v>
      </c>
      <c r="V71" t="str">
        <f>IF(CleanedTable[[#This Row],[Returned]] = 0,"NO","Yes")</f>
        <v>NO</v>
      </c>
      <c r="W71" t="s">
        <v>120</v>
      </c>
      <c r="X71" t="s">
        <v>1620</v>
      </c>
      <c r="Y71" s="10">
        <v>8.3800000000000008</v>
      </c>
      <c r="Z71" s="3">
        <v>45729</v>
      </c>
      <c r="AA71" s="3">
        <v>45738</v>
      </c>
      <c r="AB71" t="s">
        <v>2926</v>
      </c>
      <c r="AC71">
        <v>9</v>
      </c>
    </row>
    <row r="72" spans="1:29" x14ac:dyDescent="0.3">
      <c r="A72" s="3">
        <v>45354</v>
      </c>
      <c r="B72" s="3" t="str">
        <f>TEXT(CleanedTable[[#This Row],[OrderDate]],"mmm")</f>
        <v>Mar</v>
      </c>
      <c r="C72" s="3" t="str">
        <f>TEXT(CleanedTable[[#This Row],[OrderDate]],"yyyy")</f>
        <v>2024</v>
      </c>
      <c r="D72" s="3" t="str">
        <f>TEXT(CleanedTable[[#This Row],[OrderDate]],"mmm yyyy")</f>
        <v>Mar 2024</v>
      </c>
      <c r="E72" t="s">
        <v>19</v>
      </c>
      <c r="F72" t="s">
        <v>29</v>
      </c>
      <c r="G72" s="12">
        <v>15</v>
      </c>
      <c r="H72" s="8">
        <v>328.36</v>
      </c>
      <c r="I72" t="s">
        <v>34</v>
      </c>
      <c r="J72" t="s">
        <v>36</v>
      </c>
      <c r="K72" s="10">
        <v>0.15</v>
      </c>
      <c r="L72" t="s">
        <v>38</v>
      </c>
      <c r="M72">
        <v>4186.59</v>
      </c>
      <c r="N72">
        <v>2955.24</v>
      </c>
      <c r="O72" s="10">
        <v>1215.5900000000004</v>
      </c>
      <c r="P72" s="10">
        <v>0.29035324691455344</v>
      </c>
      <c r="Q72" s="8">
        <v>4186.59</v>
      </c>
      <c r="R72" t="s">
        <v>44</v>
      </c>
      <c r="S72" t="s">
        <v>50</v>
      </c>
      <c r="T72" t="s">
        <v>2931</v>
      </c>
      <c r="U72">
        <v>0</v>
      </c>
      <c r="V72" t="str">
        <f>IF(CleanedTable[[#This Row],[Returned]] = 0,"NO","Yes")</f>
        <v>NO</v>
      </c>
      <c r="W72" t="s">
        <v>121</v>
      </c>
      <c r="X72" t="s">
        <v>1621</v>
      </c>
      <c r="Y72" s="10">
        <v>15.76</v>
      </c>
      <c r="Z72" s="3">
        <v>45354</v>
      </c>
      <c r="AA72" s="3">
        <v>45363</v>
      </c>
      <c r="AB72" t="s">
        <v>2922</v>
      </c>
      <c r="AC72">
        <v>9</v>
      </c>
    </row>
    <row r="73" spans="1:29" x14ac:dyDescent="0.3">
      <c r="A73" s="3">
        <v>44968</v>
      </c>
      <c r="B73" s="3" t="str">
        <f>TEXT(CleanedTable[[#This Row],[OrderDate]],"mmm")</f>
        <v>Feb</v>
      </c>
      <c r="C73" s="3" t="str">
        <f>TEXT(CleanedTable[[#This Row],[OrderDate]],"yyyy")</f>
        <v>2023</v>
      </c>
      <c r="D73" s="3" t="str">
        <f>TEXT(CleanedTable[[#This Row],[OrderDate]],"mmm yyyy")</f>
        <v>Feb 2023</v>
      </c>
      <c r="E73" t="s">
        <v>22</v>
      </c>
      <c r="F73" t="s">
        <v>29</v>
      </c>
      <c r="G73" s="12">
        <v>20</v>
      </c>
      <c r="H73" s="8">
        <v>548.01</v>
      </c>
      <c r="I73" t="s">
        <v>32</v>
      </c>
      <c r="J73" t="s">
        <v>35</v>
      </c>
      <c r="K73" s="10">
        <v>0.1</v>
      </c>
      <c r="L73" t="s">
        <v>37</v>
      </c>
      <c r="M73">
        <v>9864.18</v>
      </c>
      <c r="N73">
        <v>6576.12</v>
      </c>
      <c r="O73" s="10">
        <v>3282.1700000000005</v>
      </c>
      <c r="P73" s="10">
        <v>0.3327362233860291</v>
      </c>
      <c r="Q73" s="8">
        <v>9864.18</v>
      </c>
      <c r="R73" t="s">
        <v>45</v>
      </c>
      <c r="S73" t="s">
        <v>50</v>
      </c>
      <c r="T73" t="s">
        <v>2931</v>
      </c>
      <c r="U73">
        <v>1</v>
      </c>
      <c r="V73" t="str">
        <f>IF(CleanedTable[[#This Row],[Returned]] = 0,"NO","Yes")</f>
        <v>Yes</v>
      </c>
      <c r="W73" t="s">
        <v>122</v>
      </c>
      <c r="X73" t="s">
        <v>1622</v>
      </c>
      <c r="Y73" s="10">
        <v>5.89</v>
      </c>
      <c r="Z73" s="3">
        <v>44968</v>
      </c>
      <c r="AA73" s="3">
        <v>44971</v>
      </c>
      <c r="AB73" t="s">
        <v>2925</v>
      </c>
      <c r="AC73">
        <v>3</v>
      </c>
    </row>
    <row r="74" spans="1:29" x14ac:dyDescent="0.3">
      <c r="A74" s="3">
        <v>45225</v>
      </c>
      <c r="B74" s="3" t="str">
        <f>TEXT(CleanedTable[[#This Row],[OrderDate]],"mmm")</f>
        <v>Oct</v>
      </c>
      <c r="C74" s="3" t="str">
        <f>TEXT(CleanedTable[[#This Row],[OrderDate]],"yyyy")</f>
        <v>2023</v>
      </c>
      <c r="D74" s="3" t="str">
        <f>TEXT(CleanedTable[[#This Row],[OrderDate]],"mmm yyyy")</f>
        <v>Oct 2023</v>
      </c>
      <c r="E74" t="s">
        <v>20</v>
      </c>
      <c r="F74" t="s">
        <v>26</v>
      </c>
      <c r="G74" s="12">
        <v>13</v>
      </c>
      <c r="H74" s="8">
        <v>484.45</v>
      </c>
      <c r="I74" t="s">
        <v>31</v>
      </c>
      <c r="J74" t="s">
        <v>35</v>
      </c>
      <c r="K74" s="10">
        <v>0.05</v>
      </c>
      <c r="L74" t="s">
        <v>40</v>
      </c>
      <c r="M74">
        <v>5982.9574999999995</v>
      </c>
      <c r="N74">
        <v>3778.7099999999996</v>
      </c>
      <c r="O74" s="10">
        <v>2197.6774999999998</v>
      </c>
      <c r="P74" s="10">
        <v>0.3673229335157403</v>
      </c>
      <c r="Q74" s="8">
        <v>5982.9575000000004</v>
      </c>
      <c r="R74" t="s">
        <v>44</v>
      </c>
      <c r="S74" t="s">
        <v>50</v>
      </c>
      <c r="T74" t="s">
        <v>2931</v>
      </c>
      <c r="U74">
        <v>1</v>
      </c>
      <c r="V74" t="str">
        <f>IF(CleanedTable[[#This Row],[Returned]] = 0,"NO","Yes")</f>
        <v>Yes</v>
      </c>
      <c r="W74" t="s">
        <v>123</v>
      </c>
      <c r="X74" t="s">
        <v>1623</v>
      </c>
      <c r="Y74" s="10">
        <v>6.57</v>
      </c>
      <c r="Z74" s="3">
        <v>45225</v>
      </c>
      <c r="AA74" s="3">
        <v>45235</v>
      </c>
      <c r="AB74" t="s">
        <v>2923</v>
      </c>
      <c r="AC74">
        <v>10</v>
      </c>
    </row>
    <row r="75" spans="1:29" x14ac:dyDescent="0.3">
      <c r="A75" s="3">
        <v>45220</v>
      </c>
      <c r="B75" s="3" t="str">
        <f>TEXT(CleanedTable[[#This Row],[OrderDate]],"mmm")</f>
        <v>Oct</v>
      </c>
      <c r="C75" s="3" t="str">
        <f>TEXT(CleanedTable[[#This Row],[OrderDate]],"yyyy")</f>
        <v>2023</v>
      </c>
      <c r="D75" s="3" t="str">
        <f>TEXT(CleanedTable[[#This Row],[OrderDate]],"mmm yyyy")</f>
        <v>Oct 2023</v>
      </c>
      <c r="E75" t="s">
        <v>20</v>
      </c>
      <c r="F75" t="s">
        <v>28</v>
      </c>
      <c r="G75" s="12">
        <v>13</v>
      </c>
      <c r="H75" s="8">
        <v>195.84</v>
      </c>
      <c r="I75" t="s">
        <v>32</v>
      </c>
      <c r="J75" t="s">
        <v>35</v>
      </c>
      <c r="K75" s="10">
        <v>0.05</v>
      </c>
      <c r="L75" t="s">
        <v>38</v>
      </c>
      <c r="M75">
        <v>2418.6239999999998</v>
      </c>
      <c r="N75">
        <v>1527.5519999999999</v>
      </c>
      <c r="O75" s="10">
        <v>857.55199999999991</v>
      </c>
      <c r="P75" s="10">
        <v>0.35456193273530734</v>
      </c>
      <c r="Q75" s="8">
        <v>2418.6239999999998</v>
      </c>
      <c r="R75" t="s">
        <v>45</v>
      </c>
      <c r="T75" t="s">
        <v>2932</v>
      </c>
      <c r="U75">
        <v>0</v>
      </c>
      <c r="V75" t="str">
        <f>IF(CleanedTable[[#This Row],[Returned]] = 0,"NO","Yes")</f>
        <v>NO</v>
      </c>
      <c r="W75" t="s">
        <v>124</v>
      </c>
      <c r="X75" t="s">
        <v>1624</v>
      </c>
      <c r="Y75" s="10">
        <v>33.520000000000003</v>
      </c>
      <c r="Z75" s="3">
        <v>45220</v>
      </c>
      <c r="AA75" s="3">
        <v>45227</v>
      </c>
      <c r="AB75" t="s">
        <v>2923</v>
      </c>
      <c r="AC75">
        <v>7</v>
      </c>
    </row>
    <row r="76" spans="1:29" x14ac:dyDescent="0.3">
      <c r="A76" s="3">
        <v>45305</v>
      </c>
      <c r="B76" s="3" t="str">
        <f>TEXT(CleanedTable[[#This Row],[OrderDate]],"mmm")</f>
        <v>Jan</v>
      </c>
      <c r="C76" s="3" t="str">
        <f>TEXT(CleanedTable[[#This Row],[OrderDate]],"yyyy")</f>
        <v>2024</v>
      </c>
      <c r="D76" s="3" t="str">
        <f>TEXT(CleanedTable[[#This Row],[OrderDate]],"mmm yyyy")</f>
        <v>Jan 2024</v>
      </c>
      <c r="E76" t="s">
        <v>22</v>
      </c>
      <c r="F76" t="s">
        <v>29</v>
      </c>
      <c r="G76" s="12">
        <v>19</v>
      </c>
      <c r="H76" s="8">
        <v>29.94</v>
      </c>
      <c r="I76" t="s">
        <v>34</v>
      </c>
      <c r="J76" t="s">
        <v>36</v>
      </c>
      <c r="K76" s="10">
        <v>0.15</v>
      </c>
      <c r="L76" t="s">
        <v>41</v>
      </c>
      <c r="M76">
        <v>483.53100000000001</v>
      </c>
      <c r="N76">
        <v>341.31599999999997</v>
      </c>
      <c r="O76" s="10">
        <v>108.62500000000003</v>
      </c>
      <c r="P76" s="10">
        <v>0.2246495054091672</v>
      </c>
      <c r="Q76" s="8">
        <v>483.53100000000001</v>
      </c>
      <c r="R76" t="s">
        <v>46</v>
      </c>
      <c r="S76" t="s">
        <v>48</v>
      </c>
      <c r="T76" t="s">
        <v>2931</v>
      </c>
      <c r="U76">
        <v>0</v>
      </c>
      <c r="V76" t="str">
        <f>IF(CleanedTable[[#This Row],[Returned]] = 0,"NO","Yes")</f>
        <v>NO</v>
      </c>
      <c r="W76" t="s">
        <v>125</v>
      </c>
      <c r="X76" t="s">
        <v>1625</v>
      </c>
      <c r="Y76" s="10">
        <v>33.590000000000003</v>
      </c>
      <c r="Z76" s="3">
        <v>45305</v>
      </c>
      <c r="AA76" s="3">
        <v>45311</v>
      </c>
      <c r="AB76" t="s">
        <v>2925</v>
      </c>
      <c r="AC76">
        <v>6</v>
      </c>
    </row>
    <row r="77" spans="1:29" x14ac:dyDescent="0.3">
      <c r="A77" s="3">
        <v>45134</v>
      </c>
      <c r="B77" s="3" t="str">
        <f>TEXT(CleanedTable[[#This Row],[OrderDate]],"mmm")</f>
        <v>Jul</v>
      </c>
      <c r="C77" s="3" t="str">
        <f>TEXT(CleanedTable[[#This Row],[OrderDate]],"yyyy")</f>
        <v>2023</v>
      </c>
      <c r="D77" s="3" t="str">
        <f>TEXT(CleanedTable[[#This Row],[OrderDate]],"mmm yyyy")</f>
        <v>Jul 2023</v>
      </c>
      <c r="E77" t="s">
        <v>22</v>
      </c>
      <c r="F77" t="s">
        <v>26</v>
      </c>
      <c r="G77" s="12">
        <v>10</v>
      </c>
      <c r="H77" s="8">
        <v>553.91</v>
      </c>
      <c r="I77" t="s">
        <v>34</v>
      </c>
      <c r="J77" t="s">
        <v>35</v>
      </c>
      <c r="K77" s="10">
        <v>0.1</v>
      </c>
      <c r="L77" t="s">
        <v>37</v>
      </c>
      <c r="M77">
        <v>4985.1899999999996</v>
      </c>
      <c r="N77">
        <v>3323.4599999999996</v>
      </c>
      <c r="O77" s="10">
        <v>1630.43</v>
      </c>
      <c r="P77" s="10">
        <v>0.3270547361284124</v>
      </c>
      <c r="Q77" s="8">
        <v>4985.1899999999996</v>
      </c>
      <c r="R77" t="s">
        <v>43</v>
      </c>
      <c r="T77" t="s">
        <v>2932</v>
      </c>
      <c r="U77">
        <v>0</v>
      </c>
      <c r="V77" t="str">
        <f>IF(CleanedTable[[#This Row],[Returned]] = 0,"NO","Yes")</f>
        <v>NO</v>
      </c>
      <c r="W77" t="s">
        <v>126</v>
      </c>
      <c r="X77" t="s">
        <v>1626</v>
      </c>
      <c r="Y77" s="10">
        <v>31.3</v>
      </c>
      <c r="Z77" s="3">
        <v>45134</v>
      </c>
      <c r="AA77" s="3">
        <v>45138</v>
      </c>
      <c r="AB77" t="s">
        <v>2925</v>
      </c>
      <c r="AC77">
        <v>4</v>
      </c>
    </row>
    <row r="78" spans="1:29" x14ac:dyDescent="0.3">
      <c r="A78" s="3">
        <v>45588</v>
      </c>
      <c r="B78" s="3" t="str">
        <f>TEXT(CleanedTable[[#This Row],[OrderDate]],"mmm")</f>
        <v>Oct</v>
      </c>
      <c r="C78" s="3" t="str">
        <f>TEXT(CleanedTable[[#This Row],[OrderDate]],"yyyy")</f>
        <v>2024</v>
      </c>
      <c r="D78" s="3" t="str">
        <f>TEXT(CleanedTable[[#This Row],[OrderDate]],"mmm yyyy")</f>
        <v>Oct 2024</v>
      </c>
      <c r="E78" t="s">
        <v>20</v>
      </c>
      <c r="F78" t="s">
        <v>25</v>
      </c>
      <c r="G78" s="12">
        <v>14</v>
      </c>
      <c r="H78" s="8">
        <v>445.52</v>
      </c>
      <c r="I78" t="s">
        <v>31</v>
      </c>
      <c r="J78" t="s">
        <v>36</v>
      </c>
      <c r="K78" s="10">
        <v>0.1</v>
      </c>
      <c r="L78" t="s">
        <v>42</v>
      </c>
      <c r="M78">
        <v>5613.5519999999997</v>
      </c>
      <c r="N78">
        <v>3742.3679999999995</v>
      </c>
      <c r="O78" s="10">
        <v>1856.7740000000001</v>
      </c>
      <c r="P78" s="10">
        <v>0.33076633119279919</v>
      </c>
      <c r="Q78" s="8">
        <v>5613.5519999999997</v>
      </c>
      <c r="R78" t="s">
        <v>43</v>
      </c>
      <c r="S78" t="s">
        <v>49</v>
      </c>
      <c r="T78" t="s">
        <v>2931</v>
      </c>
      <c r="U78">
        <v>0</v>
      </c>
      <c r="V78" t="str">
        <f>IF(CleanedTable[[#This Row],[Returned]] = 0,"NO","Yes")</f>
        <v>NO</v>
      </c>
      <c r="W78" t="s">
        <v>127</v>
      </c>
      <c r="X78" t="s">
        <v>1627</v>
      </c>
      <c r="Y78" s="10">
        <v>14.41</v>
      </c>
      <c r="Z78" s="3">
        <v>45588</v>
      </c>
      <c r="AA78" s="3">
        <v>45590</v>
      </c>
      <c r="AB78" t="s">
        <v>2923</v>
      </c>
      <c r="AC78">
        <v>2</v>
      </c>
    </row>
    <row r="79" spans="1:29" x14ac:dyDescent="0.3">
      <c r="A79" s="3">
        <v>45195</v>
      </c>
      <c r="B79" s="3" t="str">
        <f>TEXT(CleanedTable[[#This Row],[OrderDate]],"mmm")</f>
        <v>Sep</v>
      </c>
      <c r="C79" s="3" t="str">
        <f>TEXT(CleanedTable[[#This Row],[OrderDate]],"yyyy")</f>
        <v>2023</v>
      </c>
      <c r="D79" s="3" t="str">
        <f>TEXT(CleanedTable[[#This Row],[OrderDate]],"mmm yyyy")</f>
        <v>Sep 2023</v>
      </c>
      <c r="E79" t="s">
        <v>20</v>
      </c>
      <c r="F79" t="s">
        <v>27</v>
      </c>
      <c r="G79" s="12">
        <v>5</v>
      </c>
      <c r="H79" s="8">
        <v>551.58000000000004</v>
      </c>
      <c r="I79" t="s">
        <v>31</v>
      </c>
      <c r="J79" t="s">
        <v>36</v>
      </c>
      <c r="K79" s="10">
        <v>0.15</v>
      </c>
      <c r="L79" t="s">
        <v>38</v>
      </c>
      <c r="M79">
        <v>2344.2150000000001</v>
      </c>
      <c r="N79">
        <v>1654.7400000000002</v>
      </c>
      <c r="O79" s="10">
        <v>681.6049999999999</v>
      </c>
      <c r="P79" s="10">
        <v>0.29076044646075544</v>
      </c>
      <c r="Q79" s="8">
        <v>2344.2150000000001</v>
      </c>
      <c r="R79" t="s">
        <v>43</v>
      </c>
      <c r="S79" t="s">
        <v>50</v>
      </c>
      <c r="T79" t="s">
        <v>2931</v>
      </c>
      <c r="U79">
        <v>1</v>
      </c>
      <c r="V79" t="str">
        <f>IF(CleanedTable[[#This Row],[Returned]] = 0,"NO","Yes")</f>
        <v>Yes</v>
      </c>
      <c r="W79" t="s">
        <v>128</v>
      </c>
      <c r="X79" t="s">
        <v>1628</v>
      </c>
      <c r="Y79" s="10">
        <v>7.87</v>
      </c>
      <c r="Z79" s="3">
        <v>45195</v>
      </c>
      <c r="AA79" s="3">
        <v>45200</v>
      </c>
      <c r="AB79" t="s">
        <v>2923</v>
      </c>
      <c r="AC79">
        <v>5</v>
      </c>
    </row>
    <row r="80" spans="1:29" x14ac:dyDescent="0.3">
      <c r="A80" s="3">
        <v>45276</v>
      </c>
      <c r="B80" s="3" t="str">
        <f>TEXT(CleanedTable[[#This Row],[OrderDate]],"mmm")</f>
        <v>Dec</v>
      </c>
      <c r="C80" s="3" t="str">
        <f>TEXT(CleanedTable[[#This Row],[OrderDate]],"yyyy")</f>
        <v>2023</v>
      </c>
      <c r="D80" s="3" t="str">
        <f>TEXT(CleanedTable[[#This Row],[OrderDate]],"mmm yyyy")</f>
        <v>Dec 2023</v>
      </c>
      <c r="E80" t="s">
        <v>19</v>
      </c>
      <c r="F80" t="s">
        <v>25</v>
      </c>
      <c r="G80" s="12">
        <v>13</v>
      </c>
      <c r="H80" s="8">
        <v>241.4</v>
      </c>
      <c r="I80" t="s">
        <v>34</v>
      </c>
      <c r="J80" t="s">
        <v>36</v>
      </c>
      <c r="K80" s="10">
        <v>0</v>
      </c>
      <c r="L80" t="s">
        <v>40</v>
      </c>
      <c r="M80">
        <v>3138.2000000000003</v>
      </c>
      <c r="N80">
        <v>1882.92</v>
      </c>
      <c r="O80" s="10">
        <v>1206.2300000000002</v>
      </c>
      <c r="P80" s="10">
        <v>0.38437002103116441</v>
      </c>
      <c r="Q80" s="8">
        <v>3138.2</v>
      </c>
      <c r="R80" t="s">
        <v>44</v>
      </c>
      <c r="S80" t="s">
        <v>49</v>
      </c>
      <c r="T80" t="s">
        <v>2931</v>
      </c>
      <c r="U80">
        <v>0</v>
      </c>
      <c r="V80" t="str">
        <f>IF(CleanedTable[[#This Row],[Returned]] = 0,"NO","Yes")</f>
        <v>NO</v>
      </c>
      <c r="W80" t="s">
        <v>129</v>
      </c>
      <c r="X80" t="s">
        <v>1629</v>
      </c>
      <c r="Y80" s="10">
        <v>49.05</v>
      </c>
      <c r="Z80" s="3">
        <v>45276</v>
      </c>
      <c r="AA80" s="3">
        <v>45280</v>
      </c>
      <c r="AB80" t="s">
        <v>2922</v>
      </c>
      <c r="AC80">
        <v>4</v>
      </c>
    </row>
    <row r="81" spans="1:29" x14ac:dyDescent="0.3">
      <c r="A81" s="3">
        <v>45293</v>
      </c>
      <c r="B81" s="3" t="str">
        <f>TEXT(CleanedTable[[#This Row],[OrderDate]],"mmm")</f>
        <v>Jan</v>
      </c>
      <c r="C81" s="3" t="str">
        <f>TEXT(CleanedTable[[#This Row],[OrderDate]],"yyyy")</f>
        <v>2024</v>
      </c>
      <c r="D81" s="3" t="str">
        <f>TEXT(CleanedTable[[#This Row],[OrderDate]],"mmm yyyy")</f>
        <v>Jan 2024</v>
      </c>
      <c r="E81" t="s">
        <v>22</v>
      </c>
      <c r="F81" t="s">
        <v>30</v>
      </c>
      <c r="G81" s="12">
        <v>19</v>
      </c>
      <c r="H81" s="8">
        <v>351.93</v>
      </c>
      <c r="I81" t="s">
        <v>32</v>
      </c>
      <c r="J81" t="s">
        <v>35</v>
      </c>
      <c r="K81" s="10">
        <v>0</v>
      </c>
      <c r="L81" t="s">
        <v>38</v>
      </c>
      <c r="M81">
        <v>6686.67</v>
      </c>
      <c r="N81">
        <v>4012.002</v>
      </c>
      <c r="O81" s="10">
        <v>2634.6880000000001</v>
      </c>
      <c r="P81" s="10">
        <v>0.39402094016902284</v>
      </c>
      <c r="Q81" s="8">
        <v>6686.67</v>
      </c>
      <c r="R81" t="s">
        <v>45</v>
      </c>
      <c r="T81" t="s">
        <v>2932</v>
      </c>
      <c r="U81">
        <v>0</v>
      </c>
      <c r="V81" t="str">
        <f>IF(CleanedTable[[#This Row],[Returned]] = 0,"NO","Yes")</f>
        <v>NO</v>
      </c>
      <c r="W81" t="s">
        <v>130</v>
      </c>
      <c r="X81" t="s">
        <v>1630</v>
      </c>
      <c r="Y81" s="10">
        <v>39.979999999999997</v>
      </c>
      <c r="Z81" s="3">
        <v>45293</v>
      </c>
      <c r="AA81" s="3">
        <v>45296</v>
      </c>
      <c r="AB81" t="s">
        <v>2925</v>
      </c>
      <c r="AC81">
        <v>3</v>
      </c>
    </row>
    <row r="82" spans="1:29" x14ac:dyDescent="0.3">
      <c r="A82" s="3">
        <v>45338</v>
      </c>
      <c r="B82" s="3" t="str">
        <f>TEXT(CleanedTable[[#This Row],[OrderDate]],"mmm")</f>
        <v>Feb</v>
      </c>
      <c r="C82" s="3" t="str">
        <f>TEXT(CleanedTable[[#This Row],[OrderDate]],"yyyy")</f>
        <v>2024</v>
      </c>
      <c r="D82" s="3" t="str">
        <f>TEXT(CleanedTable[[#This Row],[OrderDate]],"mmm yyyy")</f>
        <v>Feb 2024</v>
      </c>
      <c r="E82" t="s">
        <v>21</v>
      </c>
      <c r="F82" t="s">
        <v>25</v>
      </c>
      <c r="G82" s="12">
        <v>4</v>
      </c>
      <c r="H82" s="8">
        <v>83.75</v>
      </c>
      <c r="I82" t="s">
        <v>32</v>
      </c>
      <c r="J82" t="s">
        <v>36</v>
      </c>
      <c r="K82" s="10">
        <v>0.05</v>
      </c>
      <c r="L82" t="s">
        <v>38</v>
      </c>
      <c r="M82">
        <v>318.25</v>
      </c>
      <c r="N82">
        <v>201</v>
      </c>
      <c r="O82" s="10">
        <v>78.430000000000007</v>
      </c>
      <c r="P82" s="10">
        <v>0.24644147682639436</v>
      </c>
      <c r="Q82" s="8">
        <v>318.25</v>
      </c>
      <c r="R82" t="s">
        <v>46</v>
      </c>
      <c r="S82" t="s">
        <v>49</v>
      </c>
      <c r="T82" t="s">
        <v>2931</v>
      </c>
      <c r="U82">
        <v>1</v>
      </c>
      <c r="V82" t="str">
        <f>IF(CleanedTable[[#This Row],[Returned]] = 0,"NO","Yes")</f>
        <v>Yes</v>
      </c>
      <c r="W82" t="s">
        <v>131</v>
      </c>
      <c r="X82" t="s">
        <v>1631</v>
      </c>
      <c r="Y82" s="10">
        <v>38.82</v>
      </c>
      <c r="Z82" s="3">
        <v>45338</v>
      </c>
      <c r="AA82" s="3">
        <v>45347</v>
      </c>
      <c r="AB82" t="s">
        <v>2924</v>
      </c>
      <c r="AC82">
        <v>9</v>
      </c>
    </row>
    <row r="83" spans="1:29" x14ac:dyDescent="0.3">
      <c r="A83" s="3">
        <v>45415</v>
      </c>
      <c r="B83" s="3" t="str">
        <f>TEXT(CleanedTable[[#This Row],[OrderDate]],"mmm")</f>
        <v>May</v>
      </c>
      <c r="C83" s="3" t="str">
        <f>TEXT(CleanedTable[[#This Row],[OrderDate]],"yyyy")</f>
        <v>2024</v>
      </c>
      <c r="D83" s="3" t="str">
        <f>TEXT(CleanedTable[[#This Row],[OrderDate]],"mmm yyyy")</f>
        <v>May 2024</v>
      </c>
      <c r="E83" t="s">
        <v>19</v>
      </c>
      <c r="F83" t="s">
        <v>28</v>
      </c>
      <c r="G83" s="12">
        <v>5</v>
      </c>
      <c r="H83" s="8">
        <v>416.95</v>
      </c>
      <c r="I83" t="s">
        <v>32</v>
      </c>
      <c r="J83" t="s">
        <v>35</v>
      </c>
      <c r="K83" s="10">
        <v>0.15</v>
      </c>
      <c r="L83" t="s">
        <v>39</v>
      </c>
      <c r="M83">
        <v>1772.0374999999999</v>
      </c>
      <c r="N83">
        <v>1250.8499999999999</v>
      </c>
      <c r="O83" s="10">
        <v>497.15750000000003</v>
      </c>
      <c r="P83" s="10">
        <v>0.28055698595543271</v>
      </c>
      <c r="Q83" s="8">
        <v>1772.0374999999999</v>
      </c>
      <c r="R83" t="s">
        <v>43</v>
      </c>
      <c r="T83" t="s">
        <v>2932</v>
      </c>
      <c r="U83">
        <v>1</v>
      </c>
      <c r="V83" t="str">
        <f>IF(CleanedTable[[#This Row],[Returned]] = 0,"NO","Yes")</f>
        <v>Yes</v>
      </c>
      <c r="W83" t="s">
        <v>132</v>
      </c>
      <c r="X83" t="s">
        <v>1632</v>
      </c>
      <c r="Y83" s="10">
        <v>24.03</v>
      </c>
      <c r="Z83" s="3">
        <v>45415</v>
      </c>
      <c r="AA83" s="3">
        <v>45424</v>
      </c>
      <c r="AB83" t="s">
        <v>2922</v>
      </c>
      <c r="AC83">
        <v>9</v>
      </c>
    </row>
    <row r="84" spans="1:29" x14ac:dyDescent="0.3">
      <c r="A84" s="3">
        <v>45073</v>
      </c>
      <c r="B84" s="3" t="str">
        <f>TEXT(CleanedTable[[#This Row],[OrderDate]],"mmm")</f>
        <v>May</v>
      </c>
      <c r="C84" s="3" t="str">
        <f>TEXT(CleanedTable[[#This Row],[OrderDate]],"yyyy")</f>
        <v>2023</v>
      </c>
      <c r="D84" s="3" t="str">
        <f>TEXT(CleanedTable[[#This Row],[OrderDate]],"mmm yyyy")</f>
        <v>May 2023</v>
      </c>
      <c r="E84" t="s">
        <v>23</v>
      </c>
      <c r="F84" t="s">
        <v>28</v>
      </c>
      <c r="G84" s="12">
        <v>18</v>
      </c>
      <c r="H84" s="8">
        <v>142.43</v>
      </c>
      <c r="I84" t="s">
        <v>33</v>
      </c>
      <c r="J84" t="s">
        <v>36</v>
      </c>
      <c r="K84" s="10">
        <v>0.05</v>
      </c>
      <c r="L84" t="s">
        <v>42</v>
      </c>
      <c r="M84">
        <v>2435.5529999999999</v>
      </c>
      <c r="N84">
        <v>1538.2439999999999</v>
      </c>
      <c r="O84" s="10">
        <v>884.92899999999997</v>
      </c>
      <c r="P84" s="10">
        <v>0.36333801810102268</v>
      </c>
      <c r="Q84" s="8">
        <v>2435.5529999999999</v>
      </c>
      <c r="R84" t="s">
        <v>45</v>
      </c>
      <c r="S84" t="s">
        <v>49</v>
      </c>
      <c r="T84" t="s">
        <v>2931</v>
      </c>
      <c r="U84">
        <v>1</v>
      </c>
      <c r="V84" t="str">
        <f>IF(CleanedTable[[#This Row],[Returned]] = 0,"NO","Yes")</f>
        <v>Yes</v>
      </c>
      <c r="W84" t="s">
        <v>133</v>
      </c>
      <c r="X84" t="s">
        <v>1633</v>
      </c>
      <c r="Y84" s="10">
        <v>12.38</v>
      </c>
      <c r="Z84" s="3">
        <v>45073</v>
      </c>
      <c r="AA84" s="3">
        <v>45079</v>
      </c>
      <c r="AB84" t="s">
        <v>2926</v>
      </c>
      <c r="AC84">
        <v>6</v>
      </c>
    </row>
    <row r="85" spans="1:29" x14ac:dyDescent="0.3">
      <c r="A85" s="3">
        <v>44931</v>
      </c>
      <c r="B85" s="3" t="str">
        <f>TEXT(CleanedTable[[#This Row],[OrderDate]],"mmm")</f>
        <v>Jan</v>
      </c>
      <c r="C85" s="3" t="str">
        <f>TEXT(CleanedTable[[#This Row],[OrderDate]],"yyyy")</f>
        <v>2023</v>
      </c>
      <c r="D85" s="3" t="str">
        <f>TEXT(CleanedTable[[#This Row],[OrderDate]],"mmm yyyy")</f>
        <v>Jan 2023</v>
      </c>
      <c r="E85" t="s">
        <v>19</v>
      </c>
      <c r="F85" t="s">
        <v>26</v>
      </c>
      <c r="G85" s="12">
        <v>12</v>
      </c>
      <c r="H85" s="8">
        <v>582.52</v>
      </c>
      <c r="I85" t="s">
        <v>32</v>
      </c>
      <c r="J85" t="s">
        <v>35</v>
      </c>
      <c r="K85" s="10">
        <v>0</v>
      </c>
      <c r="L85" t="s">
        <v>42</v>
      </c>
      <c r="M85">
        <v>6990.24</v>
      </c>
      <c r="N85">
        <v>4194.1440000000002</v>
      </c>
      <c r="O85" s="10">
        <v>2754.9359999999997</v>
      </c>
      <c r="P85" s="10">
        <v>0.39411179015312775</v>
      </c>
      <c r="Q85" s="8">
        <v>6990.24</v>
      </c>
      <c r="R85" t="s">
        <v>45</v>
      </c>
      <c r="S85" t="s">
        <v>48</v>
      </c>
      <c r="T85" t="s">
        <v>2931</v>
      </c>
      <c r="U85">
        <v>0</v>
      </c>
      <c r="V85" t="str">
        <f>IF(CleanedTable[[#This Row],[Returned]] = 0,"NO","Yes")</f>
        <v>NO</v>
      </c>
      <c r="W85" t="s">
        <v>134</v>
      </c>
      <c r="X85" t="s">
        <v>1634</v>
      </c>
      <c r="Y85" s="10">
        <v>41.16</v>
      </c>
      <c r="Z85" s="3">
        <v>44931</v>
      </c>
      <c r="AA85" s="3">
        <v>44937</v>
      </c>
      <c r="AB85" t="s">
        <v>2922</v>
      </c>
      <c r="AC85">
        <v>6</v>
      </c>
    </row>
    <row r="86" spans="1:29" x14ac:dyDescent="0.3">
      <c r="A86" s="3">
        <v>45798</v>
      </c>
      <c r="B86" s="3" t="str">
        <f>TEXT(CleanedTable[[#This Row],[OrderDate]],"mmm")</f>
        <v>May</v>
      </c>
      <c r="C86" s="3" t="str">
        <f>TEXT(CleanedTable[[#This Row],[OrderDate]],"yyyy")</f>
        <v>2025</v>
      </c>
      <c r="D86" s="3" t="str">
        <f>TEXT(CleanedTable[[#This Row],[OrderDate]],"mmm yyyy")</f>
        <v>May 2025</v>
      </c>
      <c r="E86" t="s">
        <v>19</v>
      </c>
      <c r="F86" t="s">
        <v>27</v>
      </c>
      <c r="G86" s="12">
        <v>20</v>
      </c>
      <c r="H86" s="8">
        <v>129.56</v>
      </c>
      <c r="I86" t="s">
        <v>32</v>
      </c>
      <c r="J86" t="s">
        <v>36</v>
      </c>
      <c r="K86" s="10">
        <v>0.15</v>
      </c>
      <c r="L86" t="s">
        <v>41</v>
      </c>
      <c r="M86">
        <v>2202.52</v>
      </c>
      <c r="N86">
        <v>1554.72</v>
      </c>
      <c r="O86" s="10">
        <v>607.58999999999992</v>
      </c>
      <c r="P86" s="10">
        <v>0.27586128616312222</v>
      </c>
      <c r="Q86" s="8">
        <v>2202.52</v>
      </c>
      <c r="R86" t="s">
        <v>43</v>
      </c>
      <c r="S86" t="s">
        <v>50</v>
      </c>
      <c r="T86" t="s">
        <v>2931</v>
      </c>
      <c r="U86">
        <v>0</v>
      </c>
      <c r="V86" t="str">
        <f>IF(CleanedTable[[#This Row],[Returned]] = 0,"NO","Yes")</f>
        <v>NO</v>
      </c>
      <c r="W86" t="s">
        <v>135</v>
      </c>
      <c r="X86" t="s">
        <v>1635</v>
      </c>
      <c r="Y86" s="10">
        <v>40.21</v>
      </c>
      <c r="Z86" s="3">
        <v>45798</v>
      </c>
      <c r="AA86" s="3">
        <v>45800</v>
      </c>
      <c r="AB86" t="s">
        <v>2922</v>
      </c>
      <c r="AC86">
        <v>2</v>
      </c>
    </row>
    <row r="87" spans="1:29" x14ac:dyDescent="0.3">
      <c r="A87" s="3">
        <v>45128</v>
      </c>
      <c r="B87" s="3" t="str">
        <f>TEXT(CleanedTable[[#This Row],[OrderDate]],"mmm")</f>
        <v>Jul</v>
      </c>
      <c r="C87" s="3" t="str">
        <f>TEXT(CleanedTable[[#This Row],[OrderDate]],"yyyy")</f>
        <v>2023</v>
      </c>
      <c r="D87" s="3" t="str">
        <f>TEXT(CleanedTable[[#This Row],[OrderDate]],"mmm yyyy")</f>
        <v>Jul 2023</v>
      </c>
      <c r="E87" t="s">
        <v>22</v>
      </c>
      <c r="F87" t="s">
        <v>29</v>
      </c>
      <c r="G87" s="12">
        <v>17</v>
      </c>
      <c r="H87" s="8">
        <v>431.82</v>
      </c>
      <c r="I87" t="s">
        <v>31</v>
      </c>
      <c r="J87" t="s">
        <v>36</v>
      </c>
      <c r="K87" s="10">
        <v>0</v>
      </c>
      <c r="L87" t="s">
        <v>37</v>
      </c>
      <c r="M87">
        <v>7340.94</v>
      </c>
      <c r="N87">
        <v>4404.5639999999994</v>
      </c>
      <c r="O87" s="10">
        <v>2898.6260000000002</v>
      </c>
      <c r="P87" s="10">
        <v>0.39485760679150089</v>
      </c>
      <c r="Q87" s="8">
        <v>7340.94</v>
      </c>
      <c r="R87" t="s">
        <v>44</v>
      </c>
      <c r="S87" t="s">
        <v>48</v>
      </c>
      <c r="T87" t="s">
        <v>2931</v>
      </c>
      <c r="U87">
        <v>1</v>
      </c>
      <c r="V87" t="str">
        <f>IF(CleanedTable[[#This Row],[Returned]] = 0,"NO","Yes")</f>
        <v>Yes</v>
      </c>
      <c r="W87" t="s">
        <v>136</v>
      </c>
      <c r="X87" t="s">
        <v>1636</v>
      </c>
      <c r="Y87" s="10">
        <v>37.75</v>
      </c>
      <c r="Z87" s="3">
        <v>45128</v>
      </c>
      <c r="AA87" s="3">
        <v>45132</v>
      </c>
      <c r="AB87" t="s">
        <v>2925</v>
      </c>
      <c r="AC87">
        <v>4</v>
      </c>
    </row>
    <row r="88" spans="1:29" x14ac:dyDescent="0.3">
      <c r="A88" s="3">
        <v>45802</v>
      </c>
      <c r="B88" s="3" t="str">
        <f>TEXT(CleanedTable[[#This Row],[OrderDate]],"mmm")</f>
        <v>May</v>
      </c>
      <c r="C88" s="3" t="str">
        <f>TEXT(CleanedTable[[#This Row],[OrderDate]],"yyyy")</f>
        <v>2025</v>
      </c>
      <c r="D88" s="3" t="str">
        <f>TEXT(CleanedTable[[#This Row],[OrderDate]],"mmm yyyy")</f>
        <v>May 2025</v>
      </c>
      <c r="E88" t="s">
        <v>19</v>
      </c>
      <c r="F88" t="s">
        <v>24</v>
      </c>
      <c r="G88" s="12">
        <v>15</v>
      </c>
      <c r="H88" s="8">
        <v>15.85</v>
      </c>
      <c r="I88" t="s">
        <v>33</v>
      </c>
      <c r="J88" t="s">
        <v>36</v>
      </c>
      <c r="K88" s="10">
        <v>0</v>
      </c>
      <c r="L88" t="s">
        <v>42</v>
      </c>
      <c r="M88">
        <v>237.75</v>
      </c>
      <c r="N88">
        <v>142.65</v>
      </c>
      <c r="O88" s="10">
        <v>71.61</v>
      </c>
      <c r="P88" s="10">
        <v>0.30119873817034698</v>
      </c>
      <c r="Q88" s="8">
        <v>237.75</v>
      </c>
      <c r="R88" t="s">
        <v>46</v>
      </c>
      <c r="S88" t="s">
        <v>50</v>
      </c>
      <c r="T88" t="s">
        <v>2931</v>
      </c>
      <c r="U88">
        <v>0</v>
      </c>
      <c r="V88" t="str">
        <f>IF(CleanedTable[[#This Row],[Returned]] = 0,"NO","Yes")</f>
        <v>NO</v>
      </c>
      <c r="W88" t="s">
        <v>137</v>
      </c>
      <c r="X88" t="s">
        <v>1637</v>
      </c>
      <c r="Y88" s="10">
        <v>23.49</v>
      </c>
      <c r="Z88" s="3">
        <v>45802</v>
      </c>
      <c r="AA88" s="3">
        <v>45811</v>
      </c>
      <c r="AB88" t="s">
        <v>2922</v>
      </c>
      <c r="AC88">
        <v>9</v>
      </c>
    </row>
    <row r="89" spans="1:29" x14ac:dyDescent="0.3">
      <c r="A89" s="3">
        <v>45612</v>
      </c>
      <c r="B89" s="3" t="str">
        <f>TEXT(CleanedTable[[#This Row],[OrderDate]],"mmm")</f>
        <v>Nov</v>
      </c>
      <c r="C89" s="3" t="str">
        <f>TEXT(CleanedTable[[#This Row],[OrderDate]],"yyyy")</f>
        <v>2024</v>
      </c>
      <c r="D89" s="3" t="str">
        <f>TEXT(CleanedTable[[#This Row],[OrderDate]],"mmm yyyy")</f>
        <v>Nov 2024</v>
      </c>
      <c r="E89" t="s">
        <v>20</v>
      </c>
      <c r="F89" t="s">
        <v>29</v>
      </c>
      <c r="G89" s="12">
        <v>20</v>
      </c>
      <c r="H89" s="8">
        <v>548.34</v>
      </c>
      <c r="I89" t="s">
        <v>31</v>
      </c>
      <c r="J89" t="s">
        <v>36</v>
      </c>
      <c r="K89" s="10">
        <v>0.1</v>
      </c>
      <c r="L89" t="s">
        <v>42</v>
      </c>
      <c r="M89">
        <v>9870.1200000000008</v>
      </c>
      <c r="N89">
        <v>6580.08</v>
      </c>
      <c r="O89" s="10">
        <v>3256.5700000000011</v>
      </c>
      <c r="P89" s="10">
        <v>0.32994229046860635</v>
      </c>
      <c r="Q89" s="8">
        <v>9870.1200000000008</v>
      </c>
      <c r="R89" t="s">
        <v>44</v>
      </c>
      <c r="S89" t="s">
        <v>50</v>
      </c>
      <c r="T89" t="s">
        <v>2931</v>
      </c>
      <c r="U89">
        <v>0</v>
      </c>
      <c r="V89" t="str">
        <f>IF(CleanedTable[[#This Row],[Returned]] = 0,"NO","Yes")</f>
        <v>NO</v>
      </c>
      <c r="W89" t="s">
        <v>138</v>
      </c>
      <c r="X89" t="s">
        <v>1638</v>
      </c>
      <c r="Y89" s="10">
        <v>33.47</v>
      </c>
      <c r="Z89" s="3">
        <v>45612</v>
      </c>
      <c r="AA89" s="3">
        <v>45618</v>
      </c>
      <c r="AB89" t="s">
        <v>2923</v>
      </c>
      <c r="AC89">
        <v>6</v>
      </c>
    </row>
    <row r="90" spans="1:29" x14ac:dyDescent="0.3">
      <c r="A90" s="3">
        <v>45249</v>
      </c>
      <c r="B90" s="3" t="str">
        <f>TEXT(CleanedTable[[#This Row],[OrderDate]],"mmm")</f>
        <v>Nov</v>
      </c>
      <c r="C90" s="3" t="str">
        <f>TEXT(CleanedTable[[#This Row],[OrderDate]],"yyyy")</f>
        <v>2023</v>
      </c>
      <c r="D90" s="3" t="str">
        <f>TEXT(CleanedTable[[#This Row],[OrderDate]],"mmm yyyy")</f>
        <v>Nov 2023</v>
      </c>
      <c r="E90" t="s">
        <v>21</v>
      </c>
      <c r="F90" t="s">
        <v>24</v>
      </c>
      <c r="G90" s="12">
        <v>16</v>
      </c>
      <c r="H90" s="8">
        <v>525.83000000000004</v>
      </c>
      <c r="I90" t="s">
        <v>33</v>
      </c>
      <c r="J90" t="s">
        <v>35</v>
      </c>
      <c r="K90" s="10">
        <v>0.05</v>
      </c>
      <c r="L90" t="s">
        <v>39</v>
      </c>
      <c r="M90">
        <v>7992.616</v>
      </c>
      <c r="N90">
        <v>5047.9679999999998</v>
      </c>
      <c r="O90" s="10">
        <v>2908.1780000000003</v>
      </c>
      <c r="P90" s="10">
        <v>0.36385809101800964</v>
      </c>
      <c r="Q90" s="8">
        <v>7992.616</v>
      </c>
      <c r="R90" t="s">
        <v>43</v>
      </c>
      <c r="T90" t="s">
        <v>2932</v>
      </c>
      <c r="U90">
        <v>0</v>
      </c>
      <c r="V90" t="str">
        <f>IF(CleanedTable[[#This Row],[Returned]] = 0,"NO","Yes")</f>
        <v>NO</v>
      </c>
      <c r="W90" t="s">
        <v>139</v>
      </c>
      <c r="X90" t="s">
        <v>1639</v>
      </c>
      <c r="Y90" s="10">
        <v>36.47</v>
      </c>
      <c r="Z90" s="3">
        <v>45249</v>
      </c>
      <c r="AA90" s="3">
        <v>45255</v>
      </c>
      <c r="AB90" t="s">
        <v>2924</v>
      </c>
      <c r="AC90">
        <v>6</v>
      </c>
    </row>
    <row r="91" spans="1:29" x14ac:dyDescent="0.3">
      <c r="A91" s="3">
        <v>45669</v>
      </c>
      <c r="B91" s="3" t="str">
        <f>TEXT(CleanedTable[[#This Row],[OrderDate]],"mmm")</f>
        <v>Jan</v>
      </c>
      <c r="C91" s="3" t="str">
        <f>TEXT(CleanedTable[[#This Row],[OrderDate]],"yyyy")</f>
        <v>2025</v>
      </c>
      <c r="D91" s="3" t="str">
        <f>TEXT(CleanedTable[[#This Row],[OrderDate]],"mmm yyyy")</f>
        <v>Jan 2025</v>
      </c>
      <c r="E91" t="s">
        <v>22</v>
      </c>
      <c r="F91" t="s">
        <v>24</v>
      </c>
      <c r="G91" s="12">
        <v>15</v>
      </c>
      <c r="H91" s="8">
        <v>411.38</v>
      </c>
      <c r="I91" t="s">
        <v>32</v>
      </c>
      <c r="J91" t="s">
        <v>35</v>
      </c>
      <c r="K91" s="10">
        <v>0.05</v>
      </c>
      <c r="L91" t="s">
        <v>42</v>
      </c>
      <c r="M91">
        <v>5862.165</v>
      </c>
      <c r="N91">
        <v>3702.4199999999996</v>
      </c>
      <c r="O91" s="10">
        <v>2111.2350000000001</v>
      </c>
      <c r="P91" s="10">
        <v>0.36014595290306572</v>
      </c>
      <c r="Q91" s="8">
        <v>5862.165</v>
      </c>
      <c r="R91" t="s">
        <v>43</v>
      </c>
      <c r="S91" t="s">
        <v>49</v>
      </c>
      <c r="T91" t="s">
        <v>2931</v>
      </c>
      <c r="U91">
        <v>0</v>
      </c>
      <c r="V91" t="str">
        <f>IF(CleanedTable[[#This Row],[Returned]] = 0,"NO","Yes")</f>
        <v>NO</v>
      </c>
      <c r="W91" t="s">
        <v>140</v>
      </c>
      <c r="X91" t="s">
        <v>1640</v>
      </c>
      <c r="Y91" s="10">
        <v>48.51</v>
      </c>
      <c r="Z91" s="3">
        <v>45669</v>
      </c>
      <c r="AA91" s="3">
        <v>45678</v>
      </c>
      <c r="AB91" t="s">
        <v>2925</v>
      </c>
      <c r="AC91">
        <v>9</v>
      </c>
    </row>
    <row r="92" spans="1:29" x14ac:dyDescent="0.3">
      <c r="A92" s="3">
        <v>45014</v>
      </c>
      <c r="B92" s="3" t="str">
        <f>TEXT(CleanedTable[[#This Row],[OrderDate]],"mmm")</f>
        <v>Mar</v>
      </c>
      <c r="C92" s="3" t="str">
        <f>TEXT(CleanedTable[[#This Row],[OrderDate]],"yyyy")</f>
        <v>2023</v>
      </c>
      <c r="D92" s="3" t="str">
        <f>TEXT(CleanedTable[[#This Row],[OrderDate]],"mmm yyyy")</f>
        <v>Mar 2023</v>
      </c>
      <c r="E92" t="s">
        <v>21</v>
      </c>
      <c r="F92" t="s">
        <v>28</v>
      </c>
      <c r="G92" s="12">
        <v>19</v>
      </c>
      <c r="H92" s="8">
        <v>559.95000000000005</v>
      </c>
      <c r="I92" t="s">
        <v>32</v>
      </c>
      <c r="J92" t="s">
        <v>35</v>
      </c>
      <c r="K92" s="10">
        <v>0.1</v>
      </c>
      <c r="L92" t="s">
        <v>40</v>
      </c>
      <c r="M92">
        <v>9575.1450000000004</v>
      </c>
      <c r="N92">
        <v>6383.43</v>
      </c>
      <c r="O92" s="10">
        <v>3173.415</v>
      </c>
      <c r="P92" s="10">
        <v>0.33142213512171353</v>
      </c>
      <c r="Q92" s="8">
        <v>9575.1450000000004</v>
      </c>
      <c r="R92" t="s">
        <v>45</v>
      </c>
      <c r="S92" t="s">
        <v>50</v>
      </c>
      <c r="T92" t="s">
        <v>2931</v>
      </c>
      <c r="U92">
        <v>0</v>
      </c>
      <c r="V92" t="str">
        <f>IF(CleanedTable[[#This Row],[Returned]] = 0,"NO","Yes")</f>
        <v>NO</v>
      </c>
      <c r="W92" t="s">
        <v>141</v>
      </c>
      <c r="X92" t="s">
        <v>1641</v>
      </c>
      <c r="Y92" s="10">
        <v>18.3</v>
      </c>
      <c r="Z92" s="3">
        <v>45014</v>
      </c>
      <c r="AA92" s="3">
        <v>45019</v>
      </c>
      <c r="AB92" t="s">
        <v>2924</v>
      </c>
      <c r="AC92">
        <v>5</v>
      </c>
    </row>
    <row r="93" spans="1:29" x14ac:dyDescent="0.3">
      <c r="A93" s="3">
        <v>45717</v>
      </c>
      <c r="B93" s="3" t="str">
        <f>TEXT(CleanedTable[[#This Row],[OrderDate]],"mmm")</f>
        <v>Mar</v>
      </c>
      <c r="C93" s="3" t="str">
        <f>TEXT(CleanedTable[[#This Row],[OrderDate]],"yyyy")</f>
        <v>2025</v>
      </c>
      <c r="D93" s="3" t="str">
        <f>TEXT(CleanedTable[[#This Row],[OrderDate]],"mmm yyyy")</f>
        <v>Mar 2025</v>
      </c>
      <c r="E93" t="s">
        <v>21</v>
      </c>
      <c r="F93" t="s">
        <v>26</v>
      </c>
      <c r="G93" s="12">
        <v>8</v>
      </c>
      <c r="H93" s="8">
        <v>179.9</v>
      </c>
      <c r="I93" t="s">
        <v>33</v>
      </c>
      <c r="J93" t="s">
        <v>36</v>
      </c>
      <c r="K93" s="10">
        <v>0.05</v>
      </c>
      <c r="L93" t="s">
        <v>40</v>
      </c>
      <c r="M93">
        <v>1367.24</v>
      </c>
      <c r="N93">
        <v>863.52</v>
      </c>
      <c r="O93" s="10">
        <v>488.92</v>
      </c>
      <c r="P93" s="10">
        <v>0.35759632544396008</v>
      </c>
      <c r="Q93" s="8">
        <v>1367.24</v>
      </c>
      <c r="R93" t="s">
        <v>43</v>
      </c>
      <c r="S93" t="s">
        <v>49</v>
      </c>
      <c r="T93" t="s">
        <v>2931</v>
      </c>
      <c r="U93">
        <v>0</v>
      </c>
      <c r="V93" t="str">
        <f>IF(CleanedTable[[#This Row],[Returned]] = 0,"NO","Yes")</f>
        <v>NO</v>
      </c>
      <c r="W93" t="s">
        <v>142</v>
      </c>
      <c r="X93" t="s">
        <v>1642</v>
      </c>
      <c r="Y93" s="10">
        <v>14.8</v>
      </c>
      <c r="Z93" s="3">
        <v>45717</v>
      </c>
      <c r="AA93" s="3">
        <v>45721</v>
      </c>
      <c r="AB93" t="s">
        <v>2924</v>
      </c>
      <c r="AC93">
        <v>4</v>
      </c>
    </row>
    <row r="94" spans="1:29" x14ac:dyDescent="0.3">
      <c r="A94" s="3">
        <v>45217</v>
      </c>
      <c r="B94" s="3" t="str">
        <f>TEXT(CleanedTable[[#This Row],[OrderDate]],"mmm")</f>
        <v>Oct</v>
      </c>
      <c r="C94" s="3" t="str">
        <f>TEXT(CleanedTable[[#This Row],[OrderDate]],"yyyy")</f>
        <v>2023</v>
      </c>
      <c r="D94" s="3" t="str">
        <f>TEXT(CleanedTable[[#This Row],[OrderDate]],"mmm yyyy")</f>
        <v>Oct 2023</v>
      </c>
      <c r="E94" t="s">
        <v>21</v>
      </c>
      <c r="F94" t="s">
        <v>27</v>
      </c>
      <c r="G94" s="12">
        <v>12</v>
      </c>
      <c r="H94" s="8">
        <v>494.15</v>
      </c>
      <c r="I94" t="s">
        <v>31</v>
      </c>
      <c r="J94" t="s">
        <v>35</v>
      </c>
      <c r="K94" s="10">
        <v>0.15</v>
      </c>
      <c r="L94" t="s">
        <v>41</v>
      </c>
      <c r="M94">
        <v>5040.329999999999</v>
      </c>
      <c r="N94">
        <v>3557.8799999999992</v>
      </c>
      <c r="O94" s="10">
        <v>1464.3999999999999</v>
      </c>
      <c r="P94" s="10">
        <v>0.29053653233022442</v>
      </c>
      <c r="Q94" s="8">
        <v>5040.329999999999</v>
      </c>
      <c r="R94" t="s">
        <v>43</v>
      </c>
      <c r="S94" t="s">
        <v>49</v>
      </c>
      <c r="T94" t="s">
        <v>2931</v>
      </c>
      <c r="U94">
        <v>1</v>
      </c>
      <c r="V94" t="str">
        <f>IF(CleanedTable[[#This Row],[Returned]] = 0,"NO","Yes")</f>
        <v>Yes</v>
      </c>
      <c r="W94" t="s">
        <v>143</v>
      </c>
      <c r="X94" t="s">
        <v>1643</v>
      </c>
      <c r="Y94" s="10">
        <v>18.05</v>
      </c>
      <c r="Z94" s="3">
        <v>45217</v>
      </c>
      <c r="AA94" s="3">
        <v>45219</v>
      </c>
      <c r="AB94" t="s">
        <v>2924</v>
      </c>
      <c r="AC94">
        <v>2</v>
      </c>
    </row>
    <row r="95" spans="1:29" x14ac:dyDescent="0.3">
      <c r="A95" s="3">
        <v>45760</v>
      </c>
      <c r="B95" s="3" t="str">
        <f>TEXT(CleanedTable[[#This Row],[OrderDate]],"mmm")</f>
        <v>Apr</v>
      </c>
      <c r="C95" s="3" t="str">
        <f>TEXT(CleanedTable[[#This Row],[OrderDate]],"yyyy")</f>
        <v>2025</v>
      </c>
      <c r="D95" s="3" t="str">
        <f>TEXT(CleanedTable[[#This Row],[OrderDate]],"mmm yyyy")</f>
        <v>Apr 2025</v>
      </c>
      <c r="E95" t="s">
        <v>19</v>
      </c>
      <c r="F95" t="s">
        <v>26</v>
      </c>
      <c r="G95" s="12">
        <v>10</v>
      </c>
      <c r="H95" s="8">
        <v>462.99</v>
      </c>
      <c r="I95" t="s">
        <v>33</v>
      </c>
      <c r="J95" t="s">
        <v>35</v>
      </c>
      <c r="K95" s="10">
        <v>0</v>
      </c>
      <c r="L95" t="s">
        <v>42</v>
      </c>
      <c r="M95">
        <v>4629.8999999999996</v>
      </c>
      <c r="N95">
        <v>2777.9399999999996</v>
      </c>
      <c r="O95" s="10">
        <v>1846.95</v>
      </c>
      <c r="P95" s="10">
        <v>0.39891790319445347</v>
      </c>
      <c r="Q95" s="8">
        <v>4629.8999999999996</v>
      </c>
      <c r="R95" t="s">
        <v>45</v>
      </c>
      <c r="S95" t="s">
        <v>50</v>
      </c>
      <c r="T95" t="s">
        <v>2931</v>
      </c>
      <c r="U95">
        <v>0</v>
      </c>
      <c r="V95" t="str">
        <f>IF(CleanedTable[[#This Row],[Returned]] = 0,"NO","Yes")</f>
        <v>NO</v>
      </c>
      <c r="W95" t="s">
        <v>144</v>
      </c>
      <c r="X95" t="s">
        <v>1644</v>
      </c>
      <c r="Y95" s="10">
        <v>5.01</v>
      </c>
      <c r="Z95" s="3">
        <v>45760</v>
      </c>
      <c r="AA95" s="3">
        <v>45762</v>
      </c>
      <c r="AB95" t="s">
        <v>2922</v>
      </c>
      <c r="AC95">
        <v>2</v>
      </c>
    </row>
    <row r="96" spans="1:29" x14ac:dyDescent="0.3">
      <c r="A96" s="3">
        <v>45790</v>
      </c>
      <c r="B96" s="3" t="str">
        <f>TEXT(CleanedTable[[#This Row],[OrderDate]],"mmm")</f>
        <v>May</v>
      </c>
      <c r="C96" s="3" t="str">
        <f>TEXT(CleanedTable[[#This Row],[OrderDate]],"yyyy")</f>
        <v>2025</v>
      </c>
      <c r="D96" s="3" t="str">
        <f>TEXT(CleanedTable[[#This Row],[OrderDate]],"mmm yyyy")</f>
        <v>May 2025</v>
      </c>
      <c r="E96" t="s">
        <v>22</v>
      </c>
      <c r="F96" t="s">
        <v>24</v>
      </c>
      <c r="G96" s="12">
        <v>7</v>
      </c>
      <c r="H96" s="8">
        <v>460.24</v>
      </c>
      <c r="I96" t="s">
        <v>32</v>
      </c>
      <c r="J96" t="s">
        <v>36</v>
      </c>
      <c r="K96" s="10">
        <v>0.05</v>
      </c>
      <c r="L96" t="s">
        <v>38</v>
      </c>
      <c r="M96">
        <v>3060.596</v>
      </c>
      <c r="N96">
        <v>1933.008</v>
      </c>
      <c r="O96" s="10">
        <v>1116.048</v>
      </c>
      <c r="P96" s="10">
        <v>0.36465054518793072</v>
      </c>
      <c r="Q96" s="8">
        <v>3060.596</v>
      </c>
      <c r="R96" t="s">
        <v>47</v>
      </c>
      <c r="S96" t="s">
        <v>49</v>
      </c>
      <c r="T96" t="s">
        <v>2931</v>
      </c>
      <c r="U96">
        <v>1</v>
      </c>
      <c r="V96" t="str">
        <f>IF(CleanedTable[[#This Row],[Returned]] = 0,"NO","Yes")</f>
        <v>Yes</v>
      </c>
      <c r="W96" t="s">
        <v>145</v>
      </c>
      <c r="X96" t="s">
        <v>1645</v>
      </c>
      <c r="Y96" s="10">
        <v>11.54</v>
      </c>
      <c r="Z96" s="3">
        <v>45790</v>
      </c>
      <c r="AA96" s="3">
        <v>45800</v>
      </c>
      <c r="AB96" t="s">
        <v>2925</v>
      </c>
      <c r="AC96">
        <v>10</v>
      </c>
    </row>
    <row r="97" spans="1:29" x14ac:dyDescent="0.3">
      <c r="A97" s="3">
        <v>45403</v>
      </c>
      <c r="B97" s="3" t="str">
        <f>TEXT(CleanedTable[[#This Row],[OrderDate]],"mmm")</f>
        <v>Apr</v>
      </c>
      <c r="C97" s="3" t="str">
        <f>TEXT(CleanedTable[[#This Row],[OrderDate]],"yyyy")</f>
        <v>2024</v>
      </c>
      <c r="D97" s="3" t="str">
        <f>TEXT(CleanedTable[[#This Row],[OrderDate]],"mmm yyyy")</f>
        <v>Apr 2024</v>
      </c>
      <c r="E97" t="s">
        <v>23</v>
      </c>
      <c r="F97" t="s">
        <v>30</v>
      </c>
      <c r="G97" s="12">
        <v>17</v>
      </c>
      <c r="H97" s="8">
        <v>309.52</v>
      </c>
      <c r="I97" t="s">
        <v>31</v>
      </c>
      <c r="J97" t="s">
        <v>35</v>
      </c>
      <c r="K97" s="10">
        <v>0.05</v>
      </c>
      <c r="L97" t="s">
        <v>37</v>
      </c>
      <c r="M97">
        <v>4998.7479999999996</v>
      </c>
      <c r="N97">
        <v>3157.1039999999998</v>
      </c>
      <c r="O97" s="10">
        <v>1835.5339999999999</v>
      </c>
      <c r="P97" s="10">
        <v>0.36719874656614016</v>
      </c>
      <c r="Q97" s="8">
        <v>4998.7479999999996</v>
      </c>
      <c r="R97" t="s">
        <v>43</v>
      </c>
      <c r="S97" t="s">
        <v>48</v>
      </c>
      <c r="T97" t="s">
        <v>2931</v>
      </c>
      <c r="U97">
        <v>0</v>
      </c>
      <c r="V97" t="str">
        <f>IF(CleanedTable[[#This Row],[Returned]] = 0,"NO","Yes")</f>
        <v>NO</v>
      </c>
      <c r="W97" t="s">
        <v>146</v>
      </c>
      <c r="X97" t="s">
        <v>1646</v>
      </c>
      <c r="Y97" s="10">
        <v>6.11</v>
      </c>
      <c r="Z97" s="3">
        <v>45403</v>
      </c>
      <c r="AA97" s="3">
        <v>45409</v>
      </c>
      <c r="AB97" t="s">
        <v>2926</v>
      </c>
      <c r="AC97">
        <v>6</v>
      </c>
    </row>
    <row r="98" spans="1:29" x14ac:dyDescent="0.3">
      <c r="A98" s="3">
        <v>45688</v>
      </c>
      <c r="B98" s="3" t="str">
        <f>TEXT(CleanedTable[[#This Row],[OrderDate]],"mmm")</f>
        <v>Jan</v>
      </c>
      <c r="C98" s="3" t="str">
        <f>TEXT(CleanedTable[[#This Row],[OrderDate]],"yyyy")</f>
        <v>2025</v>
      </c>
      <c r="D98" s="3" t="str">
        <f>TEXT(CleanedTable[[#This Row],[OrderDate]],"mmm yyyy")</f>
        <v>Jan 2025</v>
      </c>
      <c r="E98" t="s">
        <v>22</v>
      </c>
      <c r="F98" t="s">
        <v>28</v>
      </c>
      <c r="G98" s="12">
        <v>1</v>
      </c>
      <c r="H98" s="8">
        <v>323.83</v>
      </c>
      <c r="I98" t="s">
        <v>31</v>
      </c>
      <c r="J98" t="s">
        <v>35</v>
      </c>
      <c r="K98" s="10">
        <v>0.05</v>
      </c>
      <c r="L98" t="s">
        <v>37</v>
      </c>
      <c r="M98">
        <v>307.63849999999996</v>
      </c>
      <c r="N98">
        <v>194.29799999999997</v>
      </c>
      <c r="O98" s="10">
        <v>85.860499999999988</v>
      </c>
      <c r="P98" s="10">
        <v>0.27909543181363838</v>
      </c>
      <c r="Q98" s="8">
        <v>307.63850000000002</v>
      </c>
      <c r="R98" t="s">
        <v>45</v>
      </c>
      <c r="S98" t="s">
        <v>50</v>
      </c>
      <c r="T98" t="s">
        <v>2931</v>
      </c>
      <c r="U98">
        <v>0</v>
      </c>
      <c r="V98" t="str">
        <f>IF(CleanedTable[[#This Row],[Returned]] = 0,"NO","Yes")</f>
        <v>NO</v>
      </c>
      <c r="W98" t="s">
        <v>147</v>
      </c>
      <c r="X98" t="s">
        <v>1647</v>
      </c>
      <c r="Y98" s="10">
        <v>27.48</v>
      </c>
      <c r="Z98" s="3">
        <v>45688</v>
      </c>
      <c r="AA98" s="3">
        <v>45696</v>
      </c>
      <c r="AB98" t="s">
        <v>2925</v>
      </c>
      <c r="AC98">
        <v>8</v>
      </c>
    </row>
    <row r="99" spans="1:29" x14ac:dyDescent="0.3">
      <c r="A99" s="3">
        <v>45730</v>
      </c>
      <c r="B99" s="3" t="str">
        <f>TEXT(CleanedTable[[#This Row],[OrderDate]],"mmm")</f>
        <v>Mar</v>
      </c>
      <c r="C99" s="3" t="str">
        <f>TEXT(CleanedTable[[#This Row],[OrderDate]],"yyyy")</f>
        <v>2025</v>
      </c>
      <c r="D99" s="3" t="str">
        <f>TEXT(CleanedTable[[#This Row],[OrderDate]],"mmm yyyy")</f>
        <v>Mar 2025</v>
      </c>
      <c r="E99" t="s">
        <v>22</v>
      </c>
      <c r="F99" t="s">
        <v>27</v>
      </c>
      <c r="G99" s="12">
        <v>10</v>
      </c>
      <c r="H99" s="8">
        <v>503.07</v>
      </c>
      <c r="I99" t="s">
        <v>33</v>
      </c>
      <c r="J99" t="s">
        <v>36</v>
      </c>
      <c r="K99" s="10">
        <v>0</v>
      </c>
      <c r="L99" t="s">
        <v>42</v>
      </c>
      <c r="M99">
        <v>5030.7</v>
      </c>
      <c r="N99">
        <v>3018.42</v>
      </c>
      <c r="O99" s="10">
        <v>1967.6699999999998</v>
      </c>
      <c r="P99" s="10">
        <v>0.39113244677679049</v>
      </c>
      <c r="Q99" s="8">
        <v>5030.7</v>
      </c>
      <c r="R99" t="s">
        <v>45</v>
      </c>
      <c r="S99" t="s">
        <v>48</v>
      </c>
      <c r="T99" t="s">
        <v>2931</v>
      </c>
      <c r="U99">
        <v>0</v>
      </c>
      <c r="V99" t="str">
        <f>IF(CleanedTable[[#This Row],[Returned]] = 0,"NO","Yes")</f>
        <v>NO</v>
      </c>
      <c r="W99" t="s">
        <v>148</v>
      </c>
      <c r="X99" t="s">
        <v>1648</v>
      </c>
      <c r="Y99" s="10">
        <v>44.61</v>
      </c>
      <c r="Z99" s="3">
        <v>45730</v>
      </c>
      <c r="AA99" s="3">
        <v>45735</v>
      </c>
      <c r="AB99" t="s">
        <v>2925</v>
      </c>
      <c r="AC99">
        <v>5</v>
      </c>
    </row>
    <row r="100" spans="1:29" x14ac:dyDescent="0.3">
      <c r="A100" s="3">
        <v>45438</v>
      </c>
      <c r="B100" s="3" t="str">
        <f>TEXT(CleanedTable[[#This Row],[OrderDate]],"mmm")</f>
        <v>May</v>
      </c>
      <c r="C100" s="3" t="str">
        <f>TEXT(CleanedTable[[#This Row],[OrderDate]],"yyyy")</f>
        <v>2024</v>
      </c>
      <c r="D100" s="3" t="str">
        <f>TEXT(CleanedTable[[#This Row],[OrderDate]],"mmm yyyy")</f>
        <v>May 2024</v>
      </c>
      <c r="E100" t="s">
        <v>23</v>
      </c>
      <c r="F100" t="s">
        <v>24</v>
      </c>
      <c r="G100" s="12">
        <v>20</v>
      </c>
      <c r="H100" s="8">
        <v>491.68</v>
      </c>
      <c r="I100" t="s">
        <v>34</v>
      </c>
      <c r="J100" t="s">
        <v>35</v>
      </c>
      <c r="K100" s="10">
        <v>0.15</v>
      </c>
      <c r="L100" t="s">
        <v>38</v>
      </c>
      <c r="M100">
        <v>8358.56</v>
      </c>
      <c r="N100">
        <v>5900.16</v>
      </c>
      <c r="O100" s="10">
        <v>2414.9399999999996</v>
      </c>
      <c r="P100" s="10">
        <v>0.28891818686472309</v>
      </c>
      <c r="Q100" s="8">
        <v>8358.56</v>
      </c>
      <c r="R100" t="s">
        <v>43</v>
      </c>
      <c r="S100" t="s">
        <v>49</v>
      </c>
      <c r="T100" t="s">
        <v>2931</v>
      </c>
      <c r="U100">
        <v>1</v>
      </c>
      <c r="V100" t="str">
        <f>IF(CleanedTable[[#This Row],[Returned]] = 0,"NO","Yes")</f>
        <v>Yes</v>
      </c>
      <c r="W100" t="s">
        <v>149</v>
      </c>
      <c r="X100" t="s">
        <v>1649</v>
      </c>
      <c r="Y100" s="10">
        <v>43.46</v>
      </c>
      <c r="Z100" s="3">
        <v>45438</v>
      </c>
      <c r="AA100" s="3">
        <v>45441</v>
      </c>
      <c r="AB100" t="s">
        <v>2926</v>
      </c>
      <c r="AC100">
        <v>3</v>
      </c>
    </row>
    <row r="101" spans="1:29" x14ac:dyDescent="0.3">
      <c r="A101" s="3">
        <v>45129</v>
      </c>
      <c r="B101" s="3" t="str">
        <f>TEXT(CleanedTable[[#This Row],[OrderDate]],"mmm")</f>
        <v>Jul</v>
      </c>
      <c r="C101" s="3" t="str">
        <f>TEXT(CleanedTable[[#This Row],[OrderDate]],"yyyy")</f>
        <v>2023</v>
      </c>
      <c r="D101" s="3" t="str">
        <f>TEXT(CleanedTable[[#This Row],[OrderDate]],"mmm yyyy")</f>
        <v>Jul 2023</v>
      </c>
      <c r="E101" t="s">
        <v>21</v>
      </c>
      <c r="F101" t="s">
        <v>25</v>
      </c>
      <c r="G101" s="12">
        <v>17</v>
      </c>
      <c r="H101" s="8">
        <v>468.45</v>
      </c>
      <c r="I101" t="s">
        <v>32</v>
      </c>
      <c r="J101" t="s">
        <v>36</v>
      </c>
      <c r="K101" s="10">
        <v>0.05</v>
      </c>
      <c r="L101" t="s">
        <v>40</v>
      </c>
      <c r="M101">
        <v>7565.4674999999997</v>
      </c>
      <c r="N101">
        <v>4778.1899999999996</v>
      </c>
      <c r="O101" s="10">
        <v>2769.3975</v>
      </c>
      <c r="P101" s="10">
        <v>0.36605768248954873</v>
      </c>
      <c r="Q101" s="8">
        <v>7565.4674999999997</v>
      </c>
      <c r="R101" t="s">
        <v>45</v>
      </c>
      <c r="S101" t="s">
        <v>48</v>
      </c>
      <c r="T101" t="s">
        <v>2931</v>
      </c>
      <c r="U101">
        <v>0</v>
      </c>
      <c r="V101" t="str">
        <f>IF(CleanedTable[[#This Row],[Returned]] = 0,"NO","Yes")</f>
        <v>NO</v>
      </c>
      <c r="W101" t="s">
        <v>150</v>
      </c>
      <c r="X101" t="s">
        <v>1650</v>
      </c>
      <c r="Y101" s="10">
        <v>17.88</v>
      </c>
      <c r="Z101" s="3">
        <v>45129</v>
      </c>
      <c r="AA101" s="3">
        <v>45133</v>
      </c>
      <c r="AB101" t="s">
        <v>2924</v>
      </c>
      <c r="AC101">
        <v>4</v>
      </c>
    </row>
    <row r="102" spans="1:29" x14ac:dyDescent="0.3">
      <c r="A102" s="3">
        <v>45372</v>
      </c>
      <c r="B102" s="3" t="str">
        <f>TEXT(CleanedTable[[#This Row],[OrderDate]],"mmm")</f>
        <v>Mar</v>
      </c>
      <c r="C102" s="3" t="str">
        <f>TEXT(CleanedTable[[#This Row],[OrderDate]],"yyyy")</f>
        <v>2024</v>
      </c>
      <c r="D102" s="3" t="str">
        <f>TEXT(CleanedTable[[#This Row],[OrderDate]],"mmm yyyy")</f>
        <v>Mar 2024</v>
      </c>
      <c r="E102" t="s">
        <v>21</v>
      </c>
      <c r="F102" t="s">
        <v>24</v>
      </c>
      <c r="G102" s="12">
        <v>11</v>
      </c>
      <c r="H102" s="8">
        <v>401.76</v>
      </c>
      <c r="I102" t="s">
        <v>34</v>
      </c>
      <c r="J102" t="s">
        <v>36</v>
      </c>
      <c r="K102" s="10">
        <v>0.15</v>
      </c>
      <c r="L102" t="s">
        <v>39</v>
      </c>
      <c r="M102">
        <v>3756.4559999999997</v>
      </c>
      <c r="N102">
        <v>2651.616</v>
      </c>
      <c r="O102" s="10">
        <v>1056.8099999999997</v>
      </c>
      <c r="P102" s="10">
        <v>0.28133165941515081</v>
      </c>
      <c r="Q102" s="8">
        <v>3756.4560000000001</v>
      </c>
      <c r="R102" t="s">
        <v>44</v>
      </c>
      <c r="S102" t="s">
        <v>49</v>
      </c>
      <c r="T102" t="s">
        <v>2931</v>
      </c>
      <c r="U102">
        <v>0</v>
      </c>
      <c r="V102" t="str">
        <f>IF(CleanedTable[[#This Row],[Returned]] = 0,"NO","Yes")</f>
        <v>NO</v>
      </c>
      <c r="W102" t="s">
        <v>151</v>
      </c>
      <c r="X102" t="s">
        <v>1651</v>
      </c>
      <c r="Y102" s="10">
        <v>48.03</v>
      </c>
      <c r="Z102" s="3">
        <v>45372</v>
      </c>
      <c r="AA102" s="3">
        <v>45381</v>
      </c>
      <c r="AB102" t="s">
        <v>2924</v>
      </c>
      <c r="AC102">
        <v>9</v>
      </c>
    </row>
    <row r="103" spans="1:29" x14ac:dyDescent="0.3">
      <c r="A103" s="3">
        <v>45021</v>
      </c>
      <c r="B103" s="3" t="str">
        <f>TEXT(CleanedTable[[#This Row],[OrderDate]],"mmm")</f>
        <v>Apr</v>
      </c>
      <c r="C103" s="3" t="str">
        <f>TEXT(CleanedTable[[#This Row],[OrderDate]],"yyyy")</f>
        <v>2023</v>
      </c>
      <c r="D103" s="3" t="str">
        <f>TEXT(CleanedTable[[#This Row],[OrderDate]],"mmm yyyy")</f>
        <v>Apr 2023</v>
      </c>
      <c r="E103" t="s">
        <v>23</v>
      </c>
      <c r="F103" t="s">
        <v>30</v>
      </c>
      <c r="G103" s="12">
        <v>3</v>
      </c>
      <c r="H103" s="8">
        <v>221</v>
      </c>
      <c r="I103" t="s">
        <v>31</v>
      </c>
      <c r="J103" t="s">
        <v>35</v>
      </c>
      <c r="K103" s="10">
        <v>0</v>
      </c>
      <c r="L103" t="s">
        <v>39</v>
      </c>
      <c r="M103">
        <v>663</v>
      </c>
      <c r="N103">
        <v>397.79999999999995</v>
      </c>
      <c r="O103" s="10">
        <v>232.89000000000004</v>
      </c>
      <c r="P103" s="10">
        <v>0.35126696832579191</v>
      </c>
      <c r="Q103" s="8">
        <v>663</v>
      </c>
      <c r="R103" t="s">
        <v>47</v>
      </c>
      <c r="S103" t="s">
        <v>48</v>
      </c>
      <c r="T103" t="s">
        <v>2931</v>
      </c>
      <c r="U103">
        <v>0</v>
      </c>
      <c r="V103" t="str">
        <f>IF(CleanedTable[[#This Row],[Returned]] = 0,"NO","Yes")</f>
        <v>NO</v>
      </c>
      <c r="W103" t="s">
        <v>152</v>
      </c>
      <c r="X103" t="s">
        <v>1652</v>
      </c>
      <c r="Y103" s="10">
        <v>32.31</v>
      </c>
      <c r="Z103" s="3">
        <v>45021</v>
      </c>
      <c r="AA103" s="3">
        <v>45024</v>
      </c>
      <c r="AB103" t="s">
        <v>2926</v>
      </c>
      <c r="AC103">
        <v>3</v>
      </c>
    </row>
    <row r="104" spans="1:29" x14ac:dyDescent="0.3">
      <c r="A104" s="3">
        <v>45530</v>
      </c>
      <c r="B104" s="3" t="str">
        <f>TEXT(CleanedTable[[#This Row],[OrderDate]],"mmm")</f>
        <v>Aug</v>
      </c>
      <c r="C104" s="3" t="str">
        <f>TEXT(CleanedTable[[#This Row],[OrderDate]],"yyyy")</f>
        <v>2024</v>
      </c>
      <c r="D104" s="3" t="str">
        <f>TEXT(CleanedTable[[#This Row],[OrderDate]],"mmm yyyy")</f>
        <v>Aug 2024</v>
      </c>
      <c r="E104" t="s">
        <v>19</v>
      </c>
      <c r="F104" t="s">
        <v>28</v>
      </c>
      <c r="G104" s="12">
        <v>6</v>
      </c>
      <c r="H104" s="8">
        <v>188.45</v>
      </c>
      <c r="I104" t="s">
        <v>33</v>
      </c>
      <c r="J104" t="s">
        <v>35</v>
      </c>
      <c r="K104" s="10">
        <v>0.05</v>
      </c>
      <c r="L104" t="s">
        <v>38</v>
      </c>
      <c r="M104">
        <v>1074.1649999999997</v>
      </c>
      <c r="N104">
        <v>678.42</v>
      </c>
      <c r="O104" s="10">
        <v>388.9749999999998</v>
      </c>
      <c r="P104" s="10">
        <v>0.36211848272844477</v>
      </c>
      <c r="Q104" s="8">
        <v>1074.165</v>
      </c>
      <c r="R104" t="s">
        <v>44</v>
      </c>
      <c r="T104" t="s">
        <v>2932</v>
      </c>
      <c r="U104">
        <v>0</v>
      </c>
      <c r="V104" t="str">
        <f>IF(CleanedTable[[#This Row],[Returned]] = 0,"NO","Yes")</f>
        <v>NO</v>
      </c>
      <c r="W104" t="s">
        <v>153</v>
      </c>
      <c r="X104" t="s">
        <v>1653</v>
      </c>
      <c r="Y104" s="10">
        <v>6.77</v>
      </c>
      <c r="Z104" s="3">
        <v>45530</v>
      </c>
      <c r="AA104" s="3">
        <v>45536</v>
      </c>
      <c r="AB104" t="s">
        <v>2922</v>
      </c>
      <c r="AC104">
        <v>6</v>
      </c>
    </row>
    <row r="105" spans="1:29" x14ac:dyDescent="0.3">
      <c r="A105" s="3">
        <v>45480</v>
      </c>
      <c r="B105" s="3" t="str">
        <f>TEXT(CleanedTable[[#This Row],[OrderDate]],"mmm")</f>
        <v>Jul</v>
      </c>
      <c r="C105" s="3" t="str">
        <f>TEXT(CleanedTable[[#This Row],[OrderDate]],"yyyy")</f>
        <v>2024</v>
      </c>
      <c r="D105" s="3" t="str">
        <f>TEXT(CleanedTable[[#This Row],[OrderDate]],"mmm yyyy")</f>
        <v>Jul 2024</v>
      </c>
      <c r="E105" t="s">
        <v>21</v>
      </c>
      <c r="F105" t="s">
        <v>26</v>
      </c>
      <c r="G105" s="12">
        <v>3</v>
      </c>
      <c r="H105" s="8">
        <v>566.20000000000005</v>
      </c>
      <c r="I105" t="s">
        <v>34</v>
      </c>
      <c r="J105" t="s">
        <v>36</v>
      </c>
      <c r="K105" s="10">
        <v>0</v>
      </c>
      <c r="L105" t="s">
        <v>42</v>
      </c>
      <c r="M105">
        <v>1698.6000000000001</v>
      </c>
      <c r="N105">
        <v>1019.1600000000001</v>
      </c>
      <c r="O105" s="10">
        <v>650.47</v>
      </c>
      <c r="P105" s="10">
        <v>0.38294477805251381</v>
      </c>
      <c r="Q105" s="8">
        <v>1698.6</v>
      </c>
      <c r="R105" t="s">
        <v>44</v>
      </c>
      <c r="S105" t="s">
        <v>48</v>
      </c>
      <c r="T105" t="s">
        <v>2931</v>
      </c>
      <c r="U105">
        <v>1</v>
      </c>
      <c r="V105" t="str">
        <f>IF(CleanedTable[[#This Row],[Returned]] = 0,"NO","Yes")</f>
        <v>Yes</v>
      </c>
      <c r="W105" t="s">
        <v>154</v>
      </c>
      <c r="X105" t="s">
        <v>1654</v>
      </c>
      <c r="Y105" s="10">
        <v>28.97</v>
      </c>
      <c r="Z105" s="3">
        <v>45480</v>
      </c>
      <c r="AA105" s="3">
        <v>45490</v>
      </c>
      <c r="AB105" t="s">
        <v>2924</v>
      </c>
      <c r="AC105">
        <v>10</v>
      </c>
    </row>
    <row r="106" spans="1:29" x14ac:dyDescent="0.3">
      <c r="A106" s="3">
        <v>45198</v>
      </c>
      <c r="B106" s="3" t="str">
        <f>TEXT(CleanedTable[[#This Row],[OrderDate]],"mmm")</f>
        <v>Sep</v>
      </c>
      <c r="C106" s="3" t="str">
        <f>TEXT(CleanedTable[[#This Row],[OrderDate]],"yyyy")</f>
        <v>2023</v>
      </c>
      <c r="D106" s="3" t="str">
        <f>TEXT(CleanedTable[[#This Row],[OrderDate]],"mmm yyyy")</f>
        <v>Sep 2023</v>
      </c>
      <c r="E106" t="s">
        <v>19</v>
      </c>
      <c r="F106" t="s">
        <v>28</v>
      </c>
      <c r="G106" s="12">
        <v>14</v>
      </c>
      <c r="H106" s="8">
        <v>167.09</v>
      </c>
      <c r="I106" t="s">
        <v>34</v>
      </c>
      <c r="J106" t="s">
        <v>36</v>
      </c>
      <c r="K106" s="10">
        <v>0.05</v>
      </c>
      <c r="L106" t="s">
        <v>38</v>
      </c>
      <c r="M106">
        <v>2222.297</v>
      </c>
      <c r="N106">
        <v>1403.556</v>
      </c>
      <c r="O106" s="10">
        <v>771.69100000000003</v>
      </c>
      <c r="P106" s="10">
        <v>0.34724926506223064</v>
      </c>
      <c r="Q106" s="8">
        <v>2222.297</v>
      </c>
      <c r="R106" t="s">
        <v>44</v>
      </c>
      <c r="S106" t="s">
        <v>49</v>
      </c>
      <c r="T106" t="s">
        <v>2931</v>
      </c>
      <c r="U106">
        <v>1</v>
      </c>
      <c r="V106" t="str">
        <f>IF(CleanedTable[[#This Row],[Returned]] = 0,"NO","Yes")</f>
        <v>Yes</v>
      </c>
      <c r="W106" t="s">
        <v>155</v>
      </c>
      <c r="X106" t="s">
        <v>1655</v>
      </c>
      <c r="Y106" s="10">
        <v>47.05</v>
      </c>
      <c r="Z106" s="3">
        <v>45198</v>
      </c>
      <c r="AA106" s="3">
        <v>45207</v>
      </c>
      <c r="AB106" t="s">
        <v>2922</v>
      </c>
      <c r="AC106">
        <v>9</v>
      </c>
    </row>
    <row r="107" spans="1:29" x14ac:dyDescent="0.3">
      <c r="A107" s="3">
        <v>45203</v>
      </c>
      <c r="B107" s="3" t="str">
        <f>TEXT(CleanedTable[[#This Row],[OrderDate]],"mmm")</f>
        <v>Oct</v>
      </c>
      <c r="C107" s="3" t="str">
        <f>TEXT(CleanedTable[[#This Row],[OrderDate]],"yyyy")</f>
        <v>2023</v>
      </c>
      <c r="D107" s="3" t="str">
        <f>TEXT(CleanedTable[[#This Row],[OrderDate]],"mmm yyyy")</f>
        <v>Oct 2023</v>
      </c>
      <c r="E107" t="s">
        <v>23</v>
      </c>
      <c r="F107" t="s">
        <v>28</v>
      </c>
      <c r="G107" s="12">
        <v>16</v>
      </c>
      <c r="H107" s="8">
        <v>36.159999999999997</v>
      </c>
      <c r="I107" t="s">
        <v>33</v>
      </c>
      <c r="J107" t="s">
        <v>35</v>
      </c>
      <c r="K107" s="10">
        <v>0.1</v>
      </c>
      <c r="L107" t="s">
        <v>40</v>
      </c>
      <c r="M107">
        <v>520.70399999999995</v>
      </c>
      <c r="N107">
        <v>347.13599999999997</v>
      </c>
      <c r="O107" s="10">
        <v>146.928</v>
      </c>
      <c r="P107" s="10">
        <v>0.28217182890855458</v>
      </c>
      <c r="Q107" s="8">
        <v>520.70399999999995</v>
      </c>
      <c r="R107" t="s">
        <v>46</v>
      </c>
      <c r="S107" t="s">
        <v>48</v>
      </c>
      <c r="T107" t="s">
        <v>2931</v>
      </c>
      <c r="U107">
        <v>0</v>
      </c>
      <c r="V107" t="str">
        <f>IF(CleanedTable[[#This Row],[Returned]] = 0,"NO","Yes")</f>
        <v>NO</v>
      </c>
      <c r="W107" t="s">
        <v>156</v>
      </c>
      <c r="X107" t="s">
        <v>1656</v>
      </c>
      <c r="Y107" s="10">
        <v>26.64</v>
      </c>
      <c r="Z107" s="3">
        <v>45203</v>
      </c>
      <c r="AA107" s="3">
        <v>45210</v>
      </c>
      <c r="AB107" t="s">
        <v>2926</v>
      </c>
      <c r="AC107">
        <v>7</v>
      </c>
    </row>
    <row r="108" spans="1:29" x14ac:dyDescent="0.3">
      <c r="A108" s="3">
        <v>45817</v>
      </c>
      <c r="B108" s="3" t="str">
        <f>TEXT(CleanedTable[[#This Row],[OrderDate]],"mmm")</f>
        <v>Jun</v>
      </c>
      <c r="C108" s="3" t="str">
        <f>TEXT(CleanedTable[[#This Row],[OrderDate]],"yyyy")</f>
        <v>2025</v>
      </c>
      <c r="D108" s="3" t="str">
        <f>TEXT(CleanedTable[[#This Row],[OrderDate]],"mmm yyyy")</f>
        <v>Jun 2025</v>
      </c>
      <c r="E108" t="s">
        <v>22</v>
      </c>
      <c r="F108" t="s">
        <v>30</v>
      </c>
      <c r="G108" s="12">
        <v>2</v>
      </c>
      <c r="H108" s="8">
        <v>73.94</v>
      </c>
      <c r="I108" t="s">
        <v>31</v>
      </c>
      <c r="J108" t="s">
        <v>35</v>
      </c>
      <c r="K108" s="10">
        <v>0.05</v>
      </c>
      <c r="L108" t="s">
        <v>40</v>
      </c>
      <c r="M108">
        <v>140.48599999999999</v>
      </c>
      <c r="N108">
        <v>88.727999999999994</v>
      </c>
      <c r="O108" s="10">
        <v>23.707999999999995</v>
      </c>
      <c r="P108" s="10">
        <v>0.16875702917016638</v>
      </c>
      <c r="Q108" s="8">
        <v>140.48599999999999</v>
      </c>
      <c r="R108" t="s">
        <v>46</v>
      </c>
      <c r="S108" t="s">
        <v>49</v>
      </c>
      <c r="T108" t="s">
        <v>2931</v>
      </c>
      <c r="U108">
        <v>0</v>
      </c>
      <c r="V108" t="str">
        <f>IF(CleanedTable[[#This Row],[Returned]] = 0,"NO","Yes")</f>
        <v>NO</v>
      </c>
      <c r="W108" t="s">
        <v>157</v>
      </c>
      <c r="X108" t="s">
        <v>1657</v>
      </c>
      <c r="Y108" s="10">
        <v>28.05</v>
      </c>
      <c r="Z108" s="3">
        <v>45817</v>
      </c>
      <c r="AA108" s="3">
        <v>45824</v>
      </c>
      <c r="AB108" t="s">
        <v>2925</v>
      </c>
      <c r="AC108">
        <v>7</v>
      </c>
    </row>
    <row r="109" spans="1:29" x14ac:dyDescent="0.3">
      <c r="A109" s="3">
        <v>45820</v>
      </c>
      <c r="B109" s="3" t="str">
        <f>TEXT(CleanedTable[[#This Row],[OrderDate]],"mmm")</f>
        <v>Jun</v>
      </c>
      <c r="C109" s="3" t="str">
        <f>TEXT(CleanedTable[[#This Row],[OrderDate]],"yyyy")</f>
        <v>2025</v>
      </c>
      <c r="D109" s="3" t="str">
        <f>TEXT(CleanedTable[[#This Row],[OrderDate]],"mmm yyyy")</f>
        <v>Jun 2025</v>
      </c>
      <c r="E109" t="s">
        <v>19</v>
      </c>
      <c r="F109" t="s">
        <v>30</v>
      </c>
      <c r="G109" s="12">
        <v>16</v>
      </c>
      <c r="H109" s="8">
        <v>459.49</v>
      </c>
      <c r="I109" t="s">
        <v>32</v>
      </c>
      <c r="J109" t="s">
        <v>35</v>
      </c>
      <c r="K109" s="10">
        <v>0.1</v>
      </c>
      <c r="L109" t="s">
        <v>37</v>
      </c>
      <c r="M109">
        <v>6616.6559999999999</v>
      </c>
      <c r="N109">
        <v>4411.1040000000003</v>
      </c>
      <c r="O109" s="10">
        <v>2178.5619999999999</v>
      </c>
      <c r="P109" s="10">
        <v>0.32925423355846217</v>
      </c>
      <c r="Q109" s="8">
        <v>6616.6559999999999</v>
      </c>
      <c r="R109" t="s">
        <v>43</v>
      </c>
      <c r="S109" t="s">
        <v>49</v>
      </c>
      <c r="T109" t="s">
        <v>2931</v>
      </c>
      <c r="U109">
        <v>0</v>
      </c>
      <c r="V109" t="str">
        <f>IF(CleanedTable[[#This Row],[Returned]] = 0,"NO","Yes")</f>
        <v>NO</v>
      </c>
      <c r="W109" t="s">
        <v>158</v>
      </c>
      <c r="X109" t="s">
        <v>1658</v>
      </c>
      <c r="Y109" s="10">
        <v>26.99</v>
      </c>
      <c r="Z109" s="3">
        <v>45820</v>
      </c>
      <c r="AA109" s="3">
        <v>45822</v>
      </c>
      <c r="AB109" t="s">
        <v>2922</v>
      </c>
      <c r="AC109">
        <v>2</v>
      </c>
    </row>
    <row r="110" spans="1:29" x14ac:dyDescent="0.3">
      <c r="A110" s="3">
        <v>45472</v>
      </c>
      <c r="B110" s="3" t="str">
        <f>TEXT(CleanedTable[[#This Row],[OrderDate]],"mmm")</f>
        <v>Jun</v>
      </c>
      <c r="C110" s="3" t="str">
        <f>TEXT(CleanedTable[[#This Row],[OrderDate]],"yyyy")</f>
        <v>2024</v>
      </c>
      <c r="D110" s="3" t="str">
        <f>TEXT(CleanedTable[[#This Row],[OrderDate]],"mmm yyyy")</f>
        <v>Jun 2024</v>
      </c>
      <c r="E110" t="s">
        <v>19</v>
      </c>
      <c r="F110" t="s">
        <v>27</v>
      </c>
      <c r="G110" s="12">
        <v>3</v>
      </c>
      <c r="H110" s="8">
        <v>168.05</v>
      </c>
      <c r="I110" t="s">
        <v>32</v>
      </c>
      <c r="J110" t="s">
        <v>36</v>
      </c>
      <c r="K110" s="10">
        <v>0</v>
      </c>
      <c r="L110" t="s">
        <v>40</v>
      </c>
      <c r="M110">
        <v>504.15000000000003</v>
      </c>
      <c r="N110">
        <v>302.49</v>
      </c>
      <c r="O110" s="10">
        <v>180.58000000000004</v>
      </c>
      <c r="P110" s="10">
        <v>0.35818704750570274</v>
      </c>
      <c r="Q110" s="8">
        <v>504.15</v>
      </c>
      <c r="R110" t="s">
        <v>47</v>
      </c>
      <c r="T110" t="s">
        <v>2932</v>
      </c>
      <c r="U110">
        <v>1</v>
      </c>
      <c r="V110" t="str">
        <f>IF(CleanedTable[[#This Row],[Returned]] = 0,"NO","Yes")</f>
        <v>Yes</v>
      </c>
      <c r="W110" t="s">
        <v>159</v>
      </c>
      <c r="X110" t="s">
        <v>1659</v>
      </c>
      <c r="Y110" s="10">
        <v>21.08</v>
      </c>
      <c r="Z110" s="3">
        <v>45472</v>
      </c>
      <c r="AA110" s="3">
        <v>45479</v>
      </c>
      <c r="AB110" t="s">
        <v>2922</v>
      </c>
      <c r="AC110">
        <v>7</v>
      </c>
    </row>
    <row r="111" spans="1:29" x14ac:dyDescent="0.3">
      <c r="A111" s="3">
        <v>45374</v>
      </c>
      <c r="B111" s="3" t="str">
        <f>TEXT(CleanedTable[[#This Row],[OrderDate]],"mmm")</f>
        <v>Mar</v>
      </c>
      <c r="C111" s="3" t="str">
        <f>TEXT(CleanedTable[[#This Row],[OrderDate]],"yyyy")</f>
        <v>2024</v>
      </c>
      <c r="D111" s="3" t="str">
        <f>TEXT(CleanedTable[[#This Row],[OrderDate]],"mmm yyyy")</f>
        <v>Mar 2024</v>
      </c>
      <c r="E111" t="s">
        <v>21</v>
      </c>
      <c r="F111" t="s">
        <v>30</v>
      </c>
      <c r="G111" s="12">
        <v>14</v>
      </c>
      <c r="H111" s="8">
        <v>37.54</v>
      </c>
      <c r="I111" t="s">
        <v>31</v>
      </c>
      <c r="J111" t="s">
        <v>36</v>
      </c>
      <c r="K111" s="10">
        <v>0.15</v>
      </c>
      <c r="L111" t="s">
        <v>38</v>
      </c>
      <c r="M111">
        <v>446.72599999999994</v>
      </c>
      <c r="N111">
        <v>315.33599999999996</v>
      </c>
      <c r="O111" s="10">
        <v>81.789999999999992</v>
      </c>
      <c r="P111" s="10">
        <v>0.18308761970424825</v>
      </c>
      <c r="Q111" s="8">
        <v>446.72599999999989</v>
      </c>
      <c r="R111" t="s">
        <v>45</v>
      </c>
      <c r="T111" t="s">
        <v>2932</v>
      </c>
      <c r="U111">
        <v>1</v>
      </c>
      <c r="V111" t="str">
        <f>IF(CleanedTable[[#This Row],[Returned]] = 0,"NO","Yes")</f>
        <v>Yes</v>
      </c>
      <c r="W111" t="s">
        <v>160</v>
      </c>
      <c r="X111" t="s">
        <v>1660</v>
      </c>
      <c r="Y111" s="10">
        <v>49.6</v>
      </c>
      <c r="Z111" s="3">
        <v>45374</v>
      </c>
      <c r="AA111" s="3">
        <v>45384</v>
      </c>
      <c r="AB111" t="s">
        <v>2924</v>
      </c>
      <c r="AC111">
        <v>10</v>
      </c>
    </row>
    <row r="112" spans="1:29" x14ac:dyDescent="0.3">
      <c r="A112" s="3">
        <v>45487</v>
      </c>
      <c r="B112" s="3" t="str">
        <f>TEXT(CleanedTable[[#This Row],[OrderDate]],"mmm")</f>
        <v>Jul</v>
      </c>
      <c r="C112" s="3" t="str">
        <f>TEXT(CleanedTable[[#This Row],[OrderDate]],"yyyy")</f>
        <v>2024</v>
      </c>
      <c r="D112" s="3" t="str">
        <f>TEXT(CleanedTable[[#This Row],[OrderDate]],"mmm yyyy")</f>
        <v>Jul 2024</v>
      </c>
      <c r="E112" t="s">
        <v>20</v>
      </c>
      <c r="F112" t="s">
        <v>29</v>
      </c>
      <c r="G112" s="12">
        <v>4</v>
      </c>
      <c r="H112" s="8">
        <v>151.16</v>
      </c>
      <c r="I112" t="s">
        <v>31</v>
      </c>
      <c r="J112" t="s">
        <v>35</v>
      </c>
      <c r="K112" s="10">
        <v>0</v>
      </c>
      <c r="L112" t="s">
        <v>38</v>
      </c>
      <c r="M112">
        <v>604.64</v>
      </c>
      <c r="N112">
        <v>362.78399999999999</v>
      </c>
      <c r="O112" s="10">
        <v>200.45599999999999</v>
      </c>
      <c r="P112" s="10">
        <v>0.33152950516009527</v>
      </c>
      <c r="Q112" s="8">
        <v>604.64</v>
      </c>
      <c r="R112" t="s">
        <v>44</v>
      </c>
      <c r="S112" t="s">
        <v>49</v>
      </c>
      <c r="T112" t="s">
        <v>2931</v>
      </c>
      <c r="U112">
        <v>1</v>
      </c>
      <c r="V112" t="str">
        <f>IF(CleanedTable[[#This Row],[Returned]] = 0,"NO","Yes")</f>
        <v>Yes</v>
      </c>
      <c r="W112" t="s">
        <v>161</v>
      </c>
      <c r="X112" t="s">
        <v>1661</v>
      </c>
      <c r="Y112" s="10">
        <v>41.4</v>
      </c>
      <c r="Z112" s="3">
        <v>45487</v>
      </c>
      <c r="AA112" s="3">
        <v>45494</v>
      </c>
      <c r="AB112" t="s">
        <v>2923</v>
      </c>
      <c r="AC112">
        <v>7</v>
      </c>
    </row>
    <row r="113" spans="1:29" x14ac:dyDescent="0.3">
      <c r="A113" s="3">
        <v>45366</v>
      </c>
      <c r="B113" s="3" t="str">
        <f>TEXT(CleanedTable[[#This Row],[OrderDate]],"mmm")</f>
        <v>Mar</v>
      </c>
      <c r="C113" s="3" t="str">
        <f>TEXT(CleanedTable[[#This Row],[OrderDate]],"yyyy")</f>
        <v>2024</v>
      </c>
      <c r="D113" s="3" t="str">
        <f>TEXT(CleanedTable[[#This Row],[OrderDate]],"mmm yyyy")</f>
        <v>Mar 2024</v>
      </c>
      <c r="E113" t="s">
        <v>20</v>
      </c>
      <c r="F113" t="s">
        <v>29</v>
      </c>
      <c r="G113" s="12">
        <v>17</v>
      </c>
      <c r="H113" s="8">
        <v>78.58</v>
      </c>
      <c r="I113" t="s">
        <v>32</v>
      </c>
      <c r="J113" t="s">
        <v>35</v>
      </c>
      <c r="K113" s="10">
        <v>0.1</v>
      </c>
      <c r="L113" t="s">
        <v>42</v>
      </c>
      <c r="M113">
        <v>1202.2739999999999</v>
      </c>
      <c r="N113">
        <v>801.51599999999996</v>
      </c>
      <c r="O113" s="10">
        <v>392.73799999999994</v>
      </c>
      <c r="P113" s="10">
        <v>0.32666264096204356</v>
      </c>
      <c r="Q113" s="8">
        <v>1202.2739999999999</v>
      </c>
      <c r="R113" t="s">
        <v>44</v>
      </c>
      <c r="S113" t="s">
        <v>50</v>
      </c>
      <c r="T113" t="s">
        <v>2931</v>
      </c>
      <c r="U113">
        <v>0</v>
      </c>
      <c r="V113" t="str">
        <f>IF(CleanedTable[[#This Row],[Returned]] = 0,"NO","Yes")</f>
        <v>NO</v>
      </c>
      <c r="W113" t="s">
        <v>162</v>
      </c>
      <c r="X113" t="s">
        <v>1662</v>
      </c>
      <c r="Y113" s="10">
        <v>8.02</v>
      </c>
      <c r="Z113" s="3">
        <v>45366</v>
      </c>
      <c r="AA113" s="3">
        <v>45376</v>
      </c>
      <c r="AB113" t="s">
        <v>2923</v>
      </c>
      <c r="AC113">
        <v>10</v>
      </c>
    </row>
    <row r="114" spans="1:29" x14ac:dyDescent="0.3">
      <c r="A114" s="3">
        <v>45766</v>
      </c>
      <c r="B114" s="3" t="str">
        <f>TEXT(CleanedTable[[#This Row],[OrderDate]],"mmm")</f>
        <v>Apr</v>
      </c>
      <c r="C114" s="3" t="str">
        <f>TEXT(CleanedTable[[#This Row],[OrderDate]],"yyyy")</f>
        <v>2025</v>
      </c>
      <c r="D114" s="3" t="str">
        <f>TEXT(CleanedTable[[#This Row],[OrderDate]],"mmm yyyy")</f>
        <v>Apr 2025</v>
      </c>
      <c r="E114" t="s">
        <v>22</v>
      </c>
      <c r="F114" t="s">
        <v>27</v>
      </c>
      <c r="G114" s="12">
        <v>15</v>
      </c>
      <c r="H114" s="8">
        <v>37.33</v>
      </c>
      <c r="I114" t="s">
        <v>31</v>
      </c>
      <c r="J114" t="s">
        <v>36</v>
      </c>
      <c r="K114" s="10">
        <v>0.05</v>
      </c>
      <c r="L114" t="s">
        <v>40</v>
      </c>
      <c r="M114">
        <v>531.95249999999987</v>
      </c>
      <c r="N114">
        <v>335.96999999999997</v>
      </c>
      <c r="O114" s="10">
        <v>152.2924999999999</v>
      </c>
      <c r="P114" s="10">
        <v>0.28628965932108591</v>
      </c>
      <c r="Q114" s="8">
        <v>531.95249999999987</v>
      </c>
      <c r="R114" t="s">
        <v>47</v>
      </c>
      <c r="T114" t="s">
        <v>2932</v>
      </c>
      <c r="U114">
        <v>1</v>
      </c>
      <c r="V114" t="str">
        <f>IF(CleanedTable[[#This Row],[Returned]] = 0,"NO","Yes")</f>
        <v>Yes</v>
      </c>
      <c r="W114" t="s">
        <v>163</v>
      </c>
      <c r="X114" t="s">
        <v>1663</v>
      </c>
      <c r="Y114" s="10">
        <v>43.69</v>
      </c>
      <c r="Z114" s="3">
        <v>45766</v>
      </c>
      <c r="AA114" s="3">
        <v>45771</v>
      </c>
      <c r="AB114" t="s">
        <v>2925</v>
      </c>
      <c r="AC114">
        <v>5</v>
      </c>
    </row>
    <row r="115" spans="1:29" x14ac:dyDescent="0.3">
      <c r="A115" s="3">
        <v>45337</v>
      </c>
      <c r="B115" s="3" t="str">
        <f>TEXT(CleanedTable[[#This Row],[OrderDate]],"mmm")</f>
        <v>Feb</v>
      </c>
      <c r="C115" s="3" t="str">
        <f>TEXT(CleanedTable[[#This Row],[OrderDate]],"yyyy")</f>
        <v>2024</v>
      </c>
      <c r="D115" s="3" t="str">
        <f>TEXT(CleanedTable[[#This Row],[OrderDate]],"mmm yyyy")</f>
        <v>Feb 2024</v>
      </c>
      <c r="E115" t="s">
        <v>23</v>
      </c>
      <c r="F115" t="s">
        <v>29</v>
      </c>
      <c r="G115" s="12">
        <v>18</v>
      </c>
      <c r="H115" s="8">
        <v>537.02</v>
      </c>
      <c r="I115" t="s">
        <v>32</v>
      </c>
      <c r="J115" t="s">
        <v>35</v>
      </c>
      <c r="K115" s="10">
        <v>0.15</v>
      </c>
      <c r="L115" t="s">
        <v>40</v>
      </c>
      <c r="M115">
        <v>8216.4060000000009</v>
      </c>
      <c r="N115">
        <v>5799.8159999999998</v>
      </c>
      <c r="O115" s="10">
        <v>2392.650000000001</v>
      </c>
      <c r="P115" s="10">
        <v>0.29120396436106016</v>
      </c>
      <c r="Q115" s="8">
        <v>8216.4060000000009</v>
      </c>
      <c r="R115" t="s">
        <v>46</v>
      </c>
      <c r="S115" t="s">
        <v>49</v>
      </c>
      <c r="T115" t="s">
        <v>2931</v>
      </c>
      <c r="U115">
        <v>0</v>
      </c>
      <c r="V115" t="str">
        <f>IF(CleanedTable[[#This Row],[Returned]] = 0,"NO","Yes")</f>
        <v>NO</v>
      </c>
      <c r="W115" t="s">
        <v>164</v>
      </c>
      <c r="X115" t="s">
        <v>1664</v>
      </c>
      <c r="Y115" s="10">
        <v>23.94</v>
      </c>
      <c r="Z115" s="3">
        <v>45337</v>
      </c>
      <c r="AA115" s="3">
        <v>45342</v>
      </c>
      <c r="AB115" t="s">
        <v>2926</v>
      </c>
      <c r="AC115">
        <v>5</v>
      </c>
    </row>
    <row r="116" spans="1:29" x14ac:dyDescent="0.3">
      <c r="A116" s="3">
        <v>45316</v>
      </c>
      <c r="B116" s="3" t="str">
        <f>TEXT(CleanedTable[[#This Row],[OrderDate]],"mmm")</f>
        <v>Jan</v>
      </c>
      <c r="C116" s="3" t="str">
        <f>TEXT(CleanedTable[[#This Row],[OrderDate]],"yyyy")</f>
        <v>2024</v>
      </c>
      <c r="D116" s="3" t="str">
        <f>TEXT(CleanedTable[[#This Row],[OrderDate]],"mmm yyyy")</f>
        <v>Jan 2024</v>
      </c>
      <c r="E116" t="s">
        <v>19</v>
      </c>
      <c r="F116" t="s">
        <v>26</v>
      </c>
      <c r="G116" s="12">
        <v>5</v>
      </c>
      <c r="H116" s="8">
        <v>215.6</v>
      </c>
      <c r="I116" t="s">
        <v>33</v>
      </c>
      <c r="J116" t="s">
        <v>35</v>
      </c>
      <c r="K116" s="10">
        <v>0</v>
      </c>
      <c r="L116" t="s">
        <v>39</v>
      </c>
      <c r="M116">
        <v>1078</v>
      </c>
      <c r="N116">
        <v>646.79999999999995</v>
      </c>
      <c r="O116" s="10">
        <v>402.84000000000003</v>
      </c>
      <c r="P116" s="10">
        <v>0.37369202226345088</v>
      </c>
      <c r="Q116" s="8">
        <v>1078</v>
      </c>
      <c r="R116" t="s">
        <v>43</v>
      </c>
      <c r="S116" t="s">
        <v>50</v>
      </c>
      <c r="T116" t="s">
        <v>2931</v>
      </c>
      <c r="U116">
        <v>0</v>
      </c>
      <c r="V116" t="str">
        <f>IF(CleanedTable[[#This Row],[Returned]] = 0,"NO","Yes")</f>
        <v>NO</v>
      </c>
      <c r="W116" t="s">
        <v>165</v>
      </c>
      <c r="X116" t="s">
        <v>1665</v>
      </c>
      <c r="Y116" s="10">
        <v>28.36</v>
      </c>
      <c r="Z116" s="3">
        <v>45316</v>
      </c>
      <c r="AA116" s="3">
        <v>45326</v>
      </c>
      <c r="AB116" t="s">
        <v>2922</v>
      </c>
      <c r="AC116">
        <v>10</v>
      </c>
    </row>
    <row r="117" spans="1:29" x14ac:dyDescent="0.3">
      <c r="A117" s="3">
        <v>45762</v>
      </c>
      <c r="B117" s="3" t="str">
        <f>TEXT(CleanedTable[[#This Row],[OrderDate]],"mmm")</f>
        <v>Apr</v>
      </c>
      <c r="C117" s="3" t="str">
        <f>TEXT(CleanedTable[[#This Row],[OrderDate]],"yyyy")</f>
        <v>2025</v>
      </c>
      <c r="D117" s="3" t="str">
        <f>TEXT(CleanedTable[[#This Row],[OrderDate]],"mmm yyyy")</f>
        <v>Apr 2025</v>
      </c>
      <c r="E117" t="s">
        <v>22</v>
      </c>
      <c r="F117" t="s">
        <v>24</v>
      </c>
      <c r="G117" s="12">
        <v>18</v>
      </c>
      <c r="H117" s="8">
        <v>209.5</v>
      </c>
      <c r="I117" t="s">
        <v>34</v>
      </c>
      <c r="J117" t="s">
        <v>35</v>
      </c>
      <c r="K117" s="10">
        <v>0</v>
      </c>
      <c r="L117" t="s">
        <v>40</v>
      </c>
      <c r="M117">
        <v>3771</v>
      </c>
      <c r="N117">
        <v>2262.6</v>
      </c>
      <c r="O117" s="10">
        <v>1470.17</v>
      </c>
      <c r="P117" s="10">
        <v>0.3898621055422965</v>
      </c>
      <c r="Q117" s="8">
        <v>3771</v>
      </c>
      <c r="R117" t="s">
        <v>45</v>
      </c>
      <c r="S117" t="s">
        <v>48</v>
      </c>
      <c r="T117" t="s">
        <v>2931</v>
      </c>
      <c r="U117">
        <v>0</v>
      </c>
      <c r="V117" t="str">
        <f>IF(CleanedTable[[#This Row],[Returned]] = 0,"NO","Yes")</f>
        <v>NO</v>
      </c>
      <c r="W117" t="s">
        <v>166</v>
      </c>
      <c r="X117" t="s">
        <v>1666</v>
      </c>
      <c r="Y117" s="10">
        <v>38.229999999999997</v>
      </c>
      <c r="Z117" s="3">
        <v>45762</v>
      </c>
      <c r="AA117" s="3">
        <v>45770</v>
      </c>
      <c r="AB117" t="s">
        <v>2925</v>
      </c>
      <c r="AC117">
        <v>8</v>
      </c>
    </row>
    <row r="118" spans="1:29" x14ac:dyDescent="0.3">
      <c r="A118" s="3">
        <v>45762</v>
      </c>
      <c r="B118" s="3" t="str">
        <f>TEXT(CleanedTable[[#This Row],[OrderDate]],"mmm")</f>
        <v>Apr</v>
      </c>
      <c r="C118" s="3" t="str">
        <f>TEXT(CleanedTable[[#This Row],[OrderDate]],"yyyy")</f>
        <v>2025</v>
      </c>
      <c r="D118" s="3" t="str">
        <f>TEXT(CleanedTable[[#This Row],[OrderDate]],"mmm yyyy")</f>
        <v>Apr 2025</v>
      </c>
      <c r="E118" t="s">
        <v>22</v>
      </c>
      <c r="F118" t="s">
        <v>27</v>
      </c>
      <c r="G118" s="12">
        <v>8</v>
      </c>
      <c r="H118" s="8">
        <v>348.98</v>
      </c>
      <c r="I118" t="s">
        <v>32</v>
      </c>
      <c r="J118" t="s">
        <v>36</v>
      </c>
      <c r="K118" s="10">
        <v>0.1</v>
      </c>
      <c r="L118" t="s">
        <v>39</v>
      </c>
      <c r="M118">
        <v>2512.6560000000004</v>
      </c>
      <c r="N118">
        <v>1675.104</v>
      </c>
      <c r="O118" s="10">
        <v>818.3820000000004</v>
      </c>
      <c r="P118" s="10">
        <v>0.32570395629166915</v>
      </c>
      <c r="Q118" s="8">
        <v>2512.6559999999999</v>
      </c>
      <c r="R118" t="s">
        <v>43</v>
      </c>
      <c r="S118" t="s">
        <v>48</v>
      </c>
      <c r="T118" t="s">
        <v>2931</v>
      </c>
      <c r="U118">
        <v>0</v>
      </c>
      <c r="V118" t="str">
        <f>IF(CleanedTable[[#This Row],[Returned]] = 0,"NO","Yes")</f>
        <v>NO</v>
      </c>
      <c r="W118" t="s">
        <v>167</v>
      </c>
      <c r="X118" t="s">
        <v>1667</v>
      </c>
      <c r="Y118" s="10">
        <v>19.170000000000002</v>
      </c>
      <c r="Z118" s="3">
        <v>45762</v>
      </c>
      <c r="AA118" s="3">
        <v>45767</v>
      </c>
      <c r="AB118" t="s">
        <v>2925</v>
      </c>
      <c r="AC118">
        <v>5</v>
      </c>
    </row>
    <row r="119" spans="1:29" x14ac:dyDescent="0.3">
      <c r="A119" s="3">
        <v>45515</v>
      </c>
      <c r="B119" s="3" t="str">
        <f>TEXT(CleanedTable[[#This Row],[OrderDate]],"mmm")</f>
        <v>Aug</v>
      </c>
      <c r="C119" s="3" t="str">
        <f>TEXT(CleanedTable[[#This Row],[OrderDate]],"yyyy")</f>
        <v>2024</v>
      </c>
      <c r="D119" s="3" t="str">
        <f>TEXT(CleanedTable[[#This Row],[OrderDate]],"mmm yyyy")</f>
        <v>Aug 2024</v>
      </c>
      <c r="E119" t="s">
        <v>23</v>
      </c>
      <c r="F119" t="s">
        <v>30</v>
      </c>
      <c r="G119" s="12">
        <v>2</v>
      </c>
      <c r="H119" s="8">
        <v>289.14</v>
      </c>
      <c r="I119" t="s">
        <v>33</v>
      </c>
      <c r="J119" t="s">
        <v>36</v>
      </c>
      <c r="K119" s="10">
        <v>0.05</v>
      </c>
      <c r="L119" t="s">
        <v>41</v>
      </c>
      <c r="M119">
        <v>549.36599999999999</v>
      </c>
      <c r="N119">
        <v>346.96799999999996</v>
      </c>
      <c r="O119" s="10">
        <v>197.26800000000003</v>
      </c>
      <c r="P119" s="10">
        <v>0.35908301569445511</v>
      </c>
      <c r="Q119" s="8">
        <v>549.36599999999999</v>
      </c>
      <c r="R119" t="s">
        <v>43</v>
      </c>
      <c r="S119" t="s">
        <v>49</v>
      </c>
      <c r="T119" t="s">
        <v>2931</v>
      </c>
      <c r="U119">
        <v>0</v>
      </c>
      <c r="V119" t="str">
        <f>IF(CleanedTable[[#This Row],[Returned]] = 0,"NO","Yes")</f>
        <v>NO</v>
      </c>
      <c r="W119" t="s">
        <v>168</v>
      </c>
      <c r="X119" t="s">
        <v>1668</v>
      </c>
      <c r="Y119" s="10">
        <v>5.13</v>
      </c>
      <c r="Z119" s="3">
        <v>45515</v>
      </c>
      <c r="AA119" s="3">
        <v>45517</v>
      </c>
      <c r="AB119" t="s">
        <v>2926</v>
      </c>
      <c r="AC119">
        <v>2</v>
      </c>
    </row>
    <row r="120" spans="1:29" x14ac:dyDescent="0.3">
      <c r="A120" s="3">
        <v>45261</v>
      </c>
      <c r="B120" s="3" t="str">
        <f>TEXT(CleanedTable[[#This Row],[OrderDate]],"mmm")</f>
        <v>Dec</v>
      </c>
      <c r="C120" s="3" t="str">
        <f>TEXT(CleanedTable[[#This Row],[OrderDate]],"yyyy")</f>
        <v>2023</v>
      </c>
      <c r="D120" s="3" t="str">
        <f>TEXT(CleanedTable[[#This Row],[OrderDate]],"mmm yyyy")</f>
        <v>Dec 2023</v>
      </c>
      <c r="E120" t="s">
        <v>20</v>
      </c>
      <c r="F120" t="s">
        <v>26</v>
      </c>
      <c r="G120" s="12">
        <v>5</v>
      </c>
      <c r="H120" s="8">
        <v>396.93</v>
      </c>
      <c r="I120" t="s">
        <v>31</v>
      </c>
      <c r="J120" t="s">
        <v>35</v>
      </c>
      <c r="K120" s="10">
        <v>0</v>
      </c>
      <c r="L120" t="s">
        <v>41</v>
      </c>
      <c r="M120">
        <v>1984.65</v>
      </c>
      <c r="N120">
        <v>1190.79</v>
      </c>
      <c r="O120" s="10">
        <v>745.23000000000013</v>
      </c>
      <c r="P120" s="10">
        <v>0.37549693900687786</v>
      </c>
      <c r="Q120" s="8">
        <v>1984.65</v>
      </c>
      <c r="R120" t="s">
        <v>45</v>
      </c>
      <c r="S120" t="s">
        <v>48</v>
      </c>
      <c r="T120" t="s">
        <v>2931</v>
      </c>
      <c r="U120">
        <v>0</v>
      </c>
      <c r="V120" t="str">
        <f>IF(CleanedTable[[#This Row],[Returned]] = 0,"NO","Yes")</f>
        <v>NO</v>
      </c>
      <c r="W120" t="s">
        <v>169</v>
      </c>
      <c r="X120" t="s">
        <v>1669</v>
      </c>
      <c r="Y120" s="10">
        <v>48.63</v>
      </c>
      <c r="Z120" s="3">
        <v>45261</v>
      </c>
      <c r="AA120" s="3">
        <v>45268</v>
      </c>
      <c r="AB120" t="s">
        <v>2923</v>
      </c>
      <c r="AC120">
        <v>7</v>
      </c>
    </row>
    <row r="121" spans="1:29" x14ac:dyDescent="0.3">
      <c r="A121" s="3">
        <v>45144</v>
      </c>
      <c r="B121" s="3" t="str">
        <f>TEXT(CleanedTable[[#This Row],[OrderDate]],"mmm")</f>
        <v>Aug</v>
      </c>
      <c r="C121" s="3" t="str">
        <f>TEXT(CleanedTable[[#This Row],[OrderDate]],"yyyy")</f>
        <v>2023</v>
      </c>
      <c r="D121" s="3" t="str">
        <f>TEXT(CleanedTable[[#This Row],[OrderDate]],"mmm yyyy")</f>
        <v>Aug 2023</v>
      </c>
      <c r="E121" t="s">
        <v>22</v>
      </c>
      <c r="F121" t="s">
        <v>24</v>
      </c>
      <c r="G121" s="12">
        <v>10</v>
      </c>
      <c r="H121" s="8">
        <v>508.57</v>
      </c>
      <c r="I121" t="s">
        <v>34</v>
      </c>
      <c r="J121" t="s">
        <v>36</v>
      </c>
      <c r="K121" s="10">
        <v>0.05</v>
      </c>
      <c r="L121" t="s">
        <v>42</v>
      </c>
      <c r="M121">
        <v>4831.415</v>
      </c>
      <c r="N121">
        <v>3051.42</v>
      </c>
      <c r="O121" s="10">
        <v>1770.645</v>
      </c>
      <c r="P121" s="10">
        <v>0.36648580177856799</v>
      </c>
      <c r="Q121" s="8">
        <v>4831.415</v>
      </c>
      <c r="R121" t="s">
        <v>43</v>
      </c>
      <c r="S121" t="s">
        <v>49</v>
      </c>
      <c r="T121" t="s">
        <v>2931</v>
      </c>
      <c r="U121">
        <v>0</v>
      </c>
      <c r="V121" t="str">
        <f>IF(CleanedTable[[#This Row],[Returned]] = 0,"NO","Yes")</f>
        <v>NO</v>
      </c>
      <c r="W121" t="s">
        <v>170</v>
      </c>
      <c r="X121" t="s">
        <v>1670</v>
      </c>
      <c r="Y121" s="10">
        <v>9.35</v>
      </c>
      <c r="Z121" s="3">
        <v>45144</v>
      </c>
      <c r="AA121" s="3">
        <v>45149</v>
      </c>
      <c r="AB121" t="s">
        <v>2925</v>
      </c>
      <c r="AC121">
        <v>5</v>
      </c>
    </row>
    <row r="122" spans="1:29" x14ac:dyDescent="0.3">
      <c r="A122" s="3">
        <v>45315</v>
      </c>
      <c r="B122" s="3" t="str">
        <f>TEXT(CleanedTable[[#This Row],[OrderDate]],"mmm")</f>
        <v>Jan</v>
      </c>
      <c r="C122" s="3" t="str">
        <f>TEXT(CleanedTable[[#This Row],[OrderDate]],"yyyy")</f>
        <v>2024</v>
      </c>
      <c r="D122" s="3" t="str">
        <f>TEXT(CleanedTable[[#This Row],[OrderDate]],"mmm yyyy")</f>
        <v>Jan 2024</v>
      </c>
      <c r="E122" t="s">
        <v>22</v>
      </c>
      <c r="F122" t="s">
        <v>24</v>
      </c>
      <c r="G122" s="12">
        <v>11</v>
      </c>
      <c r="H122" s="8">
        <v>259.61</v>
      </c>
      <c r="I122" t="s">
        <v>33</v>
      </c>
      <c r="J122" t="s">
        <v>35</v>
      </c>
      <c r="K122" s="10">
        <v>0.1</v>
      </c>
      <c r="L122" t="s">
        <v>40</v>
      </c>
      <c r="M122">
        <v>2570.1390000000001</v>
      </c>
      <c r="N122">
        <v>1713.4259999999999</v>
      </c>
      <c r="O122" s="10">
        <v>842.98300000000017</v>
      </c>
      <c r="P122" s="10">
        <v>0.32799120981394397</v>
      </c>
      <c r="Q122" s="8">
        <v>2570.1390000000001</v>
      </c>
      <c r="R122" t="s">
        <v>47</v>
      </c>
      <c r="S122" t="s">
        <v>48</v>
      </c>
      <c r="T122" t="s">
        <v>2931</v>
      </c>
      <c r="U122">
        <v>0</v>
      </c>
      <c r="V122" t="str">
        <f>IF(CleanedTable[[#This Row],[Returned]] = 0,"NO","Yes")</f>
        <v>NO</v>
      </c>
      <c r="W122" t="s">
        <v>171</v>
      </c>
      <c r="X122" t="s">
        <v>1671</v>
      </c>
      <c r="Y122" s="10">
        <v>13.73</v>
      </c>
      <c r="Z122" s="3">
        <v>45315</v>
      </c>
      <c r="AA122" s="3">
        <v>45322</v>
      </c>
      <c r="AB122" t="s">
        <v>2925</v>
      </c>
      <c r="AC122">
        <v>7</v>
      </c>
    </row>
    <row r="123" spans="1:29" x14ac:dyDescent="0.3">
      <c r="A123" s="3">
        <v>45358</v>
      </c>
      <c r="B123" s="3" t="str">
        <f>TEXT(CleanedTable[[#This Row],[OrderDate]],"mmm")</f>
        <v>Mar</v>
      </c>
      <c r="C123" s="3" t="str">
        <f>TEXT(CleanedTable[[#This Row],[OrderDate]],"yyyy")</f>
        <v>2024</v>
      </c>
      <c r="D123" s="3" t="str">
        <f>TEXT(CleanedTable[[#This Row],[OrderDate]],"mmm yyyy")</f>
        <v>Mar 2024</v>
      </c>
      <c r="E123" t="s">
        <v>22</v>
      </c>
      <c r="F123" t="s">
        <v>27</v>
      </c>
      <c r="G123" s="12">
        <v>9</v>
      </c>
      <c r="H123" s="8">
        <v>313.29000000000002</v>
      </c>
      <c r="I123" t="s">
        <v>34</v>
      </c>
      <c r="J123" t="s">
        <v>36</v>
      </c>
      <c r="K123" s="10">
        <v>0</v>
      </c>
      <c r="L123" t="s">
        <v>40</v>
      </c>
      <c r="M123">
        <v>2819.61</v>
      </c>
      <c r="N123">
        <v>1691.7660000000001</v>
      </c>
      <c r="O123" s="10">
        <v>1113.8040000000001</v>
      </c>
      <c r="P123" s="10">
        <v>0.39502058795365319</v>
      </c>
      <c r="Q123" s="8">
        <v>2819.61</v>
      </c>
      <c r="R123" t="s">
        <v>43</v>
      </c>
      <c r="S123" t="s">
        <v>48</v>
      </c>
      <c r="T123" t="s">
        <v>2931</v>
      </c>
      <c r="U123">
        <v>0</v>
      </c>
      <c r="V123" t="str">
        <f>IF(CleanedTable[[#This Row],[Returned]] = 0,"NO","Yes")</f>
        <v>NO</v>
      </c>
      <c r="W123" t="s">
        <v>172</v>
      </c>
      <c r="X123" t="s">
        <v>1672</v>
      </c>
      <c r="Y123" s="10">
        <v>14.04</v>
      </c>
      <c r="Z123" s="3">
        <v>45358</v>
      </c>
      <c r="AA123" s="3">
        <v>45364</v>
      </c>
      <c r="AB123" t="s">
        <v>2925</v>
      </c>
      <c r="AC123">
        <v>6</v>
      </c>
    </row>
    <row r="124" spans="1:29" x14ac:dyDescent="0.3">
      <c r="A124" s="3">
        <v>45313</v>
      </c>
      <c r="B124" s="3" t="str">
        <f>TEXT(CleanedTable[[#This Row],[OrderDate]],"mmm")</f>
        <v>Jan</v>
      </c>
      <c r="C124" s="3" t="str">
        <f>TEXT(CleanedTable[[#This Row],[OrderDate]],"yyyy")</f>
        <v>2024</v>
      </c>
      <c r="D124" s="3" t="str">
        <f>TEXT(CleanedTable[[#This Row],[OrderDate]],"mmm yyyy")</f>
        <v>Jan 2024</v>
      </c>
      <c r="E124" t="s">
        <v>20</v>
      </c>
      <c r="F124" t="s">
        <v>29</v>
      </c>
      <c r="G124" s="12">
        <v>5</v>
      </c>
      <c r="H124" s="8">
        <v>106.57</v>
      </c>
      <c r="I124" t="s">
        <v>33</v>
      </c>
      <c r="J124" t="s">
        <v>35</v>
      </c>
      <c r="K124" s="10">
        <v>0.1</v>
      </c>
      <c r="L124" t="s">
        <v>40</v>
      </c>
      <c r="M124">
        <v>479.56499999999994</v>
      </c>
      <c r="N124">
        <v>319.70999999999998</v>
      </c>
      <c r="O124" s="10">
        <v>134.61499999999995</v>
      </c>
      <c r="P124" s="10">
        <v>0.28070230312887717</v>
      </c>
      <c r="Q124" s="8">
        <v>479.56499999999988</v>
      </c>
      <c r="R124" t="s">
        <v>46</v>
      </c>
      <c r="S124" t="s">
        <v>49</v>
      </c>
      <c r="T124" t="s">
        <v>2931</v>
      </c>
      <c r="U124">
        <v>1</v>
      </c>
      <c r="V124" t="str">
        <f>IF(CleanedTable[[#This Row],[Returned]] = 0,"NO","Yes")</f>
        <v>Yes</v>
      </c>
      <c r="W124" t="s">
        <v>173</v>
      </c>
      <c r="X124" t="s">
        <v>1673</v>
      </c>
      <c r="Y124" s="10">
        <v>25.24</v>
      </c>
      <c r="Z124" s="3">
        <v>45313</v>
      </c>
      <c r="AA124" s="3">
        <v>45319</v>
      </c>
      <c r="AB124" t="s">
        <v>2923</v>
      </c>
      <c r="AC124">
        <v>6</v>
      </c>
    </row>
    <row r="125" spans="1:29" x14ac:dyDescent="0.3">
      <c r="A125" s="3">
        <v>44980</v>
      </c>
      <c r="B125" s="3" t="str">
        <f>TEXT(CleanedTable[[#This Row],[OrderDate]],"mmm")</f>
        <v>Feb</v>
      </c>
      <c r="C125" s="3" t="str">
        <f>TEXT(CleanedTable[[#This Row],[OrderDate]],"yyyy")</f>
        <v>2023</v>
      </c>
      <c r="D125" s="3" t="str">
        <f>TEXT(CleanedTable[[#This Row],[OrderDate]],"mmm yyyy")</f>
        <v>Feb 2023</v>
      </c>
      <c r="E125" t="s">
        <v>19</v>
      </c>
      <c r="F125" t="s">
        <v>30</v>
      </c>
      <c r="G125" s="12">
        <v>1</v>
      </c>
      <c r="H125" s="8">
        <v>109</v>
      </c>
      <c r="I125" t="s">
        <v>31</v>
      </c>
      <c r="J125" t="s">
        <v>36</v>
      </c>
      <c r="K125" s="10">
        <v>0.15</v>
      </c>
      <c r="L125" t="s">
        <v>39</v>
      </c>
      <c r="M125">
        <v>92.649999999999991</v>
      </c>
      <c r="N125">
        <v>65.399999999999991</v>
      </c>
      <c r="O125" s="10">
        <v>19.22</v>
      </c>
      <c r="P125" s="10">
        <v>0.20744738262277387</v>
      </c>
      <c r="Q125" s="8">
        <v>92.649999999999991</v>
      </c>
      <c r="R125" t="s">
        <v>47</v>
      </c>
      <c r="S125" t="s">
        <v>50</v>
      </c>
      <c r="T125" t="s">
        <v>2931</v>
      </c>
      <c r="U125">
        <v>1</v>
      </c>
      <c r="V125" t="str">
        <f>IF(CleanedTable[[#This Row],[Returned]] = 0,"NO","Yes")</f>
        <v>Yes</v>
      </c>
      <c r="W125" t="s">
        <v>174</v>
      </c>
      <c r="X125" t="s">
        <v>1674</v>
      </c>
      <c r="Y125" s="10">
        <v>8.0299999999999994</v>
      </c>
      <c r="Z125" s="3">
        <v>44980</v>
      </c>
      <c r="AA125" s="3">
        <v>44984</v>
      </c>
      <c r="AB125" t="s">
        <v>2922</v>
      </c>
      <c r="AC125">
        <v>4</v>
      </c>
    </row>
    <row r="126" spans="1:29" x14ac:dyDescent="0.3">
      <c r="A126" s="3">
        <v>45091</v>
      </c>
      <c r="B126" s="3" t="str">
        <f>TEXT(CleanedTable[[#This Row],[OrderDate]],"mmm")</f>
        <v>Jun</v>
      </c>
      <c r="C126" s="3" t="str">
        <f>TEXT(CleanedTable[[#This Row],[OrderDate]],"yyyy")</f>
        <v>2023</v>
      </c>
      <c r="D126" s="3" t="str">
        <f>TEXT(CleanedTable[[#This Row],[OrderDate]],"mmm yyyy")</f>
        <v>Jun 2023</v>
      </c>
      <c r="E126" t="s">
        <v>21</v>
      </c>
      <c r="F126" t="s">
        <v>29</v>
      </c>
      <c r="G126" s="12">
        <v>8</v>
      </c>
      <c r="H126" s="8">
        <v>323.8</v>
      </c>
      <c r="I126" t="s">
        <v>31</v>
      </c>
      <c r="J126" t="s">
        <v>36</v>
      </c>
      <c r="K126" s="10">
        <v>0</v>
      </c>
      <c r="L126" t="s">
        <v>41</v>
      </c>
      <c r="M126">
        <v>2590.4</v>
      </c>
      <c r="N126">
        <v>1554.24</v>
      </c>
      <c r="O126" s="10">
        <v>1000.9300000000001</v>
      </c>
      <c r="P126" s="10">
        <v>0.38639978381717111</v>
      </c>
      <c r="Q126" s="8">
        <v>2590.4</v>
      </c>
      <c r="R126" t="s">
        <v>47</v>
      </c>
      <c r="S126" t="s">
        <v>49</v>
      </c>
      <c r="T126" t="s">
        <v>2931</v>
      </c>
      <c r="U126">
        <v>1</v>
      </c>
      <c r="V126" t="str">
        <f>IF(CleanedTable[[#This Row],[Returned]] = 0,"NO","Yes")</f>
        <v>Yes</v>
      </c>
      <c r="W126" t="s">
        <v>175</v>
      </c>
      <c r="X126" t="s">
        <v>1675</v>
      </c>
      <c r="Y126" s="10">
        <v>35.229999999999997</v>
      </c>
      <c r="Z126" s="3">
        <v>45091</v>
      </c>
      <c r="AA126" s="3">
        <v>45099</v>
      </c>
      <c r="AB126" t="s">
        <v>2924</v>
      </c>
      <c r="AC126">
        <v>8</v>
      </c>
    </row>
    <row r="127" spans="1:29" x14ac:dyDescent="0.3">
      <c r="A127" s="3">
        <v>45790</v>
      </c>
      <c r="B127" s="3" t="str">
        <f>TEXT(CleanedTable[[#This Row],[OrderDate]],"mmm")</f>
        <v>May</v>
      </c>
      <c r="C127" s="3" t="str">
        <f>TEXT(CleanedTable[[#This Row],[OrderDate]],"yyyy")</f>
        <v>2025</v>
      </c>
      <c r="D127" s="3" t="str">
        <f>TEXT(CleanedTable[[#This Row],[OrderDate]],"mmm yyyy")</f>
        <v>May 2025</v>
      </c>
      <c r="E127" t="s">
        <v>21</v>
      </c>
      <c r="F127" t="s">
        <v>24</v>
      </c>
      <c r="G127" s="12">
        <v>16</v>
      </c>
      <c r="H127" s="8">
        <v>384.32</v>
      </c>
      <c r="I127" t="s">
        <v>32</v>
      </c>
      <c r="J127" t="s">
        <v>36</v>
      </c>
      <c r="K127" s="10">
        <v>0.05</v>
      </c>
      <c r="L127" t="s">
        <v>39</v>
      </c>
      <c r="M127">
        <v>5841.6639999999998</v>
      </c>
      <c r="N127">
        <v>3689.4719999999998</v>
      </c>
      <c r="O127" s="10">
        <v>2130.692</v>
      </c>
      <c r="P127" s="10">
        <v>0.36474059446075641</v>
      </c>
      <c r="Q127" s="8">
        <v>5841.6639999999998</v>
      </c>
      <c r="R127" t="s">
        <v>47</v>
      </c>
      <c r="S127" t="s">
        <v>48</v>
      </c>
      <c r="T127" t="s">
        <v>2931</v>
      </c>
      <c r="U127">
        <v>0</v>
      </c>
      <c r="V127" t="str">
        <f>IF(CleanedTable[[#This Row],[Returned]] = 0,"NO","Yes")</f>
        <v>NO</v>
      </c>
      <c r="W127" t="s">
        <v>176</v>
      </c>
      <c r="X127" t="s">
        <v>1676</v>
      </c>
      <c r="Y127" s="10">
        <v>21.5</v>
      </c>
      <c r="Z127" s="3">
        <v>45790</v>
      </c>
      <c r="AA127" s="3">
        <v>45792</v>
      </c>
      <c r="AB127" t="s">
        <v>2924</v>
      </c>
      <c r="AC127">
        <v>2</v>
      </c>
    </row>
    <row r="128" spans="1:29" x14ac:dyDescent="0.3">
      <c r="A128" s="3">
        <v>45503</v>
      </c>
      <c r="B128" s="3" t="str">
        <f>TEXT(CleanedTable[[#This Row],[OrderDate]],"mmm")</f>
        <v>Jul</v>
      </c>
      <c r="C128" s="3" t="str">
        <f>TEXT(CleanedTable[[#This Row],[OrderDate]],"yyyy")</f>
        <v>2024</v>
      </c>
      <c r="D128" s="3" t="str">
        <f>TEXT(CleanedTable[[#This Row],[OrderDate]],"mmm yyyy")</f>
        <v>Jul 2024</v>
      </c>
      <c r="E128" t="s">
        <v>22</v>
      </c>
      <c r="F128" t="s">
        <v>30</v>
      </c>
      <c r="G128" s="12">
        <v>16</v>
      </c>
      <c r="H128" s="8">
        <v>163.86</v>
      </c>
      <c r="I128" t="s">
        <v>33</v>
      </c>
      <c r="J128" t="s">
        <v>36</v>
      </c>
      <c r="K128" s="10">
        <v>0.15</v>
      </c>
      <c r="L128" t="s">
        <v>41</v>
      </c>
      <c r="M128">
        <v>2228.4960000000001</v>
      </c>
      <c r="N128">
        <v>1573.056</v>
      </c>
      <c r="O128" s="10">
        <v>617.49</v>
      </c>
      <c r="P128" s="10">
        <v>0.27708822452452236</v>
      </c>
      <c r="Q128" s="8">
        <v>2228.4960000000001</v>
      </c>
      <c r="R128" t="s">
        <v>44</v>
      </c>
      <c r="S128" t="s">
        <v>48</v>
      </c>
      <c r="T128" t="s">
        <v>2931</v>
      </c>
      <c r="U128">
        <v>0</v>
      </c>
      <c r="V128" t="str">
        <f>IF(CleanedTable[[#This Row],[Returned]] = 0,"NO","Yes")</f>
        <v>NO</v>
      </c>
      <c r="W128" t="s">
        <v>177</v>
      </c>
      <c r="X128" t="s">
        <v>1677</v>
      </c>
      <c r="Y128" s="10">
        <v>37.950000000000003</v>
      </c>
      <c r="Z128" s="3">
        <v>45503</v>
      </c>
      <c r="AA128" s="3">
        <v>45510</v>
      </c>
      <c r="AB128" t="s">
        <v>2925</v>
      </c>
      <c r="AC128">
        <v>7</v>
      </c>
    </row>
    <row r="129" spans="1:29" x14ac:dyDescent="0.3">
      <c r="A129" s="3">
        <v>45491</v>
      </c>
      <c r="B129" s="3" t="str">
        <f>TEXT(CleanedTable[[#This Row],[OrderDate]],"mmm")</f>
        <v>Jul</v>
      </c>
      <c r="C129" s="3" t="str">
        <f>TEXT(CleanedTable[[#This Row],[OrderDate]],"yyyy")</f>
        <v>2024</v>
      </c>
      <c r="D129" s="3" t="str">
        <f>TEXT(CleanedTable[[#This Row],[OrderDate]],"mmm yyyy")</f>
        <v>Jul 2024</v>
      </c>
      <c r="E129" t="s">
        <v>19</v>
      </c>
      <c r="F129" t="s">
        <v>29</v>
      </c>
      <c r="G129" s="12">
        <v>5</v>
      </c>
      <c r="H129" s="8">
        <v>23.41</v>
      </c>
      <c r="I129" t="s">
        <v>31</v>
      </c>
      <c r="J129" t="s">
        <v>35</v>
      </c>
      <c r="K129" s="10">
        <v>0</v>
      </c>
      <c r="L129" t="s">
        <v>39</v>
      </c>
      <c r="M129">
        <v>117.05</v>
      </c>
      <c r="N129">
        <v>70.22999999999999</v>
      </c>
      <c r="O129" s="10">
        <v>20.380000000000006</v>
      </c>
      <c r="P129" s="10">
        <v>0.17411362665527558</v>
      </c>
      <c r="Q129" s="8">
        <v>117.05</v>
      </c>
      <c r="R129" t="s">
        <v>45</v>
      </c>
      <c r="S129" t="s">
        <v>50</v>
      </c>
      <c r="T129" t="s">
        <v>2931</v>
      </c>
      <c r="U129">
        <v>0</v>
      </c>
      <c r="V129" t="str">
        <f>IF(CleanedTable[[#This Row],[Returned]] = 0,"NO","Yes")</f>
        <v>NO</v>
      </c>
      <c r="W129" t="s">
        <v>178</v>
      </c>
      <c r="X129" t="s">
        <v>1678</v>
      </c>
      <c r="Y129" s="10">
        <v>26.44</v>
      </c>
      <c r="Z129" s="3">
        <v>45491</v>
      </c>
      <c r="AA129" s="3">
        <v>45500</v>
      </c>
      <c r="AB129" t="s">
        <v>2922</v>
      </c>
      <c r="AC129">
        <v>9</v>
      </c>
    </row>
    <row r="130" spans="1:29" x14ac:dyDescent="0.3">
      <c r="A130" s="3">
        <v>45530</v>
      </c>
      <c r="B130" s="3" t="str">
        <f>TEXT(CleanedTable[[#This Row],[OrderDate]],"mmm")</f>
        <v>Aug</v>
      </c>
      <c r="C130" s="3" t="str">
        <f>TEXT(CleanedTable[[#This Row],[OrderDate]],"yyyy")</f>
        <v>2024</v>
      </c>
      <c r="D130" s="3" t="str">
        <f>TEXT(CleanedTable[[#This Row],[OrderDate]],"mmm yyyy")</f>
        <v>Aug 2024</v>
      </c>
      <c r="E130" t="s">
        <v>19</v>
      </c>
      <c r="F130" t="s">
        <v>30</v>
      </c>
      <c r="G130" s="12">
        <v>20</v>
      </c>
      <c r="H130" s="8">
        <v>488.9</v>
      </c>
      <c r="I130" t="s">
        <v>33</v>
      </c>
      <c r="J130" t="s">
        <v>35</v>
      </c>
      <c r="K130" s="10">
        <v>0.15</v>
      </c>
      <c r="L130" t="s">
        <v>37</v>
      </c>
      <c r="M130">
        <v>8311.2999999999993</v>
      </c>
      <c r="N130">
        <v>5866.7999999999993</v>
      </c>
      <c r="O130" s="10">
        <v>2422.73</v>
      </c>
      <c r="P130" s="10">
        <v>0.29149832156221051</v>
      </c>
      <c r="Q130" s="8">
        <v>8311.2999999999993</v>
      </c>
      <c r="R130" t="s">
        <v>44</v>
      </c>
      <c r="S130" t="s">
        <v>48</v>
      </c>
      <c r="T130" t="s">
        <v>2931</v>
      </c>
      <c r="U130">
        <v>0</v>
      </c>
      <c r="V130" t="str">
        <f>IF(CleanedTable[[#This Row],[Returned]] = 0,"NO","Yes")</f>
        <v>NO</v>
      </c>
      <c r="W130" t="s">
        <v>179</v>
      </c>
      <c r="X130" t="s">
        <v>1679</v>
      </c>
      <c r="Y130" s="10">
        <v>21.77</v>
      </c>
      <c r="Z130" s="3">
        <v>45530</v>
      </c>
      <c r="AA130" s="3">
        <v>45536</v>
      </c>
      <c r="AB130" t="s">
        <v>2922</v>
      </c>
      <c r="AC130">
        <v>6</v>
      </c>
    </row>
    <row r="131" spans="1:29" x14ac:dyDescent="0.3">
      <c r="A131" s="3">
        <v>45816</v>
      </c>
      <c r="B131" s="3" t="str">
        <f>TEXT(CleanedTable[[#This Row],[OrderDate]],"mmm")</f>
        <v>Jun</v>
      </c>
      <c r="C131" s="3" t="str">
        <f>TEXT(CleanedTable[[#This Row],[OrderDate]],"yyyy")</f>
        <v>2025</v>
      </c>
      <c r="D131" s="3" t="str">
        <f>TEXT(CleanedTable[[#This Row],[OrderDate]],"mmm yyyy")</f>
        <v>Jun 2025</v>
      </c>
      <c r="E131" t="s">
        <v>23</v>
      </c>
      <c r="F131" t="s">
        <v>29</v>
      </c>
      <c r="G131" s="12">
        <v>7</v>
      </c>
      <c r="H131" s="8">
        <v>452.56</v>
      </c>
      <c r="I131" t="s">
        <v>32</v>
      </c>
      <c r="J131" t="s">
        <v>35</v>
      </c>
      <c r="K131" s="10">
        <v>0.05</v>
      </c>
      <c r="L131" t="s">
        <v>39</v>
      </c>
      <c r="M131">
        <v>3009.5239999999999</v>
      </c>
      <c r="N131">
        <v>1900.752</v>
      </c>
      <c r="O131" s="10">
        <v>1061.8019999999999</v>
      </c>
      <c r="P131" s="10">
        <v>0.35281393336620676</v>
      </c>
      <c r="Q131" s="8">
        <v>3009.5239999999999</v>
      </c>
      <c r="R131" t="s">
        <v>44</v>
      </c>
      <c r="S131" t="s">
        <v>48</v>
      </c>
      <c r="T131" t="s">
        <v>2931</v>
      </c>
      <c r="U131">
        <v>0</v>
      </c>
      <c r="V131" t="str">
        <f>IF(CleanedTable[[#This Row],[Returned]] = 0,"NO","Yes")</f>
        <v>NO</v>
      </c>
      <c r="W131" t="s">
        <v>180</v>
      </c>
      <c r="X131" t="s">
        <v>1680</v>
      </c>
      <c r="Y131" s="10">
        <v>46.97</v>
      </c>
      <c r="Z131" s="3">
        <v>45816</v>
      </c>
      <c r="AA131" s="3">
        <v>45823</v>
      </c>
      <c r="AB131" t="s">
        <v>2926</v>
      </c>
      <c r="AC131">
        <v>7</v>
      </c>
    </row>
    <row r="132" spans="1:29" x14ac:dyDescent="0.3">
      <c r="A132" s="3">
        <v>45793</v>
      </c>
      <c r="B132" s="3" t="str">
        <f>TEXT(CleanedTable[[#This Row],[OrderDate]],"mmm")</f>
        <v>May</v>
      </c>
      <c r="C132" s="3" t="str">
        <f>TEXT(CleanedTable[[#This Row],[OrderDate]],"yyyy")</f>
        <v>2025</v>
      </c>
      <c r="D132" s="3" t="str">
        <f>TEXT(CleanedTable[[#This Row],[OrderDate]],"mmm yyyy")</f>
        <v>May 2025</v>
      </c>
      <c r="E132" t="s">
        <v>21</v>
      </c>
      <c r="F132" t="s">
        <v>26</v>
      </c>
      <c r="G132" s="12">
        <v>11</v>
      </c>
      <c r="H132" s="8">
        <v>465.24</v>
      </c>
      <c r="I132" t="s">
        <v>32</v>
      </c>
      <c r="J132" t="s">
        <v>35</v>
      </c>
      <c r="K132" s="10">
        <v>0</v>
      </c>
      <c r="L132" t="s">
        <v>40</v>
      </c>
      <c r="M132">
        <v>5117.6400000000003</v>
      </c>
      <c r="N132">
        <v>3070.5839999999998</v>
      </c>
      <c r="O132" s="10">
        <v>2029.4660000000006</v>
      </c>
      <c r="P132" s="10">
        <v>0.39656286882234787</v>
      </c>
      <c r="Q132" s="8">
        <v>5117.6400000000003</v>
      </c>
      <c r="R132" t="s">
        <v>46</v>
      </c>
      <c r="T132" t="s">
        <v>2932</v>
      </c>
      <c r="U132">
        <v>1</v>
      </c>
      <c r="V132" t="str">
        <f>IF(CleanedTable[[#This Row],[Returned]] = 0,"NO","Yes")</f>
        <v>Yes</v>
      </c>
      <c r="W132" t="s">
        <v>181</v>
      </c>
      <c r="X132" t="s">
        <v>1681</v>
      </c>
      <c r="Y132" s="10">
        <v>17.59</v>
      </c>
      <c r="Z132" s="3">
        <v>45793</v>
      </c>
      <c r="AA132" s="3">
        <v>45800</v>
      </c>
      <c r="AB132" t="s">
        <v>2924</v>
      </c>
      <c r="AC132">
        <v>7</v>
      </c>
    </row>
    <row r="133" spans="1:29" x14ac:dyDescent="0.3">
      <c r="A133" s="3">
        <v>45491</v>
      </c>
      <c r="B133" s="3" t="str">
        <f>TEXT(CleanedTable[[#This Row],[OrderDate]],"mmm")</f>
        <v>Jul</v>
      </c>
      <c r="C133" s="3" t="str">
        <f>TEXT(CleanedTable[[#This Row],[OrderDate]],"yyyy")</f>
        <v>2024</v>
      </c>
      <c r="D133" s="3" t="str">
        <f>TEXT(CleanedTable[[#This Row],[OrderDate]],"mmm yyyy")</f>
        <v>Jul 2024</v>
      </c>
      <c r="E133" t="s">
        <v>19</v>
      </c>
      <c r="F133" t="s">
        <v>25</v>
      </c>
      <c r="G133" s="12">
        <v>14</v>
      </c>
      <c r="H133" s="8">
        <v>442.65</v>
      </c>
      <c r="I133" t="s">
        <v>31</v>
      </c>
      <c r="J133" t="s">
        <v>36</v>
      </c>
      <c r="K133" s="10">
        <v>0</v>
      </c>
      <c r="L133" t="s">
        <v>37</v>
      </c>
      <c r="M133">
        <v>6197.0999999999995</v>
      </c>
      <c r="N133">
        <v>3718.2599999999998</v>
      </c>
      <c r="O133" s="10">
        <v>2450.0799999999995</v>
      </c>
      <c r="P133" s="10">
        <v>0.39535911958819442</v>
      </c>
      <c r="Q133" s="8">
        <v>6197.0999999999995</v>
      </c>
      <c r="R133" t="s">
        <v>44</v>
      </c>
      <c r="S133" t="s">
        <v>49</v>
      </c>
      <c r="T133" t="s">
        <v>2931</v>
      </c>
      <c r="U133">
        <v>0</v>
      </c>
      <c r="V133" t="str">
        <f>IF(CleanedTable[[#This Row],[Returned]] = 0,"NO","Yes")</f>
        <v>NO</v>
      </c>
      <c r="W133" t="s">
        <v>182</v>
      </c>
      <c r="X133" t="s">
        <v>1682</v>
      </c>
      <c r="Y133" s="10">
        <v>28.76</v>
      </c>
      <c r="Z133" s="3">
        <v>45491</v>
      </c>
      <c r="AA133" s="3">
        <v>45497</v>
      </c>
      <c r="AB133" t="s">
        <v>2922</v>
      </c>
      <c r="AC133">
        <v>6</v>
      </c>
    </row>
    <row r="134" spans="1:29" x14ac:dyDescent="0.3">
      <c r="A134" s="3">
        <v>45186</v>
      </c>
      <c r="B134" s="3" t="str">
        <f>TEXT(CleanedTable[[#This Row],[OrderDate]],"mmm")</f>
        <v>Sep</v>
      </c>
      <c r="C134" s="3" t="str">
        <f>TEXT(CleanedTable[[#This Row],[OrderDate]],"yyyy")</f>
        <v>2023</v>
      </c>
      <c r="D134" s="3" t="str">
        <f>TEXT(CleanedTable[[#This Row],[OrderDate]],"mmm yyyy")</f>
        <v>Sep 2023</v>
      </c>
      <c r="E134" t="s">
        <v>23</v>
      </c>
      <c r="F134" t="s">
        <v>24</v>
      </c>
      <c r="G134" s="12">
        <v>12</v>
      </c>
      <c r="H134" s="8">
        <v>469.44</v>
      </c>
      <c r="I134" t="s">
        <v>31</v>
      </c>
      <c r="J134" t="s">
        <v>35</v>
      </c>
      <c r="K134" s="10">
        <v>0</v>
      </c>
      <c r="L134" t="s">
        <v>42</v>
      </c>
      <c r="M134">
        <v>5633.28</v>
      </c>
      <c r="N134">
        <v>3379.9679999999998</v>
      </c>
      <c r="O134" s="10">
        <v>2220.0119999999997</v>
      </c>
      <c r="P134" s="10">
        <v>0.39408870143149283</v>
      </c>
      <c r="Q134" s="8">
        <v>5633.28</v>
      </c>
      <c r="R134" t="s">
        <v>43</v>
      </c>
      <c r="S134" t="s">
        <v>48</v>
      </c>
      <c r="T134" t="s">
        <v>2931</v>
      </c>
      <c r="U134">
        <v>0</v>
      </c>
      <c r="V134" t="str">
        <f>IF(CleanedTable[[#This Row],[Returned]] = 0,"NO","Yes")</f>
        <v>NO</v>
      </c>
      <c r="W134" t="s">
        <v>183</v>
      </c>
      <c r="X134" t="s">
        <v>1683</v>
      </c>
      <c r="Y134" s="10">
        <v>33.299999999999997</v>
      </c>
      <c r="Z134" s="3">
        <v>45186</v>
      </c>
      <c r="AA134" s="3">
        <v>45195</v>
      </c>
      <c r="AB134" t="s">
        <v>2926</v>
      </c>
      <c r="AC134">
        <v>9</v>
      </c>
    </row>
    <row r="135" spans="1:29" x14ac:dyDescent="0.3">
      <c r="A135" s="3">
        <v>44998</v>
      </c>
      <c r="B135" s="3" t="str">
        <f>TEXT(CleanedTable[[#This Row],[OrderDate]],"mmm")</f>
        <v>Mar</v>
      </c>
      <c r="C135" s="3" t="str">
        <f>TEXT(CleanedTable[[#This Row],[OrderDate]],"yyyy")</f>
        <v>2023</v>
      </c>
      <c r="D135" s="3" t="str">
        <f>TEXT(CleanedTable[[#This Row],[OrderDate]],"mmm yyyy")</f>
        <v>Mar 2023</v>
      </c>
      <c r="E135" t="s">
        <v>19</v>
      </c>
      <c r="F135" t="s">
        <v>28</v>
      </c>
      <c r="G135" s="12">
        <v>14</v>
      </c>
      <c r="H135" s="8">
        <v>248.77</v>
      </c>
      <c r="I135" t="s">
        <v>33</v>
      </c>
      <c r="J135" t="s">
        <v>35</v>
      </c>
      <c r="K135" s="10">
        <v>0.05</v>
      </c>
      <c r="L135" t="s">
        <v>42</v>
      </c>
      <c r="M135">
        <v>3308.6410000000001</v>
      </c>
      <c r="N135">
        <v>2089.6680000000001</v>
      </c>
      <c r="O135" s="10">
        <v>1197.213</v>
      </c>
      <c r="P135" s="10">
        <v>0.36184433427500895</v>
      </c>
      <c r="Q135" s="8">
        <v>3308.6410000000001</v>
      </c>
      <c r="R135" t="s">
        <v>46</v>
      </c>
      <c r="S135" t="s">
        <v>48</v>
      </c>
      <c r="T135" t="s">
        <v>2931</v>
      </c>
      <c r="U135">
        <v>1</v>
      </c>
      <c r="V135" t="str">
        <f>IF(CleanedTable[[#This Row],[Returned]] = 0,"NO","Yes")</f>
        <v>Yes</v>
      </c>
      <c r="W135" t="s">
        <v>184</v>
      </c>
      <c r="X135" t="s">
        <v>1684</v>
      </c>
      <c r="Y135" s="10">
        <v>21.76</v>
      </c>
      <c r="Z135" s="3">
        <v>44998</v>
      </c>
      <c r="AA135" s="3">
        <v>45004</v>
      </c>
      <c r="AB135" t="s">
        <v>2922</v>
      </c>
      <c r="AC135">
        <v>6</v>
      </c>
    </row>
    <row r="136" spans="1:29" x14ac:dyDescent="0.3">
      <c r="A136" s="3">
        <v>45014</v>
      </c>
      <c r="B136" s="3" t="str">
        <f>TEXT(CleanedTable[[#This Row],[OrderDate]],"mmm")</f>
        <v>Mar</v>
      </c>
      <c r="C136" s="3" t="str">
        <f>TEXT(CleanedTable[[#This Row],[OrderDate]],"yyyy")</f>
        <v>2023</v>
      </c>
      <c r="D136" s="3" t="str">
        <f>TEXT(CleanedTable[[#This Row],[OrderDate]],"mmm yyyy")</f>
        <v>Mar 2023</v>
      </c>
      <c r="E136" t="s">
        <v>20</v>
      </c>
      <c r="F136" t="s">
        <v>27</v>
      </c>
      <c r="G136" s="12">
        <v>4</v>
      </c>
      <c r="H136" s="8">
        <v>565.29</v>
      </c>
      <c r="I136" t="s">
        <v>34</v>
      </c>
      <c r="J136" t="s">
        <v>35</v>
      </c>
      <c r="K136" s="10">
        <v>0.05</v>
      </c>
      <c r="L136" t="s">
        <v>38</v>
      </c>
      <c r="M136">
        <v>2148.1019999999999</v>
      </c>
      <c r="N136">
        <v>1356.6959999999999</v>
      </c>
      <c r="O136" s="10">
        <v>764.36599999999999</v>
      </c>
      <c r="P136" s="10">
        <v>0.35583319600279689</v>
      </c>
      <c r="Q136" s="8">
        <v>2148.1019999999999</v>
      </c>
      <c r="R136" t="s">
        <v>47</v>
      </c>
      <c r="T136" t="s">
        <v>2932</v>
      </c>
      <c r="U136">
        <v>0</v>
      </c>
      <c r="V136" t="str">
        <f>IF(CleanedTable[[#This Row],[Returned]] = 0,"NO","Yes")</f>
        <v>NO</v>
      </c>
      <c r="W136" t="s">
        <v>185</v>
      </c>
      <c r="X136" t="s">
        <v>1685</v>
      </c>
      <c r="Y136" s="10">
        <v>27.04</v>
      </c>
      <c r="Z136" s="3">
        <v>45014</v>
      </c>
      <c r="AA136" s="3">
        <v>45019</v>
      </c>
      <c r="AB136" t="s">
        <v>2923</v>
      </c>
      <c r="AC136">
        <v>5</v>
      </c>
    </row>
    <row r="137" spans="1:29" x14ac:dyDescent="0.3">
      <c r="A137" s="3">
        <v>45121</v>
      </c>
      <c r="B137" s="3" t="str">
        <f>TEXT(CleanedTable[[#This Row],[OrderDate]],"mmm")</f>
        <v>Jul</v>
      </c>
      <c r="C137" s="3" t="str">
        <f>TEXT(CleanedTable[[#This Row],[OrderDate]],"yyyy")</f>
        <v>2023</v>
      </c>
      <c r="D137" s="3" t="str">
        <f>TEXT(CleanedTable[[#This Row],[OrderDate]],"mmm yyyy")</f>
        <v>Jul 2023</v>
      </c>
      <c r="E137" t="s">
        <v>22</v>
      </c>
      <c r="F137" t="s">
        <v>26</v>
      </c>
      <c r="G137" s="12">
        <v>12</v>
      </c>
      <c r="H137" s="8">
        <v>244.8</v>
      </c>
      <c r="I137" t="s">
        <v>31</v>
      </c>
      <c r="J137" t="s">
        <v>35</v>
      </c>
      <c r="K137" s="10">
        <v>0.05</v>
      </c>
      <c r="L137" t="s">
        <v>39</v>
      </c>
      <c r="M137">
        <v>2790.7200000000003</v>
      </c>
      <c r="N137">
        <v>1762.56</v>
      </c>
      <c r="O137" s="10">
        <v>983.41000000000031</v>
      </c>
      <c r="P137" s="10">
        <v>0.35238576424721946</v>
      </c>
      <c r="Q137" s="8">
        <v>2790.72</v>
      </c>
      <c r="R137" t="s">
        <v>43</v>
      </c>
      <c r="S137" t="s">
        <v>48</v>
      </c>
      <c r="T137" t="s">
        <v>2931</v>
      </c>
      <c r="U137">
        <v>0</v>
      </c>
      <c r="V137" t="str">
        <f>IF(CleanedTable[[#This Row],[Returned]] = 0,"NO","Yes")</f>
        <v>NO</v>
      </c>
      <c r="W137" t="s">
        <v>186</v>
      </c>
      <c r="X137" t="s">
        <v>1686</v>
      </c>
      <c r="Y137" s="10">
        <v>44.75</v>
      </c>
      <c r="Z137" s="3">
        <v>45121</v>
      </c>
      <c r="AA137" s="3">
        <v>45130</v>
      </c>
      <c r="AB137" t="s">
        <v>2925</v>
      </c>
      <c r="AC137">
        <v>9</v>
      </c>
    </row>
    <row r="138" spans="1:29" x14ac:dyDescent="0.3">
      <c r="A138" s="3">
        <v>45373</v>
      </c>
      <c r="B138" s="3" t="str">
        <f>TEXT(CleanedTable[[#This Row],[OrderDate]],"mmm")</f>
        <v>Mar</v>
      </c>
      <c r="C138" s="3" t="str">
        <f>TEXT(CleanedTable[[#This Row],[OrderDate]],"yyyy")</f>
        <v>2024</v>
      </c>
      <c r="D138" s="3" t="str">
        <f>TEXT(CleanedTable[[#This Row],[OrderDate]],"mmm yyyy")</f>
        <v>Mar 2024</v>
      </c>
      <c r="E138" t="s">
        <v>23</v>
      </c>
      <c r="F138" t="s">
        <v>24</v>
      </c>
      <c r="G138" s="12">
        <v>13</v>
      </c>
      <c r="H138" s="8">
        <v>290.93</v>
      </c>
      <c r="I138" t="s">
        <v>33</v>
      </c>
      <c r="J138" t="s">
        <v>36</v>
      </c>
      <c r="K138" s="10">
        <v>0.05</v>
      </c>
      <c r="L138" t="s">
        <v>41</v>
      </c>
      <c r="M138">
        <v>3592.9854999999998</v>
      </c>
      <c r="N138">
        <v>2269.2539999999999</v>
      </c>
      <c r="O138" s="10">
        <v>1297.6415</v>
      </c>
      <c r="P138" s="10">
        <v>0.3611596818300547</v>
      </c>
      <c r="Q138" s="8">
        <v>3592.9854999999998</v>
      </c>
      <c r="R138" t="s">
        <v>45</v>
      </c>
      <c r="S138" t="s">
        <v>48</v>
      </c>
      <c r="T138" t="s">
        <v>2931</v>
      </c>
      <c r="U138">
        <v>0</v>
      </c>
      <c r="V138" t="str">
        <f>IF(CleanedTable[[#This Row],[Returned]] = 0,"NO","Yes")</f>
        <v>NO</v>
      </c>
      <c r="W138" t="s">
        <v>187</v>
      </c>
      <c r="X138" t="s">
        <v>1687</v>
      </c>
      <c r="Y138" s="10">
        <v>26.09</v>
      </c>
      <c r="Z138" s="3">
        <v>45373</v>
      </c>
      <c r="AA138" s="3">
        <v>45382</v>
      </c>
      <c r="AB138" t="s">
        <v>2926</v>
      </c>
      <c r="AC138">
        <v>9</v>
      </c>
    </row>
    <row r="139" spans="1:29" x14ac:dyDescent="0.3">
      <c r="A139" s="3">
        <v>45426</v>
      </c>
      <c r="B139" s="3" t="str">
        <f>TEXT(CleanedTable[[#This Row],[OrderDate]],"mmm")</f>
        <v>May</v>
      </c>
      <c r="C139" s="3" t="str">
        <f>TEXT(CleanedTable[[#This Row],[OrderDate]],"yyyy")</f>
        <v>2024</v>
      </c>
      <c r="D139" s="3" t="str">
        <f>TEXT(CleanedTable[[#This Row],[OrderDate]],"mmm yyyy")</f>
        <v>May 2024</v>
      </c>
      <c r="E139" t="s">
        <v>22</v>
      </c>
      <c r="F139" t="s">
        <v>24</v>
      </c>
      <c r="G139" s="12">
        <v>11</v>
      </c>
      <c r="H139" s="8">
        <v>229.49</v>
      </c>
      <c r="I139" t="s">
        <v>33</v>
      </c>
      <c r="J139" t="s">
        <v>36</v>
      </c>
      <c r="K139" s="10">
        <v>0.1</v>
      </c>
      <c r="L139" t="s">
        <v>42</v>
      </c>
      <c r="M139">
        <v>2271.9510000000005</v>
      </c>
      <c r="N139">
        <v>1514.6339999999998</v>
      </c>
      <c r="O139" s="10">
        <v>721.9270000000007</v>
      </c>
      <c r="P139" s="10">
        <v>0.31775641288038364</v>
      </c>
      <c r="Q139" s="8">
        <v>2271.951</v>
      </c>
      <c r="R139" t="s">
        <v>47</v>
      </c>
      <c r="T139" t="s">
        <v>2932</v>
      </c>
      <c r="U139">
        <v>0</v>
      </c>
      <c r="V139" t="str">
        <f>IF(CleanedTable[[#This Row],[Returned]] = 0,"NO","Yes")</f>
        <v>NO</v>
      </c>
      <c r="W139" t="s">
        <v>188</v>
      </c>
      <c r="X139" t="s">
        <v>1688</v>
      </c>
      <c r="Y139" s="10">
        <v>35.39</v>
      </c>
      <c r="Z139" s="3">
        <v>45426</v>
      </c>
      <c r="AA139" s="3">
        <v>45429</v>
      </c>
      <c r="AB139" t="s">
        <v>2925</v>
      </c>
      <c r="AC139">
        <v>3</v>
      </c>
    </row>
    <row r="140" spans="1:29" x14ac:dyDescent="0.3">
      <c r="A140" s="3">
        <v>45076</v>
      </c>
      <c r="B140" s="3" t="str">
        <f>TEXT(CleanedTable[[#This Row],[OrderDate]],"mmm")</f>
        <v>May</v>
      </c>
      <c r="C140" s="3" t="str">
        <f>TEXT(CleanedTable[[#This Row],[OrderDate]],"yyyy")</f>
        <v>2023</v>
      </c>
      <c r="D140" s="3" t="str">
        <f>TEXT(CleanedTable[[#This Row],[OrderDate]],"mmm yyyy")</f>
        <v>May 2023</v>
      </c>
      <c r="E140" t="s">
        <v>22</v>
      </c>
      <c r="F140" t="s">
        <v>28</v>
      </c>
      <c r="G140" s="12">
        <v>2</v>
      </c>
      <c r="H140" s="8">
        <v>427.36</v>
      </c>
      <c r="I140" t="s">
        <v>32</v>
      </c>
      <c r="J140" t="s">
        <v>35</v>
      </c>
      <c r="K140" s="10">
        <v>0.05</v>
      </c>
      <c r="L140" t="s">
        <v>41</v>
      </c>
      <c r="M140">
        <v>811.98400000000004</v>
      </c>
      <c r="N140">
        <v>512.83199999999999</v>
      </c>
      <c r="O140" s="10">
        <v>279.73200000000003</v>
      </c>
      <c r="P140" s="10">
        <v>0.34450432520837848</v>
      </c>
      <c r="Q140" s="8">
        <v>811.98400000000004</v>
      </c>
      <c r="R140" t="s">
        <v>43</v>
      </c>
      <c r="S140" t="s">
        <v>49</v>
      </c>
      <c r="T140" t="s">
        <v>2931</v>
      </c>
      <c r="U140">
        <v>0</v>
      </c>
      <c r="V140" t="str">
        <f>IF(CleanedTable[[#This Row],[Returned]] = 0,"NO","Yes")</f>
        <v>NO</v>
      </c>
      <c r="W140" t="s">
        <v>189</v>
      </c>
      <c r="X140" t="s">
        <v>1689</v>
      </c>
      <c r="Y140" s="10">
        <v>19.420000000000002</v>
      </c>
      <c r="Z140" s="3">
        <v>45076</v>
      </c>
      <c r="AA140" s="3">
        <v>45079</v>
      </c>
      <c r="AB140" t="s">
        <v>2925</v>
      </c>
      <c r="AC140">
        <v>3</v>
      </c>
    </row>
    <row r="141" spans="1:29" x14ac:dyDescent="0.3">
      <c r="A141" s="3">
        <v>45004</v>
      </c>
      <c r="B141" s="3" t="str">
        <f>TEXT(CleanedTable[[#This Row],[OrderDate]],"mmm")</f>
        <v>Mar</v>
      </c>
      <c r="C141" s="3" t="str">
        <f>TEXT(CleanedTable[[#This Row],[OrderDate]],"yyyy")</f>
        <v>2023</v>
      </c>
      <c r="D141" s="3" t="str">
        <f>TEXT(CleanedTable[[#This Row],[OrderDate]],"mmm yyyy")</f>
        <v>Mar 2023</v>
      </c>
      <c r="E141" t="s">
        <v>21</v>
      </c>
      <c r="F141" t="s">
        <v>25</v>
      </c>
      <c r="G141" s="12">
        <v>2</v>
      </c>
      <c r="H141" s="8">
        <v>443.51</v>
      </c>
      <c r="I141" t="s">
        <v>33</v>
      </c>
      <c r="J141" t="s">
        <v>35</v>
      </c>
      <c r="K141" s="10">
        <v>0.05</v>
      </c>
      <c r="L141" t="s">
        <v>38</v>
      </c>
      <c r="M141">
        <v>842.66899999999998</v>
      </c>
      <c r="N141">
        <v>532.21199999999999</v>
      </c>
      <c r="O141" s="10">
        <v>296.80700000000002</v>
      </c>
      <c r="P141" s="10">
        <v>0.35222252153573946</v>
      </c>
      <c r="Q141" s="8">
        <v>842.66899999999998</v>
      </c>
      <c r="R141" t="s">
        <v>47</v>
      </c>
      <c r="T141" t="s">
        <v>2932</v>
      </c>
      <c r="U141">
        <v>0</v>
      </c>
      <c r="V141" t="str">
        <f>IF(CleanedTable[[#This Row],[Returned]] = 0,"NO","Yes")</f>
        <v>NO</v>
      </c>
      <c r="W141" t="s">
        <v>190</v>
      </c>
      <c r="X141" t="s">
        <v>1690</v>
      </c>
      <c r="Y141" s="10">
        <v>13.65</v>
      </c>
      <c r="Z141" s="3">
        <v>45004</v>
      </c>
      <c r="AA141" s="3">
        <v>45007</v>
      </c>
      <c r="AB141" t="s">
        <v>2924</v>
      </c>
      <c r="AC141">
        <v>3</v>
      </c>
    </row>
    <row r="142" spans="1:29" x14ac:dyDescent="0.3">
      <c r="A142" s="3">
        <v>45147</v>
      </c>
      <c r="B142" s="3" t="str">
        <f>TEXT(CleanedTable[[#This Row],[OrderDate]],"mmm")</f>
        <v>Aug</v>
      </c>
      <c r="C142" s="3" t="str">
        <f>TEXT(CleanedTable[[#This Row],[OrderDate]],"yyyy")</f>
        <v>2023</v>
      </c>
      <c r="D142" s="3" t="str">
        <f>TEXT(CleanedTable[[#This Row],[OrderDate]],"mmm yyyy")</f>
        <v>Aug 2023</v>
      </c>
      <c r="E142" t="s">
        <v>22</v>
      </c>
      <c r="F142" t="s">
        <v>26</v>
      </c>
      <c r="G142" s="12">
        <v>13</v>
      </c>
      <c r="H142" s="8">
        <v>280.63</v>
      </c>
      <c r="I142" t="s">
        <v>31</v>
      </c>
      <c r="J142" t="s">
        <v>35</v>
      </c>
      <c r="K142" s="10">
        <v>0.15</v>
      </c>
      <c r="L142" t="s">
        <v>38</v>
      </c>
      <c r="M142">
        <v>3100.9614999999999</v>
      </c>
      <c r="N142">
        <v>2188.9139999999998</v>
      </c>
      <c r="O142" s="10">
        <v>901.90750000000014</v>
      </c>
      <c r="P142" s="10">
        <v>0.29084769352989392</v>
      </c>
      <c r="Q142" s="8">
        <v>3100.9614999999999</v>
      </c>
      <c r="R142" t="s">
        <v>45</v>
      </c>
      <c r="S142" t="s">
        <v>49</v>
      </c>
      <c r="T142" t="s">
        <v>2931</v>
      </c>
      <c r="U142">
        <v>0</v>
      </c>
      <c r="V142" t="str">
        <f>IF(CleanedTable[[#This Row],[Returned]] = 0,"NO","Yes")</f>
        <v>NO</v>
      </c>
      <c r="W142" t="s">
        <v>191</v>
      </c>
      <c r="X142" t="s">
        <v>1691</v>
      </c>
      <c r="Y142" s="10">
        <v>10.14</v>
      </c>
      <c r="Z142" s="3">
        <v>45147</v>
      </c>
      <c r="AA142" s="3">
        <v>45152</v>
      </c>
      <c r="AB142" t="s">
        <v>2925</v>
      </c>
      <c r="AC142">
        <v>5</v>
      </c>
    </row>
    <row r="143" spans="1:29" x14ac:dyDescent="0.3">
      <c r="A143" s="3">
        <v>45578</v>
      </c>
      <c r="B143" s="3" t="str">
        <f>TEXT(CleanedTable[[#This Row],[OrderDate]],"mmm")</f>
        <v>Oct</v>
      </c>
      <c r="C143" s="3" t="str">
        <f>TEXT(CleanedTable[[#This Row],[OrderDate]],"yyyy")</f>
        <v>2024</v>
      </c>
      <c r="D143" s="3" t="str">
        <f>TEXT(CleanedTable[[#This Row],[OrderDate]],"mmm yyyy")</f>
        <v>Oct 2024</v>
      </c>
      <c r="E143" t="s">
        <v>21</v>
      </c>
      <c r="F143" t="s">
        <v>27</v>
      </c>
      <c r="G143" s="12">
        <v>13</v>
      </c>
      <c r="H143" s="8">
        <v>416.66</v>
      </c>
      <c r="I143" t="s">
        <v>31</v>
      </c>
      <c r="J143" t="s">
        <v>35</v>
      </c>
      <c r="K143" s="10">
        <v>0.15</v>
      </c>
      <c r="L143" t="s">
        <v>42</v>
      </c>
      <c r="M143">
        <v>4604.0929999999998</v>
      </c>
      <c r="N143">
        <v>3249.9480000000003</v>
      </c>
      <c r="O143" s="10">
        <v>1332.4049999999995</v>
      </c>
      <c r="P143" s="10">
        <v>0.28939576155390423</v>
      </c>
      <c r="Q143" s="8">
        <v>4604.0929999999998</v>
      </c>
      <c r="R143" t="s">
        <v>45</v>
      </c>
      <c r="S143" t="s">
        <v>50</v>
      </c>
      <c r="T143" t="s">
        <v>2931</v>
      </c>
      <c r="U143">
        <v>0</v>
      </c>
      <c r="V143" t="str">
        <f>IF(CleanedTable[[#This Row],[Returned]] = 0,"NO","Yes")</f>
        <v>NO</v>
      </c>
      <c r="W143" t="s">
        <v>192</v>
      </c>
      <c r="X143" t="s">
        <v>1692</v>
      </c>
      <c r="Y143" s="10">
        <v>21.74</v>
      </c>
      <c r="Z143" s="3">
        <v>45578</v>
      </c>
      <c r="AA143" s="3">
        <v>45585</v>
      </c>
      <c r="AB143" t="s">
        <v>2924</v>
      </c>
      <c r="AC143">
        <v>7</v>
      </c>
    </row>
    <row r="144" spans="1:29" x14ac:dyDescent="0.3">
      <c r="A144" s="3">
        <v>45705</v>
      </c>
      <c r="B144" s="3" t="str">
        <f>TEXT(CleanedTable[[#This Row],[OrderDate]],"mmm")</f>
        <v>Feb</v>
      </c>
      <c r="C144" s="3" t="str">
        <f>TEXT(CleanedTable[[#This Row],[OrderDate]],"yyyy")</f>
        <v>2025</v>
      </c>
      <c r="D144" s="3" t="str">
        <f>TEXT(CleanedTable[[#This Row],[OrderDate]],"mmm yyyy")</f>
        <v>Feb 2025</v>
      </c>
      <c r="E144" t="s">
        <v>19</v>
      </c>
      <c r="F144" t="s">
        <v>27</v>
      </c>
      <c r="G144" s="12">
        <v>11</v>
      </c>
      <c r="H144" s="8">
        <v>589.48</v>
      </c>
      <c r="I144" t="s">
        <v>31</v>
      </c>
      <c r="J144" t="s">
        <v>36</v>
      </c>
      <c r="K144" s="10">
        <v>0</v>
      </c>
      <c r="L144" t="s">
        <v>38</v>
      </c>
      <c r="M144">
        <v>6484.2800000000007</v>
      </c>
      <c r="N144">
        <v>3890.5679999999998</v>
      </c>
      <c r="O144" s="10">
        <v>2543.7820000000011</v>
      </c>
      <c r="P144" s="10">
        <v>0.39229983899523169</v>
      </c>
      <c r="Q144" s="8">
        <v>6484.2800000000007</v>
      </c>
      <c r="R144" t="s">
        <v>43</v>
      </c>
      <c r="S144" t="s">
        <v>50</v>
      </c>
      <c r="T144" t="s">
        <v>2931</v>
      </c>
      <c r="U144">
        <v>0</v>
      </c>
      <c r="V144" t="str">
        <f>IF(CleanedTable[[#This Row],[Returned]] = 0,"NO","Yes")</f>
        <v>NO</v>
      </c>
      <c r="W144" t="s">
        <v>193</v>
      </c>
      <c r="X144" t="s">
        <v>1693</v>
      </c>
      <c r="Y144" s="10">
        <v>49.93</v>
      </c>
      <c r="Z144" s="3">
        <v>45705</v>
      </c>
      <c r="AA144" s="3">
        <v>45713</v>
      </c>
      <c r="AB144" t="s">
        <v>2922</v>
      </c>
      <c r="AC144">
        <v>8</v>
      </c>
    </row>
    <row r="145" spans="1:29" x14ac:dyDescent="0.3">
      <c r="A145" s="3">
        <v>45819</v>
      </c>
      <c r="B145" s="3" t="str">
        <f>TEXT(CleanedTable[[#This Row],[OrderDate]],"mmm")</f>
        <v>Jun</v>
      </c>
      <c r="C145" s="3" t="str">
        <f>TEXT(CleanedTable[[#This Row],[OrderDate]],"yyyy")</f>
        <v>2025</v>
      </c>
      <c r="D145" s="3" t="str">
        <f>TEXT(CleanedTable[[#This Row],[OrderDate]],"mmm yyyy")</f>
        <v>Jun 2025</v>
      </c>
      <c r="E145" t="s">
        <v>21</v>
      </c>
      <c r="F145" t="s">
        <v>25</v>
      </c>
      <c r="G145" s="12">
        <v>18</v>
      </c>
      <c r="H145" s="8">
        <v>152.84</v>
      </c>
      <c r="I145" t="s">
        <v>33</v>
      </c>
      <c r="J145" t="s">
        <v>36</v>
      </c>
      <c r="K145" s="10">
        <v>0.15</v>
      </c>
      <c r="L145" t="s">
        <v>41</v>
      </c>
      <c r="M145">
        <v>2338.4519999999998</v>
      </c>
      <c r="N145">
        <v>1650.6719999999998</v>
      </c>
      <c r="O145" s="10">
        <v>667.48</v>
      </c>
      <c r="P145" s="10">
        <v>0.28543669059702748</v>
      </c>
      <c r="Q145" s="8">
        <v>2338.4520000000002</v>
      </c>
      <c r="R145" t="s">
        <v>46</v>
      </c>
      <c r="S145" t="s">
        <v>48</v>
      </c>
      <c r="T145" t="s">
        <v>2931</v>
      </c>
      <c r="U145">
        <v>1</v>
      </c>
      <c r="V145" t="str">
        <f>IF(CleanedTable[[#This Row],[Returned]] = 0,"NO","Yes")</f>
        <v>Yes</v>
      </c>
      <c r="W145" t="s">
        <v>194</v>
      </c>
      <c r="X145" t="s">
        <v>1694</v>
      </c>
      <c r="Y145" s="10">
        <v>20.3</v>
      </c>
      <c r="Z145" s="3">
        <v>45819</v>
      </c>
      <c r="AA145" s="3">
        <v>45828</v>
      </c>
      <c r="AB145" t="s">
        <v>2924</v>
      </c>
      <c r="AC145">
        <v>9</v>
      </c>
    </row>
    <row r="146" spans="1:29" x14ac:dyDescent="0.3">
      <c r="A146" s="3">
        <v>45411</v>
      </c>
      <c r="B146" s="3" t="str">
        <f>TEXT(CleanedTable[[#This Row],[OrderDate]],"mmm")</f>
        <v>Apr</v>
      </c>
      <c r="C146" s="3" t="str">
        <f>TEXT(CleanedTable[[#This Row],[OrderDate]],"yyyy")</f>
        <v>2024</v>
      </c>
      <c r="D146" s="3" t="str">
        <f>TEXT(CleanedTable[[#This Row],[OrderDate]],"mmm yyyy")</f>
        <v>Apr 2024</v>
      </c>
      <c r="E146" t="s">
        <v>22</v>
      </c>
      <c r="F146" t="s">
        <v>29</v>
      </c>
      <c r="G146" s="12">
        <v>4</v>
      </c>
      <c r="H146" s="8">
        <v>163.66</v>
      </c>
      <c r="I146" t="s">
        <v>31</v>
      </c>
      <c r="J146" t="s">
        <v>36</v>
      </c>
      <c r="K146" s="10">
        <v>0</v>
      </c>
      <c r="L146" t="s">
        <v>42</v>
      </c>
      <c r="M146">
        <v>654.64</v>
      </c>
      <c r="N146">
        <v>392.78399999999999</v>
      </c>
      <c r="O146" s="10">
        <v>230.05599999999998</v>
      </c>
      <c r="P146" s="10">
        <v>0.35142368324575335</v>
      </c>
      <c r="Q146" s="8">
        <v>654.64</v>
      </c>
      <c r="R146" t="s">
        <v>44</v>
      </c>
      <c r="S146" t="s">
        <v>50</v>
      </c>
      <c r="T146" t="s">
        <v>2931</v>
      </c>
      <c r="U146">
        <v>1</v>
      </c>
      <c r="V146" t="str">
        <f>IF(CleanedTable[[#This Row],[Returned]] = 0,"NO","Yes")</f>
        <v>Yes</v>
      </c>
      <c r="W146" t="s">
        <v>195</v>
      </c>
      <c r="X146" t="s">
        <v>1695</v>
      </c>
      <c r="Y146" s="10">
        <v>31.8</v>
      </c>
      <c r="Z146" s="3">
        <v>45411</v>
      </c>
      <c r="AA146" s="3">
        <v>45413</v>
      </c>
      <c r="AB146" t="s">
        <v>2925</v>
      </c>
      <c r="AC146">
        <v>2</v>
      </c>
    </row>
    <row r="147" spans="1:29" x14ac:dyDescent="0.3">
      <c r="A147" s="3">
        <v>45003</v>
      </c>
      <c r="B147" s="3" t="str">
        <f>TEXT(CleanedTable[[#This Row],[OrderDate]],"mmm")</f>
        <v>Mar</v>
      </c>
      <c r="C147" s="3" t="str">
        <f>TEXT(CleanedTable[[#This Row],[OrderDate]],"yyyy")</f>
        <v>2023</v>
      </c>
      <c r="D147" s="3" t="str">
        <f>TEXT(CleanedTable[[#This Row],[OrderDate]],"mmm yyyy")</f>
        <v>Mar 2023</v>
      </c>
      <c r="E147" t="s">
        <v>23</v>
      </c>
      <c r="F147" t="s">
        <v>24</v>
      </c>
      <c r="G147" s="12">
        <v>19</v>
      </c>
      <c r="H147" s="8">
        <v>484.25</v>
      </c>
      <c r="I147" t="s">
        <v>33</v>
      </c>
      <c r="J147" t="s">
        <v>35</v>
      </c>
      <c r="K147" s="10">
        <v>0.15</v>
      </c>
      <c r="L147" t="s">
        <v>42</v>
      </c>
      <c r="M147">
        <v>7820.6374999999998</v>
      </c>
      <c r="N147">
        <v>5520.45</v>
      </c>
      <c r="O147" s="10">
        <v>2270.6774999999998</v>
      </c>
      <c r="P147" s="10">
        <v>0.29034429737984913</v>
      </c>
      <c r="Q147" s="8">
        <v>7820.6374999999998</v>
      </c>
      <c r="R147" t="s">
        <v>46</v>
      </c>
      <c r="S147" t="s">
        <v>48</v>
      </c>
      <c r="T147" t="s">
        <v>2931</v>
      </c>
      <c r="U147">
        <v>1</v>
      </c>
      <c r="V147" t="str">
        <f>IF(CleanedTable[[#This Row],[Returned]] = 0,"NO","Yes")</f>
        <v>Yes</v>
      </c>
      <c r="W147" t="s">
        <v>196</v>
      </c>
      <c r="X147" t="s">
        <v>1696</v>
      </c>
      <c r="Y147" s="10">
        <v>29.51</v>
      </c>
      <c r="Z147" s="3">
        <v>45003</v>
      </c>
      <c r="AA147" s="3">
        <v>45005</v>
      </c>
      <c r="AB147" t="s">
        <v>2926</v>
      </c>
      <c r="AC147">
        <v>2</v>
      </c>
    </row>
    <row r="148" spans="1:29" x14ac:dyDescent="0.3">
      <c r="A148" s="3">
        <v>45647</v>
      </c>
      <c r="B148" s="3" t="str">
        <f>TEXT(CleanedTable[[#This Row],[OrderDate]],"mmm")</f>
        <v>Dec</v>
      </c>
      <c r="C148" s="3" t="str">
        <f>TEXT(CleanedTable[[#This Row],[OrderDate]],"yyyy")</f>
        <v>2024</v>
      </c>
      <c r="D148" s="3" t="str">
        <f>TEXT(CleanedTable[[#This Row],[OrderDate]],"mmm yyyy")</f>
        <v>Dec 2024</v>
      </c>
      <c r="E148" t="s">
        <v>21</v>
      </c>
      <c r="F148" t="s">
        <v>27</v>
      </c>
      <c r="G148" s="12">
        <v>9</v>
      </c>
      <c r="H148" s="8">
        <v>380.4</v>
      </c>
      <c r="I148" t="s">
        <v>31</v>
      </c>
      <c r="J148" t="s">
        <v>36</v>
      </c>
      <c r="K148" s="10">
        <v>0.1</v>
      </c>
      <c r="L148" t="s">
        <v>40</v>
      </c>
      <c r="M148">
        <v>3081.24</v>
      </c>
      <c r="N148">
        <v>2054.16</v>
      </c>
      <c r="O148" s="10">
        <v>996.07999999999993</v>
      </c>
      <c r="P148" s="10">
        <v>0.32327244875439759</v>
      </c>
      <c r="Q148" s="8">
        <v>3081.24</v>
      </c>
      <c r="R148" t="s">
        <v>45</v>
      </c>
      <c r="T148" t="s">
        <v>2932</v>
      </c>
      <c r="U148">
        <v>0</v>
      </c>
      <c r="V148" t="str">
        <f>IF(CleanedTable[[#This Row],[Returned]] = 0,"NO","Yes")</f>
        <v>NO</v>
      </c>
      <c r="W148" t="s">
        <v>197</v>
      </c>
      <c r="X148" t="s">
        <v>1697</v>
      </c>
      <c r="Y148" s="10">
        <v>31</v>
      </c>
      <c r="Z148" s="3">
        <v>45647</v>
      </c>
      <c r="AA148" s="3">
        <v>45653</v>
      </c>
      <c r="AB148" t="s">
        <v>2924</v>
      </c>
      <c r="AC148">
        <v>6</v>
      </c>
    </row>
    <row r="149" spans="1:29" x14ac:dyDescent="0.3">
      <c r="A149" s="3">
        <v>45039</v>
      </c>
      <c r="B149" s="3" t="str">
        <f>TEXT(CleanedTable[[#This Row],[OrderDate]],"mmm")</f>
        <v>Apr</v>
      </c>
      <c r="C149" s="3" t="str">
        <f>TEXT(CleanedTable[[#This Row],[OrderDate]],"yyyy")</f>
        <v>2023</v>
      </c>
      <c r="D149" s="3" t="str">
        <f>TEXT(CleanedTable[[#This Row],[OrderDate]],"mmm yyyy")</f>
        <v>Apr 2023</v>
      </c>
      <c r="E149" t="s">
        <v>23</v>
      </c>
      <c r="F149" t="s">
        <v>27</v>
      </c>
      <c r="G149" s="12">
        <v>17</v>
      </c>
      <c r="H149" s="8">
        <v>332.38</v>
      </c>
      <c r="I149" t="s">
        <v>32</v>
      </c>
      <c r="J149" t="s">
        <v>36</v>
      </c>
      <c r="K149" s="10">
        <v>0.1</v>
      </c>
      <c r="L149" t="s">
        <v>39</v>
      </c>
      <c r="M149">
        <v>5085.4139999999998</v>
      </c>
      <c r="N149">
        <v>3390.2759999999998</v>
      </c>
      <c r="O149" s="10">
        <v>1661.328</v>
      </c>
      <c r="P149" s="10">
        <v>0.32668490706951292</v>
      </c>
      <c r="Q149" s="8">
        <v>5085.4139999999998</v>
      </c>
      <c r="R149" t="s">
        <v>45</v>
      </c>
      <c r="S149" t="s">
        <v>49</v>
      </c>
      <c r="T149" t="s">
        <v>2931</v>
      </c>
      <c r="U149">
        <v>1</v>
      </c>
      <c r="V149" t="str">
        <f>IF(CleanedTable[[#This Row],[Returned]] = 0,"NO","Yes")</f>
        <v>Yes</v>
      </c>
      <c r="W149" t="s">
        <v>198</v>
      </c>
      <c r="X149" t="s">
        <v>1698</v>
      </c>
      <c r="Y149" s="10">
        <v>33.81</v>
      </c>
      <c r="Z149" s="3">
        <v>45039</v>
      </c>
      <c r="AA149" s="3">
        <v>45048</v>
      </c>
      <c r="AB149" t="s">
        <v>2926</v>
      </c>
      <c r="AC149">
        <v>9</v>
      </c>
    </row>
    <row r="150" spans="1:29" x14ac:dyDescent="0.3">
      <c r="A150" s="3">
        <v>45788</v>
      </c>
      <c r="B150" s="3" t="str">
        <f>TEXT(CleanedTable[[#This Row],[OrderDate]],"mmm")</f>
        <v>May</v>
      </c>
      <c r="C150" s="3" t="str">
        <f>TEXT(CleanedTable[[#This Row],[OrderDate]],"yyyy")</f>
        <v>2025</v>
      </c>
      <c r="D150" s="3" t="str">
        <f>TEXT(CleanedTable[[#This Row],[OrderDate]],"mmm yyyy")</f>
        <v>May 2025</v>
      </c>
      <c r="E150" t="s">
        <v>22</v>
      </c>
      <c r="F150" t="s">
        <v>27</v>
      </c>
      <c r="G150" s="12">
        <v>15</v>
      </c>
      <c r="H150" s="8">
        <v>210.94</v>
      </c>
      <c r="I150" t="s">
        <v>33</v>
      </c>
      <c r="J150" t="s">
        <v>35</v>
      </c>
      <c r="K150" s="10">
        <v>0.05</v>
      </c>
      <c r="L150" t="s">
        <v>39</v>
      </c>
      <c r="M150">
        <v>3005.895</v>
      </c>
      <c r="N150">
        <v>1898.4599999999998</v>
      </c>
      <c r="O150" s="10">
        <v>1096.5250000000001</v>
      </c>
      <c r="P150" s="10">
        <v>0.36479151800046244</v>
      </c>
      <c r="Q150" s="8">
        <v>3005.895</v>
      </c>
      <c r="R150" t="s">
        <v>43</v>
      </c>
      <c r="S150" t="s">
        <v>49</v>
      </c>
      <c r="T150" t="s">
        <v>2931</v>
      </c>
      <c r="U150">
        <v>0</v>
      </c>
      <c r="V150" t="str">
        <f>IF(CleanedTable[[#This Row],[Returned]] = 0,"NO","Yes")</f>
        <v>NO</v>
      </c>
      <c r="W150" t="s">
        <v>199</v>
      </c>
      <c r="X150" t="s">
        <v>1699</v>
      </c>
      <c r="Y150" s="10">
        <v>10.91</v>
      </c>
      <c r="Z150" s="3">
        <v>45788</v>
      </c>
      <c r="AA150" s="3">
        <v>45798</v>
      </c>
      <c r="AB150" t="s">
        <v>2925</v>
      </c>
      <c r="AC150">
        <v>10</v>
      </c>
    </row>
    <row r="151" spans="1:29" x14ac:dyDescent="0.3">
      <c r="A151" s="3">
        <v>45354</v>
      </c>
      <c r="B151" s="3" t="str">
        <f>TEXT(CleanedTable[[#This Row],[OrderDate]],"mmm")</f>
        <v>Mar</v>
      </c>
      <c r="C151" s="3" t="str">
        <f>TEXT(CleanedTable[[#This Row],[OrderDate]],"yyyy")</f>
        <v>2024</v>
      </c>
      <c r="D151" s="3" t="str">
        <f>TEXT(CleanedTable[[#This Row],[OrderDate]],"mmm yyyy")</f>
        <v>Mar 2024</v>
      </c>
      <c r="E151" t="s">
        <v>20</v>
      </c>
      <c r="F151" t="s">
        <v>25</v>
      </c>
      <c r="G151" s="12">
        <v>9</v>
      </c>
      <c r="H151" s="8">
        <v>382.8</v>
      </c>
      <c r="I151" t="s">
        <v>34</v>
      </c>
      <c r="J151" t="s">
        <v>35</v>
      </c>
      <c r="K151" s="10">
        <v>0</v>
      </c>
      <c r="L151" t="s">
        <v>37</v>
      </c>
      <c r="M151">
        <v>3445.2000000000003</v>
      </c>
      <c r="N151">
        <v>2067.12</v>
      </c>
      <c r="O151" s="10">
        <v>1330.1400000000003</v>
      </c>
      <c r="P151" s="10">
        <v>0.38608498780912581</v>
      </c>
      <c r="Q151" s="8">
        <v>3445.2</v>
      </c>
      <c r="R151" t="s">
        <v>47</v>
      </c>
      <c r="T151" t="s">
        <v>2932</v>
      </c>
      <c r="U151">
        <v>0</v>
      </c>
      <c r="V151" t="str">
        <f>IF(CleanedTable[[#This Row],[Returned]] = 0,"NO","Yes")</f>
        <v>NO</v>
      </c>
      <c r="W151" t="s">
        <v>200</v>
      </c>
      <c r="X151" t="s">
        <v>1700</v>
      </c>
      <c r="Y151" s="10">
        <v>47.94</v>
      </c>
      <c r="Z151" s="3">
        <v>45354</v>
      </c>
      <c r="AA151" s="3">
        <v>45356</v>
      </c>
      <c r="AB151" t="s">
        <v>2923</v>
      </c>
      <c r="AC151">
        <v>2</v>
      </c>
    </row>
    <row r="152" spans="1:29" x14ac:dyDescent="0.3">
      <c r="A152" s="3">
        <v>45677</v>
      </c>
      <c r="B152" s="3" t="str">
        <f>TEXT(CleanedTable[[#This Row],[OrderDate]],"mmm")</f>
        <v>Jan</v>
      </c>
      <c r="C152" s="3" t="str">
        <f>TEXT(CleanedTable[[#This Row],[OrderDate]],"yyyy")</f>
        <v>2025</v>
      </c>
      <c r="D152" s="3" t="str">
        <f>TEXT(CleanedTable[[#This Row],[OrderDate]],"mmm yyyy")</f>
        <v>Jan 2025</v>
      </c>
      <c r="E152" t="s">
        <v>21</v>
      </c>
      <c r="F152" t="s">
        <v>28</v>
      </c>
      <c r="G152" s="12">
        <v>3</v>
      </c>
      <c r="H152" s="8">
        <v>386.29</v>
      </c>
      <c r="I152" t="s">
        <v>33</v>
      </c>
      <c r="J152" t="s">
        <v>36</v>
      </c>
      <c r="K152" s="10">
        <v>0.15</v>
      </c>
      <c r="L152" t="s">
        <v>40</v>
      </c>
      <c r="M152">
        <v>985.03950000000009</v>
      </c>
      <c r="N152">
        <v>695.322</v>
      </c>
      <c r="O152" s="10">
        <v>257.2675000000001</v>
      </c>
      <c r="P152" s="10">
        <v>0.26117480568038143</v>
      </c>
      <c r="Q152" s="8">
        <v>985.03950000000009</v>
      </c>
      <c r="R152" t="s">
        <v>45</v>
      </c>
      <c r="S152" t="s">
        <v>48</v>
      </c>
      <c r="T152" t="s">
        <v>2931</v>
      </c>
      <c r="U152">
        <v>0</v>
      </c>
      <c r="V152" t="str">
        <f>IF(CleanedTable[[#This Row],[Returned]] = 0,"NO","Yes")</f>
        <v>NO</v>
      </c>
      <c r="W152" t="s">
        <v>201</v>
      </c>
      <c r="X152" t="s">
        <v>1701</v>
      </c>
      <c r="Y152" s="10">
        <v>32.450000000000003</v>
      </c>
      <c r="Z152" s="3">
        <v>45677</v>
      </c>
      <c r="AA152" s="3">
        <v>45687</v>
      </c>
      <c r="AB152" t="s">
        <v>2924</v>
      </c>
      <c r="AC152">
        <v>10</v>
      </c>
    </row>
    <row r="153" spans="1:29" x14ac:dyDescent="0.3">
      <c r="A153" s="3">
        <v>45738</v>
      </c>
      <c r="B153" s="3" t="str">
        <f>TEXT(CleanedTable[[#This Row],[OrderDate]],"mmm")</f>
        <v>Mar</v>
      </c>
      <c r="C153" s="3" t="str">
        <f>TEXT(CleanedTable[[#This Row],[OrderDate]],"yyyy")</f>
        <v>2025</v>
      </c>
      <c r="D153" s="3" t="str">
        <f>TEXT(CleanedTable[[#This Row],[OrderDate]],"mmm yyyy")</f>
        <v>Mar 2025</v>
      </c>
      <c r="E153" t="s">
        <v>21</v>
      </c>
      <c r="F153" t="s">
        <v>29</v>
      </c>
      <c r="G153" s="12">
        <v>5</v>
      </c>
      <c r="H153" s="8">
        <v>225.99</v>
      </c>
      <c r="I153" t="s">
        <v>33</v>
      </c>
      <c r="J153" t="s">
        <v>36</v>
      </c>
      <c r="K153" s="10">
        <v>0</v>
      </c>
      <c r="L153" t="s">
        <v>37</v>
      </c>
      <c r="M153">
        <v>1129.95</v>
      </c>
      <c r="N153">
        <v>677.97</v>
      </c>
      <c r="O153" s="10">
        <v>441.1</v>
      </c>
      <c r="P153" s="10">
        <v>0.39037125536528167</v>
      </c>
      <c r="Q153" s="8">
        <v>1129.95</v>
      </c>
      <c r="R153" t="s">
        <v>43</v>
      </c>
      <c r="S153" t="s">
        <v>49</v>
      </c>
      <c r="T153" t="s">
        <v>2931</v>
      </c>
      <c r="U153">
        <v>1</v>
      </c>
      <c r="V153" t="str">
        <f>IF(CleanedTable[[#This Row],[Returned]] = 0,"NO","Yes")</f>
        <v>Yes</v>
      </c>
      <c r="W153" t="s">
        <v>202</v>
      </c>
      <c r="X153" t="s">
        <v>1702</v>
      </c>
      <c r="Y153" s="10">
        <v>10.88</v>
      </c>
      <c r="Z153" s="3">
        <v>45738</v>
      </c>
      <c r="AA153" s="3">
        <v>45746</v>
      </c>
      <c r="AB153" t="s">
        <v>2924</v>
      </c>
      <c r="AC153">
        <v>8</v>
      </c>
    </row>
    <row r="154" spans="1:29" x14ac:dyDescent="0.3">
      <c r="A154" s="3">
        <v>45744</v>
      </c>
      <c r="B154" s="3" t="str">
        <f>TEXT(CleanedTable[[#This Row],[OrderDate]],"mmm")</f>
        <v>Mar</v>
      </c>
      <c r="C154" s="3" t="str">
        <f>TEXT(CleanedTable[[#This Row],[OrderDate]],"yyyy")</f>
        <v>2025</v>
      </c>
      <c r="D154" s="3" t="str">
        <f>TEXT(CleanedTable[[#This Row],[OrderDate]],"mmm yyyy")</f>
        <v>Mar 2025</v>
      </c>
      <c r="E154" t="s">
        <v>20</v>
      </c>
      <c r="F154" t="s">
        <v>30</v>
      </c>
      <c r="G154" s="12">
        <v>20</v>
      </c>
      <c r="H154" s="8">
        <v>312.56</v>
      </c>
      <c r="I154" t="s">
        <v>34</v>
      </c>
      <c r="J154" t="s">
        <v>36</v>
      </c>
      <c r="K154" s="10">
        <v>0.15</v>
      </c>
      <c r="L154" t="s">
        <v>39</v>
      </c>
      <c r="M154">
        <v>5313.5199999999995</v>
      </c>
      <c r="N154">
        <v>3750.7200000000003</v>
      </c>
      <c r="O154" s="10">
        <v>1515.4099999999992</v>
      </c>
      <c r="P154" s="10">
        <v>0.28519888887215994</v>
      </c>
      <c r="Q154" s="8">
        <v>5313.52</v>
      </c>
      <c r="R154" t="s">
        <v>44</v>
      </c>
      <c r="S154" t="s">
        <v>50</v>
      </c>
      <c r="T154" t="s">
        <v>2931</v>
      </c>
      <c r="U154">
        <v>0</v>
      </c>
      <c r="V154" t="str">
        <f>IF(CleanedTable[[#This Row],[Returned]] = 0,"NO","Yes")</f>
        <v>NO</v>
      </c>
      <c r="W154" t="s">
        <v>203</v>
      </c>
      <c r="X154" t="s">
        <v>1555</v>
      </c>
      <c r="Y154" s="10">
        <v>47.39</v>
      </c>
      <c r="Z154" s="3">
        <v>45744</v>
      </c>
      <c r="AA154" s="3">
        <v>45746</v>
      </c>
      <c r="AB154" t="s">
        <v>2923</v>
      </c>
      <c r="AC154">
        <v>2</v>
      </c>
    </row>
    <row r="155" spans="1:29" x14ac:dyDescent="0.3">
      <c r="A155" s="3">
        <v>45705</v>
      </c>
      <c r="B155" s="3" t="str">
        <f>TEXT(CleanedTable[[#This Row],[OrderDate]],"mmm")</f>
        <v>Feb</v>
      </c>
      <c r="C155" s="3" t="str">
        <f>TEXT(CleanedTable[[#This Row],[OrderDate]],"yyyy")</f>
        <v>2025</v>
      </c>
      <c r="D155" s="3" t="str">
        <f>TEXT(CleanedTable[[#This Row],[OrderDate]],"mmm yyyy")</f>
        <v>Feb 2025</v>
      </c>
      <c r="E155" t="s">
        <v>21</v>
      </c>
      <c r="F155" t="s">
        <v>25</v>
      </c>
      <c r="G155" s="12">
        <v>13</v>
      </c>
      <c r="H155" s="8">
        <v>433.77</v>
      </c>
      <c r="I155" t="s">
        <v>33</v>
      </c>
      <c r="J155" t="s">
        <v>35</v>
      </c>
      <c r="K155" s="10">
        <v>0.05</v>
      </c>
      <c r="L155" t="s">
        <v>39</v>
      </c>
      <c r="M155">
        <v>5357.0595000000003</v>
      </c>
      <c r="N155">
        <v>3383.4059999999999</v>
      </c>
      <c r="O155" s="10">
        <v>1956.0435000000004</v>
      </c>
      <c r="P155" s="10">
        <v>0.36513380148195113</v>
      </c>
      <c r="Q155" s="8">
        <v>5357.0595000000003</v>
      </c>
      <c r="R155" t="s">
        <v>47</v>
      </c>
      <c r="S155" t="s">
        <v>48</v>
      </c>
      <c r="T155" t="s">
        <v>2931</v>
      </c>
      <c r="U155">
        <v>0</v>
      </c>
      <c r="V155" t="str">
        <f>IF(CleanedTable[[#This Row],[Returned]] = 0,"NO","Yes")</f>
        <v>NO</v>
      </c>
      <c r="W155" t="s">
        <v>204</v>
      </c>
      <c r="X155" t="s">
        <v>1703</v>
      </c>
      <c r="Y155" s="10">
        <v>17.61</v>
      </c>
      <c r="Z155" s="3">
        <v>45705</v>
      </c>
      <c r="AA155" s="3">
        <v>45709</v>
      </c>
      <c r="AB155" t="s">
        <v>2924</v>
      </c>
      <c r="AC155">
        <v>4</v>
      </c>
    </row>
    <row r="156" spans="1:29" x14ac:dyDescent="0.3">
      <c r="A156" s="3">
        <v>45604</v>
      </c>
      <c r="B156" s="3" t="str">
        <f>TEXT(CleanedTable[[#This Row],[OrderDate]],"mmm")</f>
        <v>Nov</v>
      </c>
      <c r="C156" s="3" t="str">
        <f>TEXT(CleanedTable[[#This Row],[OrderDate]],"yyyy")</f>
        <v>2024</v>
      </c>
      <c r="D156" s="3" t="str">
        <f>TEXT(CleanedTable[[#This Row],[OrderDate]],"mmm yyyy")</f>
        <v>Nov 2024</v>
      </c>
      <c r="E156" t="s">
        <v>20</v>
      </c>
      <c r="F156" t="s">
        <v>29</v>
      </c>
      <c r="G156" s="12">
        <v>20</v>
      </c>
      <c r="H156" s="8">
        <v>159.33000000000001</v>
      </c>
      <c r="I156" t="s">
        <v>32</v>
      </c>
      <c r="J156" t="s">
        <v>35</v>
      </c>
      <c r="K156" s="10">
        <v>0</v>
      </c>
      <c r="L156" t="s">
        <v>37</v>
      </c>
      <c r="M156">
        <v>3186.6000000000004</v>
      </c>
      <c r="N156">
        <v>1911.96</v>
      </c>
      <c r="O156" s="10">
        <v>1248.3200000000004</v>
      </c>
      <c r="P156" s="10">
        <v>0.39174041297935114</v>
      </c>
      <c r="Q156" s="8">
        <v>3186.6</v>
      </c>
      <c r="R156" t="s">
        <v>43</v>
      </c>
      <c r="S156" t="s">
        <v>48</v>
      </c>
      <c r="T156" t="s">
        <v>2931</v>
      </c>
      <c r="U156">
        <v>0</v>
      </c>
      <c r="V156" t="str">
        <f>IF(CleanedTable[[#This Row],[Returned]] = 0,"NO","Yes")</f>
        <v>NO</v>
      </c>
      <c r="W156" t="s">
        <v>205</v>
      </c>
      <c r="X156" t="s">
        <v>1704</v>
      </c>
      <c r="Y156" s="10">
        <v>26.32</v>
      </c>
      <c r="Z156" s="3">
        <v>45604</v>
      </c>
      <c r="AA156" s="3">
        <v>45607</v>
      </c>
      <c r="AB156" t="s">
        <v>2923</v>
      </c>
      <c r="AC156">
        <v>3</v>
      </c>
    </row>
    <row r="157" spans="1:29" x14ac:dyDescent="0.3">
      <c r="A157" s="3">
        <v>45368</v>
      </c>
      <c r="B157" s="3" t="str">
        <f>TEXT(CleanedTable[[#This Row],[OrderDate]],"mmm")</f>
        <v>Mar</v>
      </c>
      <c r="C157" s="3" t="str">
        <f>TEXT(CleanedTable[[#This Row],[OrderDate]],"yyyy")</f>
        <v>2024</v>
      </c>
      <c r="D157" s="3" t="str">
        <f>TEXT(CleanedTable[[#This Row],[OrderDate]],"mmm yyyy")</f>
        <v>Mar 2024</v>
      </c>
      <c r="E157" t="s">
        <v>20</v>
      </c>
      <c r="F157" t="s">
        <v>25</v>
      </c>
      <c r="G157" s="12">
        <v>18</v>
      </c>
      <c r="H157" s="8">
        <v>32.229999999999997</v>
      </c>
      <c r="I157" t="s">
        <v>31</v>
      </c>
      <c r="J157" t="s">
        <v>36</v>
      </c>
      <c r="K157" s="10">
        <v>0.05</v>
      </c>
      <c r="L157" t="s">
        <v>42</v>
      </c>
      <c r="M157">
        <v>551.13299999999992</v>
      </c>
      <c r="N157">
        <v>348.08399999999995</v>
      </c>
      <c r="O157" s="10">
        <v>197.00899999999999</v>
      </c>
      <c r="P157" s="10">
        <v>0.35746181048857539</v>
      </c>
      <c r="Q157" s="8">
        <v>551.13299999999992</v>
      </c>
      <c r="R157" t="s">
        <v>45</v>
      </c>
      <c r="S157" t="s">
        <v>48</v>
      </c>
      <c r="T157" t="s">
        <v>2931</v>
      </c>
      <c r="U157">
        <v>0</v>
      </c>
      <c r="V157" t="str">
        <f>IF(CleanedTable[[#This Row],[Returned]] = 0,"NO","Yes")</f>
        <v>NO</v>
      </c>
      <c r="W157" t="s">
        <v>206</v>
      </c>
      <c r="X157" t="s">
        <v>1705</v>
      </c>
      <c r="Y157" s="10">
        <v>6.04</v>
      </c>
      <c r="Z157" s="3">
        <v>45368</v>
      </c>
      <c r="AA157" s="3">
        <v>45372</v>
      </c>
      <c r="AB157" t="s">
        <v>2923</v>
      </c>
      <c r="AC157">
        <v>4</v>
      </c>
    </row>
    <row r="158" spans="1:29" x14ac:dyDescent="0.3">
      <c r="A158" s="3">
        <v>45167</v>
      </c>
      <c r="B158" s="3" t="str">
        <f>TEXT(CleanedTable[[#This Row],[OrderDate]],"mmm")</f>
        <v>Aug</v>
      </c>
      <c r="C158" s="3" t="str">
        <f>TEXT(CleanedTable[[#This Row],[OrderDate]],"yyyy")</f>
        <v>2023</v>
      </c>
      <c r="D158" s="3" t="str">
        <f>TEXT(CleanedTable[[#This Row],[OrderDate]],"mmm yyyy")</f>
        <v>Aug 2023</v>
      </c>
      <c r="E158" t="s">
        <v>20</v>
      </c>
      <c r="F158" t="s">
        <v>28</v>
      </c>
      <c r="G158" s="12">
        <v>3</v>
      </c>
      <c r="H158" s="8">
        <v>527.77</v>
      </c>
      <c r="I158" t="s">
        <v>33</v>
      </c>
      <c r="J158" t="s">
        <v>36</v>
      </c>
      <c r="K158" s="10">
        <v>0.1</v>
      </c>
      <c r="L158" t="s">
        <v>42</v>
      </c>
      <c r="M158">
        <v>1424.979</v>
      </c>
      <c r="N158">
        <v>949.98599999999988</v>
      </c>
      <c r="O158" s="10">
        <v>426.3330000000002</v>
      </c>
      <c r="P158" s="10">
        <v>0.29918546168048804</v>
      </c>
      <c r="Q158" s="8">
        <v>1424.979</v>
      </c>
      <c r="R158" t="s">
        <v>47</v>
      </c>
      <c r="S158" t="s">
        <v>48</v>
      </c>
      <c r="T158" t="s">
        <v>2931</v>
      </c>
      <c r="U158">
        <v>0</v>
      </c>
      <c r="V158" t="str">
        <f>IF(CleanedTable[[#This Row],[Returned]] = 0,"NO","Yes")</f>
        <v>NO</v>
      </c>
      <c r="W158" t="s">
        <v>207</v>
      </c>
      <c r="X158" t="s">
        <v>1706</v>
      </c>
      <c r="Y158" s="10">
        <v>48.66</v>
      </c>
      <c r="Z158" s="3">
        <v>45167</v>
      </c>
      <c r="AA158" s="3">
        <v>45170</v>
      </c>
      <c r="AB158" t="s">
        <v>2923</v>
      </c>
      <c r="AC158">
        <v>3</v>
      </c>
    </row>
    <row r="159" spans="1:29" x14ac:dyDescent="0.3">
      <c r="A159" s="3">
        <v>45099</v>
      </c>
      <c r="B159" s="3" t="str">
        <f>TEXT(CleanedTable[[#This Row],[OrderDate]],"mmm")</f>
        <v>Jun</v>
      </c>
      <c r="C159" s="3" t="str">
        <f>TEXT(CleanedTable[[#This Row],[OrderDate]],"yyyy")</f>
        <v>2023</v>
      </c>
      <c r="D159" s="3" t="str">
        <f>TEXT(CleanedTable[[#This Row],[OrderDate]],"mmm yyyy")</f>
        <v>Jun 2023</v>
      </c>
      <c r="E159" t="s">
        <v>20</v>
      </c>
      <c r="F159" t="s">
        <v>27</v>
      </c>
      <c r="G159" s="12">
        <v>14</v>
      </c>
      <c r="H159" s="8">
        <v>291.08999999999997</v>
      </c>
      <c r="I159" t="s">
        <v>32</v>
      </c>
      <c r="J159" t="s">
        <v>36</v>
      </c>
      <c r="K159" s="10">
        <v>0</v>
      </c>
      <c r="L159" t="s">
        <v>40</v>
      </c>
      <c r="M159">
        <v>4075.2599999999998</v>
      </c>
      <c r="N159">
        <v>2445.1559999999995</v>
      </c>
      <c r="O159" s="10">
        <v>1590.1240000000003</v>
      </c>
      <c r="P159" s="10">
        <v>0.39018958299593165</v>
      </c>
      <c r="Q159" s="8">
        <v>4075.26</v>
      </c>
      <c r="R159" t="s">
        <v>47</v>
      </c>
      <c r="T159" t="s">
        <v>2932</v>
      </c>
      <c r="U159">
        <v>0</v>
      </c>
      <c r="V159" t="str">
        <f>IF(CleanedTable[[#This Row],[Returned]] = 0,"NO","Yes")</f>
        <v>NO</v>
      </c>
      <c r="W159" t="s">
        <v>208</v>
      </c>
      <c r="X159" t="s">
        <v>1707</v>
      </c>
      <c r="Y159" s="10">
        <v>39.979999999999997</v>
      </c>
      <c r="Z159" s="3">
        <v>45099</v>
      </c>
      <c r="AA159" s="3">
        <v>45107</v>
      </c>
      <c r="AB159" t="s">
        <v>2923</v>
      </c>
      <c r="AC159">
        <v>8</v>
      </c>
    </row>
    <row r="160" spans="1:29" x14ac:dyDescent="0.3">
      <c r="A160" s="3">
        <v>45346</v>
      </c>
      <c r="B160" s="3" t="str">
        <f>TEXT(CleanedTable[[#This Row],[OrderDate]],"mmm")</f>
        <v>Feb</v>
      </c>
      <c r="C160" s="3" t="str">
        <f>TEXT(CleanedTable[[#This Row],[OrderDate]],"yyyy")</f>
        <v>2024</v>
      </c>
      <c r="D160" s="3" t="str">
        <f>TEXT(CleanedTable[[#This Row],[OrderDate]],"mmm yyyy")</f>
        <v>Feb 2024</v>
      </c>
      <c r="E160" t="s">
        <v>20</v>
      </c>
      <c r="F160" t="s">
        <v>25</v>
      </c>
      <c r="G160" s="12">
        <v>8</v>
      </c>
      <c r="H160" s="8">
        <v>350.12</v>
      </c>
      <c r="I160" t="s">
        <v>33</v>
      </c>
      <c r="J160" t="s">
        <v>36</v>
      </c>
      <c r="K160" s="10">
        <v>0</v>
      </c>
      <c r="L160" t="s">
        <v>38</v>
      </c>
      <c r="M160">
        <v>2800.96</v>
      </c>
      <c r="N160">
        <v>1680.576</v>
      </c>
      <c r="O160" s="10">
        <v>1088.7339999999999</v>
      </c>
      <c r="P160" s="10">
        <v>0.38870030275334166</v>
      </c>
      <c r="Q160" s="8">
        <v>2800.96</v>
      </c>
      <c r="R160" t="s">
        <v>44</v>
      </c>
      <c r="S160" t="s">
        <v>48</v>
      </c>
      <c r="T160" t="s">
        <v>2931</v>
      </c>
      <c r="U160">
        <v>1</v>
      </c>
      <c r="V160" t="str">
        <f>IF(CleanedTable[[#This Row],[Returned]] = 0,"NO","Yes")</f>
        <v>Yes</v>
      </c>
      <c r="W160" t="s">
        <v>209</v>
      </c>
      <c r="X160" t="s">
        <v>1708</v>
      </c>
      <c r="Y160" s="10">
        <v>31.65</v>
      </c>
      <c r="Z160" s="3">
        <v>45346</v>
      </c>
      <c r="AA160" s="3">
        <v>45352</v>
      </c>
      <c r="AB160" t="s">
        <v>2923</v>
      </c>
      <c r="AC160">
        <v>6</v>
      </c>
    </row>
    <row r="161" spans="1:29" x14ac:dyDescent="0.3">
      <c r="A161" s="3">
        <v>45392</v>
      </c>
      <c r="B161" s="3" t="str">
        <f>TEXT(CleanedTable[[#This Row],[OrderDate]],"mmm")</f>
        <v>Apr</v>
      </c>
      <c r="C161" s="3" t="str">
        <f>TEXT(CleanedTable[[#This Row],[OrderDate]],"yyyy")</f>
        <v>2024</v>
      </c>
      <c r="D161" s="3" t="str">
        <f>TEXT(CleanedTable[[#This Row],[OrderDate]],"mmm yyyy")</f>
        <v>Apr 2024</v>
      </c>
      <c r="E161" t="s">
        <v>21</v>
      </c>
      <c r="F161" t="s">
        <v>25</v>
      </c>
      <c r="G161" s="12">
        <v>10</v>
      </c>
      <c r="H161" s="8">
        <v>195.26</v>
      </c>
      <c r="I161" t="s">
        <v>34</v>
      </c>
      <c r="J161" t="s">
        <v>36</v>
      </c>
      <c r="K161" s="10">
        <v>0.05</v>
      </c>
      <c r="L161" t="s">
        <v>38</v>
      </c>
      <c r="M161">
        <v>1854.9699999999998</v>
      </c>
      <c r="N161">
        <v>1171.56</v>
      </c>
      <c r="O161" s="10">
        <v>636.49999999999989</v>
      </c>
      <c r="P161" s="10">
        <v>0.34313223394448428</v>
      </c>
      <c r="Q161" s="8">
        <v>1854.97</v>
      </c>
      <c r="R161" t="s">
        <v>45</v>
      </c>
      <c r="S161" t="s">
        <v>50</v>
      </c>
      <c r="T161" t="s">
        <v>2931</v>
      </c>
      <c r="U161">
        <v>0</v>
      </c>
      <c r="V161" t="str">
        <f>IF(CleanedTable[[#This Row],[Returned]] = 0,"NO","Yes")</f>
        <v>NO</v>
      </c>
      <c r="W161" t="s">
        <v>210</v>
      </c>
      <c r="X161" t="s">
        <v>1709</v>
      </c>
      <c r="Y161" s="10">
        <v>46.91</v>
      </c>
      <c r="Z161" s="3">
        <v>45392</v>
      </c>
      <c r="AA161" s="3">
        <v>45397</v>
      </c>
      <c r="AB161" t="s">
        <v>2924</v>
      </c>
      <c r="AC161">
        <v>5</v>
      </c>
    </row>
    <row r="162" spans="1:29" x14ac:dyDescent="0.3">
      <c r="A162" s="3">
        <v>45060</v>
      </c>
      <c r="B162" s="3" t="str">
        <f>TEXT(CleanedTable[[#This Row],[OrderDate]],"mmm")</f>
        <v>May</v>
      </c>
      <c r="C162" s="3" t="str">
        <f>TEXT(CleanedTable[[#This Row],[OrderDate]],"yyyy")</f>
        <v>2023</v>
      </c>
      <c r="D162" s="3" t="str">
        <f>TEXT(CleanedTable[[#This Row],[OrderDate]],"mmm yyyy")</f>
        <v>May 2023</v>
      </c>
      <c r="E162" t="s">
        <v>20</v>
      </c>
      <c r="F162" t="s">
        <v>28</v>
      </c>
      <c r="G162" s="12">
        <v>13</v>
      </c>
      <c r="H162" s="8">
        <v>291.10000000000002</v>
      </c>
      <c r="I162" t="s">
        <v>32</v>
      </c>
      <c r="J162" t="s">
        <v>35</v>
      </c>
      <c r="K162" s="10">
        <v>0</v>
      </c>
      <c r="L162" t="s">
        <v>38</v>
      </c>
      <c r="M162">
        <v>3784.3</v>
      </c>
      <c r="N162">
        <v>2270.58</v>
      </c>
      <c r="O162" s="10">
        <v>1506.0600000000002</v>
      </c>
      <c r="P162" s="10">
        <v>0.39797584758079435</v>
      </c>
      <c r="Q162" s="8">
        <v>3784.3</v>
      </c>
      <c r="R162" t="s">
        <v>43</v>
      </c>
      <c r="S162" t="s">
        <v>48</v>
      </c>
      <c r="T162" t="s">
        <v>2931</v>
      </c>
      <c r="U162">
        <v>0</v>
      </c>
      <c r="V162" t="str">
        <f>IF(CleanedTable[[#This Row],[Returned]] = 0,"NO","Yes")</f>
        <v>NO</v>
      </c>
      <c r="W162" t="s">
        <v>211</v>
      </c>
      <c r="X162" t="s">
        <v>1710</v>
      </c>
      <c r="Y162" s="10">
        <v>7.66</v>
      </c>
      <c r="Z162" s="3">
        <v>45060</v>
      </c>
      <c r="AA162" s="3">
        <v>45065</v>
      </c>
      <c r="AB162" t="s">
        <v>2923</v>
      </c>
      <c r="AC162">
        <v>5</v>
      </c>
    </row>
    <row r="163" spans="1:29" x14ac:dyDescent="0.3">
      <c r="A163" s="3">
        <v>44996</v>
      </c>
      <c r="B163" s="3" t="str">
        <f>TEXT(CleanedTable[[#This Row],[OrderDate]],"mmm")</f>
        <v>Mar</v>
      </c>
      <c r="C163" s="3" t="str">
        <f>TEXT(CleanedTable[[#This Row],[OrderDate]],"yyyy")</f>
        <v>2023</v>
      </c>
      <c r="D163" s="3" t="str">
        <f>TEXT(CleanedTable[[#This Row],[OrderDate]],"mmm yyyy")</f>
        <v>Mar 2023</v>
      </c>
      <c r="E163" t="s">
        <v>20</v>
      </c>
      <c r="F163" t="s">
        <v>28</v>
      </c>
      <c r="G163" s="12">
        <v>6</v>
      </c>
      <c r="H163" s="8">
        <v>93.92</v>
      </c>
      <c r="I163" t="s">
        <v>31</v>
      </c>
      <c r="J163" t="s">
        <v>35</v>
      </c>
      <c r="K163" s="10">
        <v>0.15</v>
      </c>
      <c r="L163" t="s">
        <v>37</v>
      </c>
      <c r="M163">
        <v>478.99199999999996</v>
      </c>
      <c r="N163">
        <v>338.11199999999997</v>
      </c>
      <c r="O163" s="10">
        <v>129.88</v>
      </c>
      <c r="P163" s="10">
        <v>0.27115275411697898</v>
      </c>
      <c r="Q163" s="8">
        <v>478.99200000000002</v>
      </c>
      <c r="R163" t="s">
        <v>45</v>
      </c>
      <c r="S163" t="s">
        <v>48</v>
      </c>
      <c r="T163" t="s">
        <v>2931</v>
      </c>
      <c r="U163">
        <v>0</v>
      </c>
      <c r="V163" t="str">
        <f>IF(CleanedTable[[#This Row],[Returned]] = 0,"NO","Yes")</f>
        <v>NO</v>
      </c>
      <c r="W163" t="s">
        <v>212</v>
      </c>
      <c r="X163" t="s">
        <v>1711</v>
      </c>
      <c r="Y163" s="10">
        <v>11</v>
      </c>
      <c r="Z163" s="3">
        <v>44996</v>
      </c>
      <c r="AA163" s="3">
        <v>45003</v>
      </c>
      <c r="AB163" t="s">
        <v>2923</v>
      </c>
      <c r="AC163">
        <v>7</v>
      </c>
    </row>
    <row r="164" spans="1:29" x14ac:dyDescent="0.3">
      <c r="A164" s="3">
        <v>45528</v>
      </c>
      <c r="B164" s="3" t="str">
        <f>TEXT(CleanedTable[[#This Row],[OrderDate]],"mmm")</f>
        <v>Aug</v>
      </c>
      <c r="C164" s="3" t="str">
        <f>TEXT(CleanedTable[[#This Row],[OrderDate]],"yyyy")</f>
        <v>2024</v>
      </c>
      <c r="D164" s="3" t="str">
        <f>TEXT(CleanedTable[[#This Row],[OrderDate]],"mmm yyyy")</f>
        <v>Aug 2024</v>
      </c>
      <c r="E164" t="s">
        <v>22</v>
      </c>
      <c r="F164" t="s">
        <v>30</v>
      </c>
      <c r="G164" s="12">
        <v>5</v>
      </c>
      <c r="H164" s="8">
        <v>15.92</v>
      </c>
      <c r="I164" t="s">
        <v>34</v>
      </c>
      <c r="J164" t="s">
        <v>36</v>
      </c>
      <c r="K164" s="10">
        <v>0</v>
      </c>
      <c r="L164" t="s">
        <v>37</v>
      </c>
      <c r="M164">
        <v>79.599999999999994</v>
      </c>
      <c r="N164">
        <v>47.76</v>
      </c>
      <c r="O164" s="10">
        <v>23.179999999999996</v>
      </c>
      <c r="P164" s="10">
        <v>0.29120603015075375</v>
      </c>
      <c r="Q164" s="8">
        <v>79.599999999999994</v>
      </c>
      <c r="R164" t="s">
        <v>45</v>
      </c>
      <c r="T164" t="s">
        <v>2932</v>
      </c>
      <c r="U164">
        <v>1</v>
      </c>
      <c r="V164" t="str">
        <f>IF(CleanedTable[[#This Row],[Returned]] = 0,"NO","Yes")</f>
        <v>Yes</v>
      </c>
      <c r="W164" t="s">
        <v>213</v>
      </c>
      <c r="X164" t="s">
        <v>1712</v>
      </c>
      <c r="Y164" s="10">
        <v>8.66</v>
      </c>
      <c r="Z164" s="3">
        <v>45528</v>
      </c>
      <c r="AA164" s="3">
        <v>45530</v>
      </c>
      <c r="AB164" t="s">
        <v>2925</v>
      </c>
      <c r="AC164">
        <v>2</v>
      </c>
    </row>
    <row r="165" spans="1:29" x14ac:dyDescent="0.3">
      <c r="A165" s="3">
        <v>45345</v>
      </c>
      <c r="B165" s="3" t="str">
        <f>TEXT(CleanedTable[[#This Row],[OrderDate]],"mmm")</f>
        <v>Feb</v>
      </c>
      <c r="C165" s="3" t="str">
        <f>TEXT(CleanedTable[[#This Row],[OrderDate]],"yyyy")</f>
        <v>2024</v>
      </c>
      <c r="D165" s="3" t="str">
        <f>TEXT(CleanedTable[[#This Row],[OrderDate]],"mmm yyyy")</f>
        <v>Feb 2024</v>
      </c>
      <c r="E165" t="s">
        <v>20</v>
      </c>
      <c r="F165" t="s">
        <v>28</v>
      </c>
      <c r="G165" s="12">
        <v>16</v>
      </c>
      <c r="H165" s="8">
        <v>120.22</v>
      </c>
      <c r="I165" t="s">
        <v>34</v>
      </c>
      <c r="J165" t="s">
        <v>36</v>
      </c>
      <c r="K165" s="10">
        <v>0.15</v>
      </c>
      <c r="L165" t="s">
        <v>42</v>
      </c>
      <c r="M165">
        <v>1634.992</v>
      </c>
      <c r="N165">
        <v>1154.1119999999999</v>
      </c>
      <c r="O165" s="10">
        <v>472.46000000000009</v>
      </c>
      <c r="P165" s="10">
        <v>0.28896777476587049</v>
      </c>
      <c r="Q165" s="8">
        <v>1634.992</v>
      </c>
      <c r="R165" t="s">
        <v>47</v>
      </c>
      <c r="S165" t="s">
        <v>49</v>
      </c>
      <c r="T165" t="s">
        <v>2931</v>
      </c>
      <c r="U165">
        <v>0</v>
      </c>
      <c r="V165" t="str">
        <f>IF(CleanedTable[[#This Row],[Returned]] = 0,"NO","Yes")</f>
        <v>NO</v>
      </c>
      <c r="W165" t="s">
        <v>214</v>
      </c>
      <c r="X165" t="s">
        <v>1713</v>
      </c>
      <c r="Y165" s="10">
        <v>8.42</v>
      </c>
      <c r="Z165" s="3">
        <v>45345</v>
      </c>
      <c r="AA165" s="3">
        <v>45352</v>
      </c>
      <c r="AB165" t="s">
        <v>2923</v>
      </c>
      <c r="AC165">
        <v>7</v>
      </c>
    </row>
    <row r="166" spans="1:29" x14ac:dyDescent="0.3">
      <c r="A166" s="3">
        <v>45321</v>
      </c>
      <c r="B166" s="3" t="str">
        <f>TEXT(CleanedTable[[#This Row],[OrderDate]],"mmm")</f>
        <v>Jan</v>
      </c>
      <c r="C166" s="3" t="str">
        <f>TEXT(CleanedTable[[#This Row],[OrderDate]],"yyyy")</f>
        <v>2024</v>
      </c>
      <c r="D166" s="3" t="str">
        <f>TEXT(CleanedTable[[#This Row],[OrderDate]],"mmm yyyy")</f>
        <v>Jan 2024</v>
      </c>
      <c r="E166" t="s">
        <v>21</v>
      </c>
      <c r="F166" t="s">
        <v>28</v>
      </c>
      <c r="G166" s="12">
        <v>11</v>
      </c>
      <c r="H166" s="8">
        <v>118.8</v>
      </c>
      <c r="I166" t="s">
        <v>32</v>
      </c>
      <c r="J166" t="s">
        <v>36</v>
      </c>
      <c r="K166" s="10">
        <v>0.05</v>
      </c>
      <c r="L166" t="s">
        <v>37</v>
      </c>
      <c r="M166">
        <v>1241.4599999999998</v>
      </c>
      <c r="N166">
        <v>784.08</v>
      </c>
      <c r="O166" s="10">
        <v>418.05999999999977</v>
      </c>
      <c r="P166" s="10">
        <v>0.33674866689220745</v>
      </c>
      <c r="Q166" s="8">
        <v>1241.46</v>
      </c>
      <c r="R166" t="s">
        <v>43</v>
      </c>
      <c r="S166" t="s">
        <v>49</v>
      </c>
      <c r="T166" t="s">
        <v>2931</v>
      </c>
      <c r="U166">
        <v>0</v>
      </c>
      <c r="V166" t="str">
        <f>IF(CleanedTable[[#This Row],[Returned]] = 0,"NO","Yes")</f>
        <v>NO</v>
      </c>
      <c r="W166" t="s">
        <v>215</v>
      </c>
      <c r="X166" t="s">
        <v>1714</v>
      </c>
      <c r="Y166" s="10">
        <v>39.32</v>
      </c>
      <c r="Z166" s="3">
        <v>45321</v>
      </c>
      <c r="AA166" s="3">
        <v>45328</v>
      </c>
      <c r="AB166" t="s">
        <v>2924</v>
      </c>
      <c r="AC166">
        <v>7</v>
      </c>
    </row>
    <row r="167" spans="1:29" x14ac:dyDescent="0.3">
      <c r="A167" s="3">
        <v>45314</v>
      </c>
      <c r="B167" s="3" t="str">
        <f>TEXT(CleanedTable[[#This Row],[OrderDate]],"mmm")</f>
        <v>Jan</v>
      </c>
      <c r="C167" s="3" t="str">
        <f>TEXT(CleanedTable[[#This Row],[OrderDate]],"yyyy")</f>
        <v>2024</v>
      </c>
      <c r="D167" s="3" t="str">
        <f>TEXT(CleanedTable[[#This Row],[OrderDate]],"mmm yyyy")</f>
        <v>Jan 2024</v>
      </c>
      <c r="E167" t="s">
        <v>19</v>
      </c>
      <c r="F167" t="s">
        <v>29</v>
      </c>
      <c r="G167" s="12">
        <v>10</v>
      </c>
      <c r="H167" s="8">
        <v>92.45</v>
      </c>
      <c r="I167" t="s">
        <v>33</v>
      </c>
      <c r="J167" t="s">
        <v>35</v>
      </c>
      <c r="K167" s="10">
        <v>0.1</v>
      </c>
      <c r="L167" t="s">
        <v>39</v>
      </c>
      <c r="M167">
        <v>832.05000000000007</v>
      </c>
      <c r="N167">
        <v>554.70000000000005</v>
      </c>
      <c r="O167" s="10">
        <v>234.74</v>
      </c>
      <c r="P167" s="10">
        <v>0.28212246860164653</v>
      </c>
      <c r="Q167" s="8">
        <v>832.05000000000007</v>
      </c>
      <c r="R167" t="s">
        <v>47</v>
      </c>
      <c r="S167" t="s">
        <v>50</v>
      </c>
      <c r="T167" t="s">
        <v>2931</v>
      </c>
      <c r="U167">
        <v>1</v>
      </c>
      <c r="V167" t="str">
        <f>IF(CleanedTable[[#This Row],[Returned]] = 0,"NO","Yes")</f>
        <v>Yes</v>
      </c>
      <c r="W167" t="s">
        <v>216</v>
      </c>
      <c r="X167" t="s">
        <v>1715</v>
      </c>
      <c r="Y167" s="10">
        <v>42.61</v>
      </c>
      <c r="Z167" s="3">
        <v>45314</v>
      </c>
      <c r="AA167" s="3">
        <v>45320</v>
      </c>
      <c r="AB167" t="s">
        <v>2922</v>
      </c>
      <c r="AC167">
        <v>6</v>
      </c>
    </row>
    <row r="168" spans="1:29" x14ac:dyDescent="0.3">
      <c r="A168" s="3">
        <v>44931</v>
      </c>
      <c r="B168" s="3" t="str">
        <f>TEXT(CleanedTable[[#This Row],[OrderDate]],"mmm")</f>
        <v>Jan</v>
      </c>
      <c r="C168" s="3" t="str">
        <f>TEXT(CleanedTable[[#This Row],[OrderDate]],"yyyy")</f>
        <v>2023</v>
      </c>
      <c r="D168" s="3" t="str">
        <f>TEXT(CleanedTable[[#This Row],[OrderDate]],"mmm yyyy")</f>
        <v>Jan 2023</v>
      </c>
      <c r="E168" t="s">
        <v>21</v>
      </c>
      <c r="F168" t="s">
        <v>24</v>
      </c>
      <c r="G168" s="12">
        <v>19</v>
      </c>
      <c r="H168" s="8">
        <v>463.51</v>
      </c>
      <c r="I168" t="s">
        <v>31</v>
      </c>
      <c r="J168" t="s">
        <v>36</v>
      </c>
      <c r="K168" s="10">
        <v>0</v>
      </c>
      <c r="L168" t="s">
        <v>42</v>
      </c>
      <c r="M168">
        <v>8806.69</v>
      </c>
      <c r="N168">
        <v>5284.0140000000001</v>
      </c>
      <c r="O168" s="10">
        <v>3473.2960000000003</v>
      </c>
      <c r="P168" s="10">
        <v>0.39439289903471114</v>
      </c>
      <c r="Q168" s="8">
        <v>8806.69</v>
      </c>
      <c r="R168" t="s">
        <v>47</v>
      </c>
      <c r="S168" t="s">
        <v>48</v>
      </c>
      <c r="T168" t="s">
        <v>2931</v>
      </c>
      <c r="U168">
        <v>0</v>
      </c>
      <c r="V168" t="str">
        <f>IF(CleanedTable[[#This Row],[Returned]] = 0,"NO","Yes")</f>
        <v>NO</v>
      </c>
      <c r="W168" t="s">
        <v>217</v>
      </c>
      <c r="X168" t="s">
        <v>1716</v>
      </c>
      <c r="Y168" s="10">
        <v>49.38</v>
      </c>
      <c r="Z168" s="3">
        <v>44931</v>
      </c>
      <c r="AA168" s="3">
        <v>44934</v>
      </c>
      <c r="AB168" t="s">
        <v>2924</v>
      </c>
      <c r="AC168">
        <v>3</v>
      </c>
    </row>
    <row r="169" spans="1:29" x14ac:dyDescent="0.3">
      <c r="A169" s="3">
        <v>45281</v>
      </c>
      <c r="B169" s="3" t="str">
        <f>TEXT(CleanedTable[[#This Row],[OrderDate]],"mmm")</f>
        <v>Dec</v>
      </c>
      <c r="C169" s="3" t="str">
        <f>TEXT(CleanedTable[[#This Row],[OrderDate]],"yyyy")</f>
        <v>2023</v>
      </c>
      <c r="D169" s="3" t="str">
        <f>TEXT(CleanedTable[[#This Row],[OrderDate]],"mmm yyyy")</f>
        <v>Dec 2023</v>
      </c>
      <c r="E169" t="s">
        <v>21</v>
      </c>
      <c r="F169" t="s">
        <v>26</v>
      </c>
      <c r="G169" s="12">
        <v>7</v>
      </c>
      <c r="H169" s="8">
        <v>284.7</v>
      </c>
      <c r="I169" t="s">
        <v>34</v>
      </c>
      <c r="J169" t="s">
        <v>35</v>
      </c>
      <c r="K169" s="10">
        <v>0.05</v>
      </c>
      <c r="L169" t="s">
        <v>42</v>
      </c>
      <c r="M169">
        <v>1893.2549999999999</v>
      </c>
      <c r="N169">
        <v>1195.74</v>
      </c>
      <c r="O169" s="10">
        <v>692.15499999999986</v>
      </c>
      <c r="P169" s="10">
        <v>0.36558994958418167</v>
      </c>
      <c r="Q169" s="8">
        <v>1893.2550000000001</v>
      </c>
      <c r="R169" t="s">
        <v>44</v>
      </c>
      <c r="T169" t="s">
        <v>2932</v>
      </c>
      <c r="U169">
        <v>0</v>
      </c>
      <c r="V169" t="str">
        <f>IF(CleanedTable[[#This Row],[Returned]] = 0,"NO","Yes")</f>
        <v>NO</v>
      </c>
      <c r="W169" t="s">
        <v>218</v>
      </c>
      <c r="X169" t="s">
        <v>1717</v>
      </c>
      <c r="Y169" s="10">
        <v>5.36</v>
      </c>
      <c r="Z169" s="3">
        <v>45281</v>
      </c>
      <c r="AA169" s="3">
        <v>45290</v>
      </c>
      <c r="AB169" t="s">
        <v>2924</v>
      </c>
      <c r="AC169">
        <v>9</v>
      </c>
    </row>
    <row r="170" spans="1:29" x14ac:dyDescent="0.3">
      <c r="A170" s="3">
        <v>45071</v>
      </c>
      <c r="B170" s="3" t="str">
        <f>TEXT(CleanedTable[[#This Row],[OrderDate]],"mmm")</f>
        <v>May</v>
      </c>
      <c r="C170" s="3" t="str">
        <f>TEXT(CleanedTable[[#This Row],[OrderDate]],"yyyy")</f>
        <v>2023</v>
      </c>
      <c r="D170" s="3" t="str">
        <f>TEXT(CleanedTable[[#This Row],[OrderDate]],"mmm yyyy")</f>
        <v>May 2023</v>
      </c>
      <c r="E170" t="s">
        <v>23</v>
      </c>
      <c r="F170" t="s">
        <v>24</v>
      </c>
      <c r="G170" s="12">
        <v>20</v>
      </c>
      <c r="H170" s="8">
        <v>343.25</v>
      </c>
      <c r="I170" t="s">
        <v>33</v>
      </c>
      <c r="J170" t="s">
        <v>35</v>
      </c>
      <c r="K170" s="10">
        <v>0.05</v>
      </c>
      <c r="L170" t="s">
        <v>38</v>
      </c>
      <c r="M170">
        <v>6521.75</v>
      </c>
      <c r="N170">
        <v>4119</v>
      </c>
      <c r="O170" s="10">
        <v>2373.98</v>
      </c>
      <c r="P170" s="10">
        <v>0.3640096599839</v>
      </c>
      <c r="Q170" s="8">
        <v>6521.75</v>
      </c>
      <c r="R170" t="s">
        <v>46</v>
      </c>
      <c r="S170" t="s">
        <v>48</v>
      </c>
      <c r="T170" t="s">
        <v>2931</v>
      </c>
      <c r="U170">
        <v>0</v>
      </c>
      <c r="V170" t="str">
        <f>IF(CleanedTable[[#This Row],[Returned]] = 0,"NO","Yes")</f>
        <v>NO</v>
      </c>
      <c r="W170" t="s">
        <v>219</v>
      </c>
      <c r="X170" t="s">
        <v>1718</v>
      </c>
      <c r="Y170" s="10">
        <v>28.77</v>
      </c>
      <c r="Z170" s="3">
        <v>45071</v>
      </c>
      <c r="AA170" s="3">
        <v>45079</v>
      </c>
      <c r="AB170" t="s">
        <v>2926</v>
      </c>
      <c r="AC170">
        <v>8</v>
      </c>
    </row>
    <row r="171" spans="1:29" x14ac:dyDescent="0.3">
      <c r="A171" s="3">
        <v>45838</v>
      </c>
      <c r="B171" s="3" t="str">
        <f>TEXT(CleanedTable[[#This Row],[OrderDate]],"mmm")</f>
        <v>Jun</v>
      </c>
      <c r="C171" s="3" t="str">
        <f>TEXT(CleanedTable[[#This Row],[OrderDate]],"yyyy")</f>
        <v>2025</v>
      </c>
      <c r="D171" s="3" t="str">
        <f>TEXT(CleanedTable[[#This Row],[OrderDate]],"mmm yyyy")</f>
        <v>Jun 2025</v>
      </c>
      <c r="E171" t="s">
        <v>22</v>
      </c>
      <c r="F171" t="s">
        <v>27</v>
      </c>
      <c r="G171" s="12">
        <v>6</v>
      </c>
      <c r="H171" s="8">
        <v>95.24</v>
      </c>
      <c r="I171" t="s">
        <v>34</v>
      </c>
      <c r="J171" t="s">
        <v>35</v>
      </c>
      <c r="K171" s="10">
        <v>0.15</v>
      </c>
      <c r="L171" t="s">
        <v>41</v>
      </c>
      <c r="M171">
        <v>485.72399999999993</v>
      </c>
      <c r="N171">
        <v>342.86399999999998</v>
      </c>
      <c r="O171" s="10">
        <v>124.13999999999996</v>
      </c>
      <c r="P171" s="10">
        <v>0.25557724139634852</v>
      </c>
      <c r="Q171" s="8">
        <v>485.72399999999988</v>
      </c>
      <c r="R171" t="s">
        <v>44</v>
      </c>
      <c r="S171" t="s">
        <v>48</v>
      </c>
      <c r="T171" t="s">
        <v>2931</v>
      </c>
      <c r="U171">
        <v>0</v>
      </c>
      <c r="V171" t="str">
        <f>IF(CleanedTable[[#This Row],[Returned]] = 0,"NO","Yes")</f>
        <v>NO</v>
      </c>
      <c r="W171" t="s">
        <v>220</v>
      </c>
      <c r="X171" t="s">
        <v>1719</v>
      </c>
      <c r="Y171" s="10">
        <v>18.72</v>
      </c>
      <c r="Z171" s="3">
        <v>45838</v>
      </c>
      <c r="AA171" s="3">
        <v>45846</v>
      </c>
      <c r="AB171" t="s">
        <v>2925</v>
      </c>
      <c r="AC171">
        <v>8</v>
      </c>
    </row>
    <row r="172" spans="1:29" x14ac:dyDescent="0.3">
      <c r="A172" s="3">
        <v>45700</v>
      </c>
      <c r="B172" s="3" t="str">
        <f>TEXT(CleanedTable[[#This Row],[OrderDate]],"mmm")</f>
        <v>Feb</v>
      </c>
      <c r="C172" s="3" t="str">
        <f>TEXT(CleanedTable[[#This Row],[OrderDate]],"yyyy")</f>
        <v>2025</v>
      </c>
      <c r="D172" s="3" t="str">
        <f>TEXT(CleanedTable[[#This Row],[OrderDate]],"mmm yyyy")</f>
        <v>Feb 2025</v>
      </c>
      <c r="E172" t="s">
        <v>23</v>
      </c>
      <c r="F172" t="s">
        <v>26</v>
      </c>
      <c r="G172" s="12">
        <v>13</v>
      </c>
      <c r="H172" s="8">
        <v>104.8</v>
      </c>
      <c r="I172" t="s">
        <v>31</v>
      </c>
      <c r="J172" t="s">
        <v>36</v>
      </c>
      <c r="K172" s="10">
        <v>0.05</v>
      </c>
      <c r="L172" t="s">
        <v>41</v>
      </c>
      <c r="M172">
        <v>1294.2799999999997</v>
      </c>
      <c r="N172">
        <v>817.43999999999994</v>
      </c>
      <c r="O172" s="10">
        <v>469.04999999999978</v>
      </c>
      <c r="P172" s="10">
        <v>0.36240226226164346</v>
      </c>
      <c r="Q172" s="8">
        <v>1294.28</v>
      </c>
      <c r="R172" t="s">
        <v>45</v>
      </c>
      <c r="S172" t="s">
        <v>50</v>
      </c>
      <c r="T172" t="s">
        <v>2931</v>
      </c>
      <c r="U172">
        <v>0</v>
      </c>
      <c r="V172" t="str">
        <f>IF(CleanedTable[[#This Row],[Returned]] = 0,"NO","Yes")</f>
        <v>NO</v>
      </c>
      <c r="W172" t="s">
        <v>221</v>
      </c>
      <c r="X172" t="s">
        <v>1720</v>
      </c>
      <c r="Y172" s="10">
        <v>7.79</v>
      </c>
      <c r="Z172" s="3">
        <v>45700</v>
      </c>
      <c r="AA172" s="3">
        <v>45707</v>
      </c>
      <c r="AB172" t="s">
        <v>2926</v>
      </c>
      <c r="AC172">
        <v>7</v>
      </c>
    </row>
    <row r="173" spans="1:29" x14ac:dyDescent="0.3">
      <c r="A173" s="3">
        <v>45294</v>
      </c>
      <c r="B173" s="3" t="str">
        <f>TEXT(CleanedTable[[#This Row],[OrderDate]],"mmm")</f>
        <v>Jan</v>
      </c>
      <c r="C173" s="3" t="str">
        <f>TEXT(CleanedTable[[#This Row],[OrderDate]],"yyyy")</f>
        <v>2024</v>
      </c>
      <c r="D173" s="3" t="str">
        <f>TEXT(CleanedTable[[#This Row],[OrderDate]],"mmm yyyy")</f>
        <v>Jan 2024</v>
      </c>
      <c r="E173" t="s">
        <v>23</v>
      </c>
      <c r="F173" t="s">
        <v>29</v>
      </c>
      <c r="G173" s="12">
        <v>12</v>
      </c>
      <c r="H173" s="8">
        <v>164.31</v>
      </c>
      <c r="I173" t="s">
        <v>31</v>
      </c>
      <c r="J173" t="s">
        <v>35</v>
      </c>
      <c r="K173" s="10">
        <v>0.1</v>
      </c>
      <c r="L173" t="s">
        <v>37</v>
      </c>
      <c r="M173">
        <v>1774.548</v>
      </c>
      <c r="N173">
        <v>1183.0319999999999</v>
      </c>
      <c r="O173" s="10">
        <v>552.6160000000001</v>
      </c>
      <c r="P173" s="10">
        <v>0.31141225822012147</v>
      </c>
      <c r="Q173" s="8">
        <v>1774.548</v>
      </c>
      <c r="R173" t="s">
        <v>47</v>
      </c>
      <c r="T173" t="s">
        <v>2932</v>
      </c>
      <c r="U173">
        <v>1</v>
      </c>
      <c r="V173" t="str">
        <f>IF(CleanedTable[[#This Row],[Returned]] = 0,"NO","Yes")</f>
        <v>Yes</v>
      </c>
      <c r="W173" t="s">
        <v>222</v>
      </c>
      <c r="X173" t="s">
        <v>1721</v>
      </c>
      <c r="Y173" s="10">
        <v>38.9</v>
      </c>
      <c r="Z173" s="3">
        <v>45294</v>
      </c>
      <c r="AA173" s="3">
        <v>45298</v>
      </c>
      <c r="AB173" t="s">
        <v>2926</v>
      </c>
      <c r="AC173">
        <v>4</v>
      </c>
    </row>
    <row r="174" spans="1:29" x14ac:dyDescent="0.3">
      <c r="A174" s="3">
        <v>44960</v>
      </c>
      <c r="B174" s="3" t="str">
        <f>TEXT(CleanedTable[[#This Row],[OrderDate]],"mmm")</f>
        <v>Feb</v>
      </c>
      <c r="C174" s="3" t="str">
        <f>TEXT(CleanedTable[[#This Row],[OrderDate]],"yyyy")</f>
        <v>2023</v>
      </c>
      <c r="D174" s="3" t="str">
        <f>TEXT(CleanedTable[[#This Row],[OrderDate]],"mmm yyyy")</f>
        <v>Feb 2023</v>
      </c>
      <c r="E174" t="s">
        <v>20</v>
      </c>
      <c r="F174" t="s">
        <v>29</v>
      </c>
      <c r="G174" s="12">
        <v>10</v>
      </c>
      <c r="H174" s="8">
        <v>325.18</v>
      </c>
      <c r="I174" t="s">
        <v>33</v>
      </c>
      <c r="J174" t="s">
        <v>35</v>
      </c>
      <c r="K174" s="10">
        <v>0.1</v>
      </c>
      <c r="L174" t="s">
        <v>38</v>
      </c>
      <c r="M174">
        <v>2926.6200000000003</v>
      </c>
      <c r="N174">
        <v>1951.08</v>
      </c>
      <c r="O174" s="10">
        <v>928.15000000000043</v>
      </c>
      <c r="P174" s="10">
        <v>0.31714059221901042</v>
      </c>
      <c r="Q174" s="8">
        <v>2926.62</v>
      </c>
      <c r="R174" t="s">
        <v>47</v>
      </c>
      <c r="S174" t="s">
        <v>50</v>
      </c>
      <c r="T174" t="s">
        <v>2931</v>
      </c>
      <c r="U174">
        <v>0</v>
      </c>
      <c r="V174" t="str">
        <f>IF(CleanedTable[[#This Row],[Returned]] = 0,"NO","Yes")</f>
        <v>NO</v>
      </c>
      <c r="W174" t="s">
        <v>223</v>
      </c>
      <c r="X174" t="s">
        <v>1722</v>
      </c>
      <c r="Y174" s="10">
        <v>47.39</v>
      </c>
      <c r="Z174" s="3">
        <v>44960</v>
      </c>
      <c r="AA174" s="3">
        <v>44970</v>
      </c>
      <c r="AB174" t="s">
        <v>2923</v>
      </c>
      <c r="AC174">
        <v>10</v>
      </c>
    </row>
    <row r="175" spans="1:29" x14ac:dyDescent="0.3">
      <c r="A175" s="3">
        <v>45352</v>
      </c>
      <c r="B175" s="3" t="str">
        <f>TEXT(CleanedTable[[#This Row],[OrderDate]],"mmm")</f>
        <v>Mar</v>
      </c>
      <c r="C175" s="3" t="str">
        <f>TEXT(CleanedTable[[#This Row],[OrderDate]],"yyyy")</f>
        <v>2024</v>
      </c>
      <c r="D175" s="3" t="str">
        <f>TEXT(CleanedTable[[#This Row],[OrderDate]],"mmm yyyy")</f>
        <v>Mar 2024</v>
      </c>
      <c r="E175" t="s">
        <v>19</v>
      </c>
      <c r="F175" t="s">
        <v>28</v>
      </c>
      <c r="G175" s="12">
        <v>17</v>
      </c>
      <c r="H175" s="8">
        <v>542.82000000000005</v>
      </c>
      <c r="I175" t="s">
        <v>32</v>
      </c>
      <c r="J175" t="s">
        <v>35</v>
      </c>
      <c r="K175" s="10">
        <v>0</v>
      </c>
      <c r="L175" t="s">
        <v>38</v>
      </c>
      <c r="M175">
        <v>9227.94</v>
      </c>
      <c r="N175">
        <v>5536.7640000000001</v>
      </c>
      <c r="O175" s="10">
        <v>3684.0460000000003</v>
      </c>
      <c r="P175" s="10">
        <v>0.39922734651504022</v>
      </c>
      <c r="Q175" s="8">
        <v>9227.94</v>
      </c>
      <c r="R175" t="s">
        <v>46</v>
      </c>
      <c r="S175" t="s">
        <v>50</v>
      </c>
      <c r="T175" t="s">
        <v>2931</v>
      </c>
      <c r="U175">
        <v>1</v>
      </c>
      <c r="V175" t="str">
        <f>IF(CleanedTable[[#This Row],[Returned]] = 0,"NO","Yes")</f>
        <v>Yes</v>
      </c>
      <c r="W175" t="s">
        <v>224</v>
      </c>
      <c r="X175" t="s">
        <v>1723</v>
      </c>
      <c r="Y175" s="10">
        <v>7.13</v>
      </c>
      <c r="Z175" s="3">
        <v>45352</v>
      </c>
      <c r="AA175" s="3">
        <v>45359</v>
      </c>
      <c r="AB175" t="s">
        <v>2922</v>
      </c>
      <c r="AC175">
        <v>7</v>
      </c>
    </row>
    <row r="176" spans="1:29" x14ac:dyDescent="0.3">
      <c r="A176" s="3">
        <v>45070</v>
      </c>
      <c r="B176" s="3" t="str">
        <f>TEXT(CleanedTable[[#This Row],[OrderDate]],"mmm")</f>
        <v>May</v>
      </c>
      <c r="C176" s="3" t="str">
        <f>TEXT(CleanedTable[[#This Row],[OrderDate]],"yyyy")</f>
        <v>2023</v>
      </c>
      <c r="D176" s="3" t="str">
        <f>TEXT(CleanedTable[[#This Row],[OrderDate]],"mmm yyyy")</f>
        <v>May 2023</v>
      </c>
      <c r="E176" t="s">
        <v>21</v>
      </c>
      <c r="F176" t="s">
        <v>29</v>
      </c>
      <c r="G176" s="12">
        <v>14</v>
      </c>
      <c r="H176" s="8">
        <v>207.48</v>
      </c>
      <c r="I176" t="s">
        <v>33</v>
      </c>
      <c r="J176" t="s">
        <v>35</v>
      </c>
      <c r="K176" s="10">
        <v>0.05</v>
      </c>
      <c r="L176" t="s">
        <v>37</v>
      </c>
      <c r="M176">
        <v>2759.4839999999995</v>
      </c>
      <c r="N176">
        <v>1742.8319999999999</v>
      </c>
      <c r="O176" s="10">
        <v>1010.9519999999995</v>
      </c>
      <c r="P176" s="10">
        <v>0.3663554490622159</v>
      </c>
      <c r="Q176" s="8">
        <v>2759.483999999999</v>
      </c>
      <c r="R176" t="s">
        <v>43</v>
      </c>
      <c r="T176" t="s">
        <v>2932</v>
      </c>
      <c r="U176">
        <v>0</v>
      </c>
      <c r="V176" t="str">
        <f>IF(CleanedTable[[#This Row],[Returned]] = 0,"NO","Yes")</f>
        <v>NO</v>
      </c>
      <c r="W176" t="s">
        <v>225</v>
      </c>
      <c r="X176" t="s">
        <v>1724</v>
      </c>
      <c r="Y176" s="10">
        <v>5.7</v>
      </c>
      <c r="Z176" s="3">
        <v>45070</v>
      </c>
      <c r="AA176" s="3">
        <v>45079</v>
      </c>
      <c r="AB176" t="s">
        <v>2924</v>
      </c>
      <c r="AC176">
        <v>9</v>
      </c>
    </row>
    <row r="177" spans="1:29" x14ac:dyDescent="0.3">
      <c r="A177" s="3">
        <v>45830</v>
      </c>
      <c r="B177" s="3" t="str">
        <f>TEXT(CleanedTable[[#This Row],[OrderDate]],"mmm")</f>
        <v>Jun</v>
      </c>
      <c r="C177" s="3" t="str">
        <f>TEXT(CleanedTable[[#This Row],[OrderDate]],"yyyy")</f>
        <v>2025</v>
      </c>
      <c r="D177" s="3" t="str">
        <f>TEXT(CleanedTable[[#This Row],[OrderDate]],"mmm yyyy")</f>
        <v>Jun 2025</v>
      </c>
      <c r="E177" t="s">
        <v>21</v>
      </c>
      <c r="F177" t="s">
        <v>30</v>
      </c>
      <c r="G177" s="12">
        <v>17</v>
      </c>
      <c r="H177" s="8">
        <v>527.88</v>
      </c>
      <c r="I177" t="s">
        <v>34</v>
      </c>
      <c r="J177" t="s">
        <v>36</v>
      </c>
      <c r="K177" s="10">
        <v>0.05</v>
      </c>
      <c r="L177" t="s">
        <v>42</v>
      </c>
      <c r="M177">
        <v>8525.2619999999988</v>
      </c>
      <c r="N177">
        <v>5384.3760000000002</v>
      </c>
      <c r="O177" s="10">
        <v>3119.5659999999984</v>
      </c>
      <c r="P177" s="10">
        <v>0.36592024972370335</v>
      </c>
      <c r="Q177" s="8">
        <v>8525.2619999999988</v>
      </c>
      <c r="R177" t="s">
        <v>47</v>
      </c>
      <c r="S177" t="s">
        <v>50</v>
      </c>
      <c r="T177" t="s">
        <v>2931</v>
      </c>
      <c r="U177">
        <v>0</v>
      </c>
      <c r="V177" t="str">
        <f>IF(CleanedTable[[#This Row],[Returned]] = 0,"NO","Yes")</f>
        <v>NO</v>
      </c>
      <c r="W177" t="s">
        <v>226</v>
      </c>
      <c r="X177" t="s">
        <v>1725</v>
      </c>
      <c r="Y177" s="10">
        <v>21.32</v>
      </c>
      <c r="Z177" s="3">
        <v>45830</v>
      </c>
      <c r="AA177" s="3">
        <v>45836</v>
      </c>
      <c r="AB177" t="s">
        <v>2924</v>
      </c>
      <c r="AC177">
        <v>6</v>
      </c>
    </row>
    <row r="178" spans="1:29" x14ac:dyDescent="0.3">
      <c r="A178" s="3">
        <v>45026</v>
      </c>
      <c r="B178" s="3" t="str">
        <f>TEXT(CleanedTable[[#This Row],[OrderDate]],"mmm")</f>
        <v>Apr</v>
      </c>
      <c r="C178" s="3" t="str">
        <f>TEXT(CleanedTable[[#This Row],[OrderDate]],"yyyy")</f>
        <v>2023</v>
      </c>
      <c r="D178" s="3" t="str">
        <f>TEXT(CleanedTable[[#This Row],[OrderDate]],"mmm yyyy")</f>
        <v>Apr 2023</v>
      </c>
      <c r="E178" t="s">
        <v>21</v>
      </c>
      <c r="F178" t="s">
        <v>27</v>
      </c>
      <c r="G178" s="12">
        <v>11</v>
      </c>
      <c r="H178" s="8">
        <v>71.209999999999994</v>
      </c>
      <c r="I178" t="s">
        <v>31</v>
      </c>
      <c r="J178" t="s">
        <v>36</v>
      </c>
      <c r="K178" s="10">
        <v>0.05</v>
      </c>
      <c r="L178" t="s">
        <v>41</v>
      </c>
      <c r="M178">
        <v>744.14449999999988</v>
      </c>
      <c r="N178">
        <v>469.98599999999993</v>
      </c>
      <c r="O178" s="10">
        <v>229.95849999999996</v>
      </c>
      <c r="P178" s="10">
        <v>0.30902398660475217</v>
      </c>
      <c r="Q178" s="8">
        <v>744.14449999999988</v>
      </c>
      <c r="R178" t="s">
        <v>43</v>
      </c>
      <c r="T178" t="s">
        <v>2932</v>
      </c>
      <c r="U178">
        <v>1</v>
      </c>
      <c r="V178" t="str">
        <f>IF(CleanedTable[[#This Row],[Returned]] = 0,"NO","Yes")</f>
        <v>Yes</v>
      </c>
      <c r="W178" t="s">
        <v>227</v>
      </c>
      <c r="X178" t="s">
        <v>1726</v>
      </c>
      <c r="Y178" s="10">
        <v>44.2</v>
      </c>
      <c r="Z178" s="3">
        <v>45026</v>
      </c>
      <c r="AA178" s="3">
        <v>45030</v>
      </c>
      <c r="AB178" t="s">
        <v>2924</v>
      </c>
      <c r="AC178">
        <v>4</v>
      </c>
    </row>
    <row r="179" spans="1:29" x14ac:dyDescent="0.3">
      <c r="A179" s="3">
        <v>45720</v>
      </c>
      <c r="B179" s="3" t="str">
        <f>TEXT(CleanedTable[[#This Row],[OrderDate]],"mmm")</f>
        <v>Mar</v>
      </c>
      <c r="C179" s="3" t="str">
        <f>TEXT(CleanedTable[[#This Row],[OrderDate]],"yyyy")</f>
        <v>2025</v>
      </c>
      <c r="D179" s="3" t="str">
        <f>TEXT(CleanedTable[[#This Row],[OrderDate]],"mmm yyyy")</f>
        <v>Mar 2025</v>
      </c>
      <c r="E179" t="s">
        <v>22</v>
      </c>
      <c r="F179" t="s">
        <v>30</v>
      </c>
      <c r="G179" s="12">
        <v>8</v>
      </c>
      <c r="H179" s="8">
        <v>486.07</v>
      </c>
      <c r="I179" t="s">
        <v>31</v>
      </c>
      <c r="J179" t="s">
        <v>36</v>
      </c>
      <c r="K179" s="10">
        <v>0</v>
      </c>
      <c r="L179" t="s">
        <v>40</v>
      </c>
      <c r="M179">
        <v>3888.56</v>
      </c>
      <c r="N179">
        <v>2333.136</v>
      </c>
      <c r="O179" s="10">
        <v>1544.7439999999999</v>
      </c>
      <c r="P179" s="10">
        <v>0.39725348200876415</v>
      </c>
      <c r="Q179" s="8">
        <v>3888.56</v>
      </c>
      <c r="R179" t="s">
        <v>46</v>
      </c>
      <c r="S179" t="s">
        <v>48</v>
      </c>
      <c r="T179" t="s">
        <v>2931</v>
      </c>
      <c r="U179">
        <v>0</v>
      </c>
      <c r="V179" t="str">
        <f>IF(CleanedTable[[#This Row],[Returned]] = 0,"NO","Yes")</f>
        <v>NO</v>
      </c>
      <c r="W179" t="s">
        <v>228</v>
      </c>
      <c r="X179" t="s">
        <v>1727</v>
      </c>
      <c r="Y179" s="10">
        <v>10.68</v>
      </c>
      <c r="Z179" s="3">
        <v>45720</v>
      </c>
      <c r="AA179" s="3">
        <v>45726</v>
      </c>
      <c r="AB179" t="s">
        <v>2925</v>
      </c>
      <c r="AC179">
        <v>6</v>
      </c>
    </row>
    <row r="180" spans="1:29" x14ac:dyDescent="0.3">
      <c r="A180" s="3">
        <v>45484</v>
      </c>
      <c r="B180" s="3" t="str">
        <f>TEXT(CleanedTable[[#This Row],[OrderDate]],"mmm")</f>
        <v>Jul</v>
      </c>
      <c r="C180" s="3" t="str">
        <f>TEXT(CleanedTable[[#This Row],[OrderDate]],"yyyy")</f>
        <v>2024</v>
      </c>
      <c r="D180" s="3" t="str">
        <f>TEXT(CleanedTable[[#This Row],[OrderDate]],"mmm yyyy")</f>
        <v>Jul 2024</v>
      </c>
      <c r="E180" t="s">
        <v>19</v>
      </c>
      <c r="F180" t="s">
        <v>24</v>
      </c>
      <c r="G180" s="12">
        <v>6</v>
      </c>
      <c r="H180" s="8">
        <v>555.03</v>
      </c>
      <c r="I180" t="s">
        <v>33</v>
      </c>
      <c r="J180" t="s">
        <v>36</v>
      </c>
      <c r="K180" s="10">
        <v>0.1</v>
      </c>
      <c r="L180" t="s">
        <v>39</v>
      </c>
      <c r="M180">
        <v>2997.1619999999998</v>
      </c>
      <c r="N180">
        <v>1998.1079999999997</v>
      </c>
      <c r="O180" s="10">
        <v>975.36400000000003</v>
      </c>
      <c r="P180" s="10">
        <v>0.32542918934645509</v>
      </c>
      <c r="Q180" s="8">
        <v>2997.1619999999998</v>
      </c>
      <c r="R180" t="s">
        <v>45</v>
      </c>
      <c r="T180" t="s">
        <v>2932</v>
      </c>
      <c r="U180">
        <v>1</v>
      </c>
      <c r="V180" t="str">
        <f>IF(CleanedTable[[#This Row],[Returned]] = 0,"NO","Yes")</f>
        <v>Yes</v>
      </c>
      <c r="W180" t="s">
        <v>229</v>
      </c>
      <c r="X180" t="s">
        <v>1728</v>
      </c>
      <c r="Y180" s="10">
        <v>23.69</v>
      </c>
      <c r="Z180" s="3">
        <v>45484</v>
      </c>
      <c r="AA180" s="3">
        <v>45493</v>
      </c>
      <c r="AB180" t="s">
        <v>2922</v>
      </c>
      <c r="AC180">
        <v>9</v>
      </c>
    </row>
    <row r="181" spans="1:29" x14ac:dyDescent="0.3">
      <c r="A181" s="3">
        <v>45521</v>
      </c>
      <c r="B181" s="3" t="str">
        <f>TEXT(CleanedTable[[#This Row],[OrderDate]],"mmm")</f>
        <v>Aug</v>
      </c>
      <c r="C181" s="3" t="str">
        <f>TEXT(CleanedTable[[#This Row],[OrderDate]],"yyyy")</f>
        <v>2024</v>
      </c>
      <c r="D181" s="3" t="str">
        <f>TEXT(CleanedTable[[#This Row],[OrderDate]],"mmm yyyy")</f>
        <v>Aug 2024</v>
      </c>
      <c r="E181" t="s">
        <v>19</v>
      </c>
      <c r="F181" t="s">
        <v>26</v>
      </c>
      <c r="G181" s="12">
        <v>13</v>
      </c>
      <c r="H181" s="8">
        <v>421.08</v>
      </c>
      <c r="I181" t="s">
        <v>31</v>
      </c>
      <c r="J181" t="s">
        <v>35</v>
      </c>
      <c r="K181" s="10">
        <v>0</v>
      </c>
      <c r="L181" t="s">
        <v>42</v>
      </c>
      <c r="M181">
        <v>5474.04</v>
      </c>
      <c r="N181">
        <v>3284.4239999999995</v>
      </c>
      <c r="O181" s="10">
        <v>2165.1060000000002</v>
      </c>
      <c r="P181" s="10">
        <v>0.39552250257579413</v>
      </c>
      <c r="Q181" s="8">
        <v>5474.04</v>
      </c>
      <c r="R181" t="s">
        <v>47</v>
      </c>
      <c r="T181" t="s">
        <v>2932</v>
      </c>
      <c r="U181">
        <v>0</v>
      </c>
      <c r="V181" t="str">
        <f>IF(CleanedTable[[#This Row],[Returned]] = 0,"NO","Yes")</f>
        <v>NO</v>
      </c>
      <c r="W181" t="s">
        <v>230</v>
      </c>
      <c r="X181" t="s">
        <v>1729</v>
      </c>
      <c r="Y181" s="10">
        <v>24.51</v>
      </c>
      <c r="Z181" s="3">
        <v>45521</v>
      </c>
      <c r="AA181" s="3">
        <v>45524</v>
      </c>
      <c r="AB181" t="s">
        <v>2922</v>
      </c>
      <c r="AC181">
        <v>3</v>
      </c>
    </row>
    <row r="182" spans="1:29" x14ac:dyDescent="0.3">
      <c r="A182" s="3">
        <v>45838</v>
      </c>
      <c r="B182" s="3" t="str">
        <f>TEXT(CleanedTable[[#This Row],[OrderDate]],"mmm")</f>
        <v>Jun</v>
      </c>
      <c r="C182" s="3" t="str">
        <f>TEXT(CleanedTable[[#This Row],[OrderDate]],"yyyy")</f>
        <v>2025</v>
      </c>
      <c r="D182" s="3" t="str">
        <f>TEXT(CleanedTable[[#This Row],[OrderDate]],"mmm yyyy")</f>
        <v>Jun 2025</v>
      </c>
      <c r="E182" t="s">
        <v>21</v>
      </c>
      <c r="F182" t="s">
        <v>24</v>
      </c>
      <c r="G182" s="12">
        <v>16</v>
      </c>
      <c r="H182" s="8">
        <v>76.17</v>
      </c>
      <c r="I182" t="s">
        <v>34</v>
      </c>
      <c r="J182" t="s">
        <v>35</v>
      </c>
      <c r="K182" s="10">
        <v>0.1</v>
      </c>
      <c r="L182" t="s">
        <v>38</v>
      </c>
      <c r="M182">
        <v>1096.848</v>
      </c>
      <c r="N182">
        <v>731.23199999999997</v>
      </c>
      <c r="O182" s="10">
        <v>323.73599999999999</v>
      </c>
      <c r="P182" s="10">
        <v>0.29515119688416264</v>
      </c>
      <c r="Q182" s="8">
        <v>1096.848</v>
      </c>
      <c r="R182" t="s">
        <v>47</v>
      </c>
      <c r="S182" t="s">
        <v>50</v>
      </c>
      <c r="T182" t="s">
        <v>2931</v>
      </c>
      <c r="U182">
        <v>0</v>
      </c>
      <c r="V182" t="str">
        <f>IF(CleanedTable[[#This Row],[Returned]] = 0,"NO","Yes")</f>
        <v>NO</v>
      </c>
      <c r="W182" t="s">
        <v>231</v>
      </c>
      <c r="X182" t="s">
        <v>1730</v>
      </c>
      <c r="Y182" s="10">
        <v>41.88</v>
      </c>
      <c r="Z182" s="3">
        <v>45838</v>
      </c>
      <c r="AA182" s="3">
        <v>45847</v>
      </c>
      <c r="AB182" t="s">
        <v>2924</v>
      </c>
      <c r="AC182">
        <v>9</v>
      </c>
    </row>
    <row r="183" spans="1:29" x14ac:dyDescent="0.3">
      <c r="A183" s="3">
        <v>45602</v>
      </c>
      <c r="B183" s="3" t="str">
        <f>TEXT(CleanedTable[[#This Row],[OrderDate]],"mmm")</f>
        <v>Nov</v>
      </c>
      <c r="C183" s="3" t="str">
        <f>TEXT(CleanedTable[[#This Row],[OrderDate]],"yyyy")</f>
        <v>2024</v>
      </c>
      <c r="D183" s="3" t="str">
        <f>TEXT(CleanedTable[[#This Row],[OrderDate]],"mmm yyyy")</f>
        <v>Nov 2024</v>
      </c>
      <c r="E183" t="s">
        <v>20</v>
      </c>
      <c r="F183" t="s">
        <v>30</v>
      </c>
      <c r="G183" s="12">
        <v>3</v>
      </c>
      <c r="H183" s="8">
        <v>503.55</v>
      </c>
      <c r="I183" t="s">
        <v>33</v>
      </c>
      <c r="J183" t="s">
        <v>35</v>
      </c>
      <c r="K183" s="10">
        <v>0.1</v>
      </c>
      <c r="L183" t="s">
        <v>42</v>
      </c>
      <c r="M183">
        <v>1359.585</v>
      </c>
      <c r="N183">
        <v>906.39</v>
      </c>
      <c r="O183" s="10">
        <v>415.70500000000004</v>
      </c>
      <c r="P183" s="10">
        <v>0.3057587425574716</v>
      </c>
      <c r="Q183" s="8">
        <v>1359.585</v>
      </c>
      <c r="R183" t="s">
        <v>45</v>
      </c>
      <c r="S183" t="s">
        <v>50</v>
      </c>
      <c r="T183" t="s">
        <v>2931</v>
      </c>
      <c r="U183">
        <v>0</v>
      </c>
      <c r="V183" t="str">
        <f>IF(CleanedTable[[#This Row],[Returned]] = 0,"NO","Yes")</f>
        <v>NO</v>
      </c>
      <c r="W183" t="s">
        <v>232</v>
      </c>
      <c r="X183" t="s">
        <v>1731</v>
      </c>
      <c r="Y183" s="10">
        <v>37.49</v>
      </c>
      <c r="Z183" s="3">
        <v>45602</v>
      </c>
      <c r="AA183" s="3">
        <v>45609</v>
      </c>
      <c r="AB183" t="s">
        <v>2923</v>
      </c>
      <c r="AC183">
        <v>7</v>
      </c>
    </row>
    <row r="184" spans="1:29" x14ac:dyDescent="0.3">
      <c r="A184" s="3">
        <v>45748</v>
      </c>
      <c r="B184" s="3" t="str">
        <f>TEXT(CleanedTable[[#This Row],[OrderDate]],"mmm")</f>
        <v>Apr</v>
      </c>
      <c r="C184" s="3" t="str">
        <f>TEXT(CleanedTable[[#This Row],[OrderDate]],"yyyy")</f>
        <v>2025</v>
      </c>
      <c r="D184" s="3" t="str">
        <f>TEXT(CleanedTable[[#This Row],[OrderDate]],"mmm yyyy")</f>
        <v>Apr 2025</v>
      </c>
      <c r="E184" t="s">
        <v>19</v>
      </c>
      <c r="F184" t="s">
        <v>29</v>
      </c>
      <c r="G184" s="12">
        <v>5</v>
      </c>
      <c r="H184" s="8">
        <v>31.56</v>
      </c>
      <c r="I184" t="s">
        <v>34</v>
      </c>
      <c r="J184" t="s">
        <v>36</v>
      </c>
      <c r="K184" s="10">
        <v>0</v>
      </c>
      <c r="L184" t="s">
        <v>41</v>
      </c>
      <c r="M184">
        <v>157.79999999999998</v>
      </c>
      <c r="N184">
        <v>94.68</v>
      </c>
      <c r="O184" s="10">
        <v>33.559999999999974</v>
      </c>
      <c r="P184" s="10">
        <v>0.21267427122940416</v>
      </c>
      <c r="Q184" s="8">
        <v>157.80000000000001</v>
      </c>
      <c r="R184" t="s">
        <v>43</v>
      </c>
      <c r="S184" t="s">
        <v>49</v>
      </c>
      <c r="T184" t="s">
        <v>2931</v>
      </c>
      <c r="U184">
        <v>1</v>
      </c>
      <c r="V184" t="str">
        <f>IF(CleanedTable[[#This Row],[Returned]] = 0,"NO","Yes")</f>
        <v>Yes</v>
      </c>
      <c r="W184" t="s">
        <v>233</v>
      </c>
      <c r="X184" t="s">
        <v>1732</v>
      </c>
      <c r="Y184" s="10">
        <v>29.56</v>
      </c>
      <c r="Z184" s="3">
        <v>45748</v>
      </c>
      <c r="AA184" s="3">
        <v>45751</v>
      </c>
      <c r="AB184" t="s">
        <v>2922</v>
      </c>
      <c r="AC184">
        <v>3</v>
      </c>
    </row>
    <row r="185" spans="1:29" x14ac:dyDescent="0.3">
      <c r="A185" s="3">
        <v>45474</v>
      </c>
      <c r="B185" s="3" t="str">
        <f>TEXT(CleanedTable[[#This Row],[OrderDate]],"mmm")</f>
        <v>Jul</v>
      </c>
      <c r="C185" s="3" t="str">
        <f>TEXT(CleanedTable[[#This Row],[OrderDate]],"yyyy")</f>
        <v>2024</v>
      </c>
      <c r="D185" s="3" t="str">
        <f>TEXT(CleanedTable[[#This Row],[OrderDate]],"mmm yyyy")</f>
        <v>Jul 2024</v>
      </c>
      <c r="E185" t="s">
        <v>23</v>
      </c>
      <c r="F185" t="s">
        <v>24</v>
      </c>
      <c r="G185" s="12">
        <v>16</v>
      </c>
      <c r="H185" s="8">
        <v>72.92</v>
      </c>
      <c r="I185" t="s">
        <v>33</v>
      </c>
      <c r="J185" t="s">
        <v>35</v>
      </c>
      <c r="K185" s="10">
        <v>0.05</v>
      </c>
      <c r="L185" t="s">
        <v>39</v>
      </c>
      <c r="M185">
        <v>1108.384</v>
      </c>
      <c r="N185">
        <v>700.03200000000004</v>
      </c>
      <c r="O185" s="10">
        <v>402.65199999999999</v>
      </c>
      <c r="P185" s="10">
        <v>0.36327843058001558</v>
      </c>
      <c r="Q185" s="8">
        <v>1108.384</v>
      </c>
      <c r="R185" t="s">
        <v>47</v>
      </c>
      <c r="S185" t="s">
        <v>48</v>
      </c>
      <c r="T185" t="s">
        <v>2931</v>
      </c>
      <c r="U185">
        <v>0</v>
      </c>
      <c r="V185" t="str">
        <f>IF(CleanedTable[[#This Row],[Returned]] = 0,"NO","Yes")</f>
        <v>NO</v>
      </c>
      <c r="W185" t="s">
        <v>234</v>
      </c>
      <c r="X185" t="s">
        <v>1733</v>
      </c>
      <c r="Y185" s="10">
        <v>5.7</v>
      </c>
      <c r="Z185" s="3">
        <v>45474</v>
      </c>
      <c r="AA185" s="3">
        <v>45479</v>
      </c>
      <c r="AB185" t="s">
        <v>2926</v>
      </c>
      <c r="AC185">
        <v>5</v>
      </c>
    </row>
    <row r="186" spans="1:29" x14ac:dyDescent="0.3">
      <c r="A186" s="3">
        <v>45269</v>
      </c>
      <c r="B186" s="3" t="str">
        <f>TEXT(CleanedTable[[#This Row],[OrderDate]],"mmm")</f>
        <v>Dec</v>
      </c>
      <c r="C186" s="3" t="str">
        <f>TEXT(CleanedTable[[#This Row],[OrderDate]],"yyyy")</f>
        <v>2023</v>
      </c>
      <c r="D186" s="3" t="str">
        <f>TEXT(CleanedTable[[#This Row],[OrderDate]],"mmm yyyy")</f>
        <v>Dec 2023</v>
      </c>
      <c r="E186" t="s">
        <v>23</v>
      </c>
      <c r="F186" t="s">
        <v>30</v>
      </c>
      <c r="G186" s="12">
        <v>18</v>
      </c>
      <c r="H186" s="8">
        <v>421.93</v>
      </c>
      <c r="I186" t="s">
        <v>34</v>
      </c>
      <c r="J186" t="s">
        <v>36</v>
      </c>
      <c r="K186" s="10">
        <v>0.05</v>
      </c>
      <c r="L186" t="s">
        <v>42</v>
      </c>
      <c r="M186">
        <v>7215.0029999999997</v>
      </c>
      <c r="N186">
        <v>4556.8440000000001</v>
      </c>
      <c r="O186" s="10">
        <v>2634.7389999999996</v>
      </c>
      <c r="P186" s="10">
        <v>0.36517503873525758</v>
      </c>
      <c r="Q186" s="8">
        <v>7215.0029999999997</v>
      </c>
      <c r="R186" t="s">
        <v>44</v>
      </c>
      <c r="S186" t="s">
        <v>50</v>
      </c>
      <c r="T186" t="s">
        <v>2931</v>
      </c>
      <c r="U186">
        <v>0</v>
      </c>
      <c r="V186" t="str">
        <f>IF(CleanedTable[[#This Row],[Returned]] = 0,"NO","Yes")</f>
        <v>NO</v>
      </c>
      <c r="W186" t="s">
        <v>235</v>
      </c>
      <c r="X186" t="s">
        <v>1734</v>
      </c>
      <c r="Y186" s="10">
        <v>23.42</v>
      </c>
      <c r="Z186" s="3">
        <v>45269</v>
      </c>
      <c r="AA186" s="3">
        <v>45278</v>
      </c>
      <c r="AB186" t="s">
        <v>2926</v>
      </c>
      <c r="AC186">
        <v>9</v>
      </c>
    </row>
    <row r="187" spans="1:29" x14ac:dyDescent="0.3">
      <c r="A187" s="3">
        <v>45104</v>
      </c>
      <c r="B187" s="3" t="str">
        <f>TEXT(CleanedTable[[#This Row],[OrderDate]],"mmm")</f>
        <v>Jun</v>
      </c>
      <c r="C187" s="3" t="str">
        <f>TEXT(CleanedTable[[#This Row],[OrderDate]],"yyyy")</f>
        <v>2023</v>
      </c>
      <c r="D187" s="3" t="str">
        <f>TEXT(CleanedTable[[#This Row],[OrderDate]],"mmm yyyy")</f>
        <v>Jun 2023</v>
      </c>
      <c r="E187" t="s">
        <v>21</v>
      </c>
      <c r="F187" t="s">
        <v>26</v>
      </c>
      <c r="G187" s="12">
        <v>15</v>
      </c>
      <c r="H187" s="8">
        <v>478.41</v>
      </c>
      <c r="I187" t="s">
        <v>31</v>
      </c>
      <c r="J187" t="s">
        <v>36</v>
      </c>
      <c r="K187" s="10">
        <v>0.1</v>
      </c>
      <c r="L187" t="s">
        <v>40</v>
      </c>
      <c r="M187">
        <v>6458.5350000000008</v>
      </c>
      <c r="N187">
        <v>4305.6899999999996</v>
      </c>
      <c r="O187" s="10">
        <v>2117.2150000000011</v>
      </c>
      <c r="P187" s="10">
        <v>0.32781660237190025</v>
      </c>
      <c r="Q187" s="8">
        <v>6458.5350000000008</v>
      </c>
      <c r="R187" t="s">
        <v>46</v>
      </c>
      <c r="S187" t="s">
        <v>48</v>
      </c>
      <c r="T187" t="s">
        <v>2931</v>
      </c>
      <c r="U187">
        <v>0</v>
      </c>
      <c r="V187" t="str">
        <f>IF(CleanedTable[[#This Row],[Returned]] = 0,"NO","Yes")</f>
        <v>NO</v>
      </c>
      <c r="W187" t="s">
        <v>236</v>
      </c>
      <c r="X187" t="s">
        <v>1735</v>
      </c>
      <c r="Y187" s="10">
        <v>35.630000000000003</v>
      </c>
      <c r="Z187" s="3">
        <v>45104</v>
      </c>
      <c r="AA187" s="3">
        <v>45107</v>
      </c>
      <c r="AB187" t="s">
        <v>2924</v>
      </c>
      <c r="AC187">
        <v>3</v>
      </c>
    </row>
    <row r="188" spans="1:29" x14ac:dyDescent="0.3">
      <c r="A188" s="3">
        <v>45121</v>
      </c>
      <c r="B188" s="3" t="str">
        <f>TEXT(CleanedTable[[#This Row],[OrderDate]],"mmm")</f>
        <v>Jul</v>
      </c>
      <c r="C188" s="3" t="str">
        <f>TEXT(CleanedTable[[#This Row],[OrderDate]],"yyyy")</f>
        <v>2023</v>
      </c>
      <c r="D188" s="3" t="str">
        <f>TEXT(CleanedTable[[#This Row],[OrderDate]],"mmm yyyy")</f>
        <v>Jul 2023</v>
      </c>
      <c r="E188" t="s">
        <v>20</v>
      </c>
      <c r="F188" t="s">
        <v>27</v>
      </c>
      <c r="G188" s="12">
        <v>9</v>
      </c>
      <c r="H188" s="8">
        <v>501.74</v>
      </c>
      <c r="I188" t="s">
        <v>34</v>
      </c>
      <c r="J188" t="s">
        <v>36</v>
      </c>
      <c r="K188" s="10">
        <v>0</v>
      </c>
      <c r="L188" t="s">
        <v>42</v>
      </c>
      <c r="M188">
        <v>4515.66</v>
      </c>
      <c r="N188">
        <v>2709.3959999999997</v>
      </c>
      <c r="O188" s="10">
        <v>1766.5240000000001</v>
      </c>
      <c r="P188" s="10">
        <v>0.39119951457815694</v>
      </c>
      <c r="Q188" s="8">
        <v>4515.66</v>
      </c>
      <c r="R188" t="s">
        <v>43</v>
      </c>
      <c r="S188" t="s">
        <v>49</v>
      </c>
      <c r="T188" t="s">
        <v>2931</v>
      </c>
      <c r="U188">
        <v>1</v>
      </c>
      <c r="V188" t="str">
        <f>IF(CleanedTable[[#This Row],[Returned]] = 0,"NO","Yes")</f>
        <v>Yes</v>
      </c>
      <c r="W188" t="s">
        <v>237</v>
      </c>
      <c r="X188" t="s">
        <v>1736</v>
      </c>
      <c r="Y188" s="10">
        <v>39.74</v>
      </c>
      <c r="Z188" s="3">
        <v>45121</v>
      </c>
      <c r="AA188" s="3">
        <v>45124</v>
      </c>
      <c r="AB188" t="s">
        <v>2923</v>
      </c>
      <c r="AC188">
        <v>3</v>
      </c>
    </row>
    <row r="189" spans="1:29" x14ac:dyDescent="0.3">
      <c r="A189" s="3">
        <v>44965</v>
      </c>
      <c r="B189" s="3" t="str">
        <f>TEXT(CleanedTable[[#This Row],[OrderDate]],"mmm")</f>
        <v>Feb</v>
      </c>
      <c r="C189" s="3" t="str">
        <f>TEXT(CleanedTable[[#This Row],[OrderDate]],"yyyy")</f>
        <v>2023</v>
      </c>
      <c r="D189" s="3" t="str">
        <f>TEXT(CleanedTable[[#This Row],[OrderDate]],"mmm yyyy")</f>
        <v>Feb 2023</v>
      </c>
      <c r="E189" t="s">
        <v>20</v>
      </c>
      <c r="F189" t="s">
        <v>29</v>
      </c>
      <c r="G189" s="12">
        <v>7</v>
      </c>
      <c r="H189" s="8">
        <v>247.53</v>
      </c>
      <c r="I189" t="s">
        <v>33</v>
      </c>
      <c r="J189" t="s">
        <v>35</v>
      </c>
      <c r="K189" s="10">
        <v>0.15</v>
      </c>
      <c r="L189" t="s">
        <v>38</v>
      </c>
      <c r="M189">
        <v>1472.8035</v>
      </c>
      <c r="N189">
        <v>1039.626</v>
      </c>
      <c r="O189" s="10">
        <v>419.54750000000001</v>
      </c>
      <c r="P189" s="10">
        <v>0.28486318779117514</v>
      </c>
      <c r="Q189" s="8">
        <v>1472.8035</v>
      </c>
      <c r="R189" t="s">
        <v>44</v>
      </c>
      <c r="S189" t="s">
        <v>48</v>
      </c>
      <c r="T189" t="s">
        <v>2931</v>
      </c>
      <c r="U189">
        <v>0</v>
      </c>
      <c r="V189" t="str">
        <f>IF(CleanedTable[[#This Row],[Returned]] = 0,"NO","Yes")</f>
        <v>NO</v>
      </c>
      <c r="W189" t="s">
        <v>238</v>
      </c>
      <c r="X189" t="s">
        <v>1737</v>
      </c>
      <c r="Y189" s="10">
        <v>13.63</v>
      </c>
      <c r="Z189" s="3">
        <v>44965</v>
      </c>
      <c r="AA189" s="3">
        <v>44973</v>
      </c>
      <c r="AB189" t="s">
        <v>2923</v>
      </c>
      <c r="AC189">
        <v>8</v>
      </c>
    </row>
    <row r="190" spans="1:29" x14ac:dyDescent="0.3">
      <c r="A190" s="3">
        <v>45471</v>
      </c>
      <c r="B190" s="3" t="str">
        <f>TEXT(CleanedTable[[#This Row],[OrderDate]],"mmm")</f>
        <v>Jun</v>
      </c>
      <c r="C190" s="3" t="str">
        <f>TEXT(CleanedTable[[#This Row],[OrderDate]],"yyyy")</f>
        <v>2024</v>
      </c>
      <c r="D190" s="3" t="str">
        <f>TEXT(CleanedTable[[#This Row],[OrderDate]],"mmm yyyy")</f>
        <v>Jun 2024</v>
      </c>
      <c r="E190" t="s">
        <v>23</v>
      </c>
      <c r="F190" t="s">
        <v>29</v>
      </c>
      <c r="G190" s="12">
        <v>6</v>
      </c>
      <c r="H190" s="8">
        <v>176.51</v>
      </c>
      <c r="I190" t="s">
        <v>33</v>
      </c>
      <c r="J190" t="s">
        <v>35</v>
      </c>
      <c r="K190" s="10">
        <v>0.15</v>
      </c>
      <c r="L190" t="s">
        <v>40</v>
      </c>
      <c r="M190">
        <v>900.20099999999991</v>
      </c>
      <c r="N190">
        <v>635.43599999999992</v>
      </c>
      <c r="O190" s="10">
        <v>233.74499999999998</v>
      </c>
      <c r="P190" s="10">
        <v>0.25965867622897554</v>
      </c>
      <c r="Q190" s="8">
        <v>900.20099999999991</v>
      </c>
      <c r="R190" t="s">
        <v>46</v>
      </c>
      <c r="S190" t="s">
        <v>48</v>
      </c>
      <c r="T190" t="s">
        <v>2931</v>
      </c>
      <c r="U190">
        <v>1</v>
      </c>
      <c r="V190" t="str">
        <f>IF(CleanedTable[[#This Row],[Returned]] = 0,"NO","Yes")</f>
        <v>Yes</v>
      </c>
      <c r="W190" t="s">
        <v>239</v>
      </c>
      <c r="X190" t="s">
        <v>1738</v>
      </c>
      <c r="Y190" s="10">
        <v>31.02</v>
      </c>
      <c r="Z190" s="3">
        <v>45471</v>
      </c>
      <c r="AA190" s="3">
        <v>45480</v>
      </c>
      <c r="AB190" t="s">
        <v>2926</v>
      </c>
      <c r="AC190">
        <v>9</v>
      </c>
    </row>
    <row r="191" spans="1:29" x14ac:dyDescent="0.3">
      <c r="A191" s="3">
        <v>45397</v>
      </c>
      <c r="B191" s="3" t="str">
        <f>TEXT(CleanedTable[[#This Row],[OrderDate]],"mmm")</f>
        <v>Apr</v>
      </c>
      <c r="C191" s="3" t="str">
        <f>TEXT(CleanedTable[[#This Row],[OrderDate]],"yyyy")</f>
        <v>2024</v>
      </c>
      <c r="D191" s="3" t="str">
        <f>TEXT(CleanedTable[[#This Row],[OrderDate]],"mmm yyyy")</f>
        <v>Apr 2024</v>
      </c>
      <c r="E191" t="s">
        <v>23</v>
      </c>
      <c r="F191" t="s">
        <v>24</v>
      </c>
      <c r="G191" s="12">
        <v>2</v>
      </c>
      <c r="H191" s="8">
        <v>143.43</v>
      </c>
      <c r="I191" t="s">
        <v>34</v>
      </c>
      <c r="J191" t="s">
        <v>35</v>
      </c>
      <c r="K191" s="10">
        <v>0</v>
      </c>
      <c r="L191" t="s">
        <v>42</v>
      </c>
      <c r="M191">
        <v>286.86</v>
      </c>
      <c r="N191">
        <v>172.11600000000001</v>
      </c>
      <c r="O191" s="10">
        <v>77.804000000000002</v>
      </c>
      <c r="P191" s="10">
        <v>0.27122638220734852</v>
      </c>
      <c r="Q191" s="8">
        <v>286.86</v>
      </c>
      <c r="R191" t="s">
        <v>45</v>
      </c>
      <c r="T191" t="s">
        <v>2932</v>
      </c>
      <c r="U191">
        <v>0</v>
      </c>
      <c r="V191" t="str">
        <f>IF(CleanedTable[[#This Row],[Returned]] = 0,"NO","Yes")</f>
        <v>NO</v>
      </c>
      <c r="W191" t="s">
        <v>240</v>
      </c>
      <c r="X191" t="s">
        <v>1739</v>
      </c>
      <c r="Y191" s="10">
        <v>36.94</v>
      </c>
      <c r="Z191" s="3">
        <v>45397</v>
      </c>
      <c r="AA191" s="3">
        <v>45404</v>
      </c>
      <c r="AB191" t="s">
        <v>2926</v>
      </c>
      <c r="AC191">
        <v>7</v>
      </c>
    </row>
    <row r="192" spans="1:29" x14ac:dyDescent="0.3">
      <c r="A192" s="3">
        <v>45257</v>
      </c>
      <c r="B192" s="3" t="str">
        <f>TEXT(CleanedTable[[#This Row],[OrderDate]],"mmm")</f>
        <v>Nov</v>
      </c>
      <c r="C192" s="3" t="str">
        <f>TEXT(CleanedTable[[#This Row],[OrderDate]],"yyyy")</f>
        <v>2023</v>
      </c>
      <c r="D192" s="3" t="str">
        <f>TEXT(CleanedTable[[#This Row],[OrderDate]],"mmm yyyy")</f>
        <v>Nov 2023</v>
      </c>
      <c r="E192" t="s">
        <v>19</v>
      </c>
      <c r="F192" t="s">
        <v>28</v>
      </c>
      <c r="G192" s="12">
        <v>12</v>
      </c>
      <c r="H192" s="8">
        <v>538.5</v>
      </c>
      <c r="I192" t="s">
        <v>33</v>
      </c>
      <c r="J192" t="s">
        <v>35</v>
      </c>
      <c r="K192" s="10">
        <v>0.05</v>
      </c>
      <c r="L192" t="s">
        <v>38</v>
      </c>
      <c r="M192">
        <v>6138.9</v>
      </c>
      <c r="N192">
        <v>3877.2</v>
      </c>
      <c r="O192" s="10">
        <v>2243.16</v>
      </c>
      <c r="P192" s="10">
        <v>0.36540096760005863</v>
      </c>
      <c r="Q192" s="8">
        <v>6138.9</v>
      </c>
      <c r="R192" t="s">
        <v>47</v>
      </c>
      <c r="S192" t="s">
        <v>49</v>
      </c>
      <c r="T192" t="s">
        <v>2931</v>
      </c>
      <c r="U192">
        <v>0</v>
      </c>
      <c r="V192" t="str">
        <f>IF(CleanedTable[[#This Row],[Returned]] = 0,"NO","Yes")</f>
        <v>NO</v>
      </c>
      <c r="W192" t="s">
        <v>241</v>
      </c>
      <c r="X192" t="s">
        <v>1740</v>
      </c>
      <c r="Y192" s="10">
        <v>18.54</v>
      </c>
      <c r="Z192" s="3">
        <v>45257</v>
      </c>
      <c r="AA192" s="3">
        <v>45266</v>
      </c>
      <c r="AB192" t="s">
        <v>2922</v>
      </c>
      <c r="AC192">
        <v>9</v>
      </c>
    </row>
    <row r="193" spans="1:29" x14ac:dyDescent="0.3">
      <c r="A193" s="3">
        <v>45743</v>
      </c>
      <c r="B193" s="3" t="str">
        <f>TEXT(CleanedTable[[#This Row],[OrderDate]],"mmm")</f>
        <v>Mar</v>
      </c>
      <c r="C193" s="3" t="str">
        <f>TEXT(CleanedTable[[#This Row],[OrderDate]],"yyyy")</f>
        <v>2025</v>
      </c>
      <c r="D193" s="3" t="str">
        <f>TEXT(CleanedTable[[#This Row],[OrderDate]],"mmm yyyy")</f>
        <v>Mar 2025</v>
      </c>
      <c r="E193" t="s">
        <v>19</v>
      </c>
      <c r="F193" t="s">
        <v>30</v>
      </c>
      <c r="G193" s="12">
        <v>5</v>
      </c>
      <c r="H193" s="8">
        <v>87.17</v>
      </c>
      <c r="I193" t="s">
        <v>34</v>
      </c>
      <c r="J193" t="s">
        <v>35</v>
      </c>
      <c r="K193" s="10">
        <v>0</v>
      </c>
      <c r="L193" t="s">
        <v>40</v>
      </c>
      <c r="M193">
        <v>435.85</v>
      </c>
      <c r="N193">
        <v>261.51</v>
      </c>
      <c r="O193" s="10">
        <v>161.33000000000004</v>
      </c>
      <c r="P193" s="10">
        <v>0.37015028105999775</v>
      </c>
      <c r="Q193" s="8">
        <v>435.85</v>
      </c>
      <c r="R193" t="s">
        <v>46</v>
      </c>
      <c r="T193" t="s">
        <v>2932</v>
      </c>
      <c r="U193">
        <v>0</v>
      </c>
      <c r="V193" t="str">
        <f>IF(CleanedTable[[#This Row],[Returned]] = 0,"NO","Yes")</f>
        <v>NO</v>
      </c>
      <c r="W193" t="s">
        <v>242</v>
      </c>
      <c r="X193" t="s">
        <v>1741</v>
      </c>
      <c r="Y193" s="10">
        <v>13.01</v>
      </c>
      <c r="Z193" s="3">
        <v>45743</v>
      </c>
      <c r="AA193" s="3">
        <v>45745</v>
      </c>
      <c r="AB193" t="s">
        <v>2922</v>
      </c>
      <c r="AC193">
        <v>2</v>
      </c>
    </row>
    <row r="194" spans="1:29" x14ac:dyDescent="0.3">
      <c r="A194" s="3">
        <v>45144</v>
      </c>
      <c r="B194" s="3" t="str">
        <f>TEXT(CleanedTable[[#This Row],[OrderDate]],"mmm")</f>
        <v>Aug</v>
      </c>
      <c r="C194" s="3" t="str">
        <f>TEXT(CleanedTable[[#This Row],[OrderDate]],"yyyy")</f>
        <v>2023</v>
      </c>
      <c r="D194" s="3" t="str">
        <f>TEXT(CleanedTable[[#This Row],[OrderDate]],"mmm yyyy")</f>
        <v>Aug 2023</v>
      </c>
      <c r="E194" t="s">
        <v>20</v>
      </c>
      <c r="F194" t="s">
        <v>28</v>
      </c>
      <c r="G194" s="12">
        <v>7</v>
      </c>
      <c r="H194" s="8">
        <v>498.32</v>
      </c>
      <c r="I194" t="s">
        <v>31</v>
      </c>
      <c r="J194" t="s">
        <v>35</v>
      </c>
      <c r="K194" s="10">
        <v>0.1</v>
      </c>
      <c r="L194" t="s">
        <v>38</v>
      </c>
      <c r="M194">
        <v>3139.4159999999997</v>
      </c>
      <c r="N194">
        <v>2092.9439999999995</v>
      </c>
      <c r="O194" s="10">
        <v>1018.8220000000002</v>
      </c>
      <c r="P194" s="10">
        <v>0.32452596279053186</v>
      </c>
      <c r="Q194" s="8">
        <v>3139.4160000000002</v>
      </c>
      <c r="R194" t="s">
        <v>45</v>
      </c>
      <c r="S194" t="s">
        <v>50</v>
      </c>
      <c r="T194" t="s">
        <v>2931</v>
      </c>
      <c r="U194">
        <v>1</v>
      </c>
      <c r="V194" t="str">
        <f>IF(CleanedTable[[#This Row],[Returned]] = 0,"NO","Yes")</f>
        <v>Yes</v>
      </c>
      <c r="W194" t="s">
        <v>243</v>
      </c>
      <c r="X194" t="s">
        <v>1742</v>
      </c>
      <c r="Y194" s="10">
        <v>27.65</v>
      </c>
      <c r="Z194" s="3">
        <v>45144</v>
      </c>
      <c r="AA194" s="3">
        <v>45148</v>
      </c>
      <c r="AB194" t="s">
        <v>2923</v>
      </c>
      <c r="AC194">
        <v>4</v>
      </c>
    </row>
    <row r="195" spans="1:29" x14ac:dyDescent="0.3">
      <c r="A195" s="3">
        <v>45639</v>
      </c>
      <c r="B195" s="3" t="str">
        <f>TEXT(CleanedTable[[#This Row],[OrderDate]],"mmm")</f>
        <v>Dec</v>
      </c>
      <c r="C195" s="3" t="str">
        <f>TEXT(CleanedTable[[#This Row],[OrderDate]],"yyyy")</f>
        <v>2024</v>
      </c>
      <c r="D195" s="3" t="str">
        <f>TEXT(CleanedTable[[#This Row],[OrderDate]],"mmm yyyy")</f>
        <v>Dec 2024</v>
      </c>
      <c r="E195" t="s">
        <v>20</v>
      </c>
      <c r="F195" t="s">
        <v>30</v>
      </c>
      <c r="G195" s="12">
        <v>15</v>
      </c>
      <c r="H195" s="8">
        <v>57.14</v>
      </c>
      <c r="I195" t="s">
        <v>31</v>
      </c>
      <c r="J195" t="s">
        <v>35</v>
      </c>
      <c r="K195" s="10">
        <v>0.15</v>
      </c>
      <c r="L195" t="s">
        <v>40</v>
      </c>
      <c r="M195">
        <v>728.53499999999997</v>
      </c>
      <c r="N195">
        <v>514.26</v>
      </c>
      <c r="O195" s="10">
        <v>207.25499999999997</v>
      </c>
      <c r="P195" s="10">
        <v>0.28448187115238111</v>
      </c>
      <c r="Q195" s="8">
        <v>728.53499999999997</v>
      </c>
      <c r="R195" t="s">
        <v>46</v>
      </c>
      <c r="S195" t="s">
        <v>48</v>
      </c>
      <c r="T195" t="s">
        <v>2931</v>
      </c>
      <c r="U195">
        <v>0</v>
      </c>
      <c r="V195" t="str">
        <f>IF(CleanedTable[[#This Row],[Returned]] = 0,"NO","Yes")</f>
        <v>NO</v>
      </c>
      <c r="W195" t="s">
        <v>244</v>
      </c>
      <c r="X195" t="s">
        <v>1743</v>
      </c>
      <c r="Y195" s="10">
        <v>7.02</v>
      </c>
      <c r="Z195" s="3">
        <v>45639</v>
      </c>
      <c r="AA195" s="3">
        <v>45648</v>
      </c>
      <c r="AB195" t="s">
        <v>2923</v>
      </c>
      <c r="AC195">
        <v>9</v>
      </c>
    </row>
    <row r="196" spans="1:29" x14ac:dyDescent="0.3">
      <c r="A196" s="3">
        <v>45674</v>
      </c>
      <c r="B196" s="3" t="str">
        <f>TEXT(CleanedTable[[#This Row],[OrderDate]],"mmm")</f>
        <v>Jan</v>
      </c>
      <c r="C196" s="3" t="str">
        <f>TEXT(CleanedTable[[#This Row],[OrderDate]],"yyyy")</f>
        <v>2025</v>
      </c>
      <c r="D196" s="3" t="str">
        <f>TEXT(CleanedTable[[#This Row],[OrderDate]],"mmm yyyy")</f>
        <v>Jan 2025</v>
      </c>
      <c r="E196" t="s">
        <v>22</v>
      </c>
      <c r="F196" t="s">
        <v>29</v>
      </c>
      <c r="G196" s="12">
        <v>18</v>
      </c>
      <c r="H196" s="8">
        <v>124.18</v>
      </c>
      <c r="I196" t="s">
        <v>31</v>
      </c>
      <c r="J196" t="s">
        <v>35</v>
      </c>
      <c r="K196" s="10">
        <v>0.15</v>
      </c>
      <c r="L196" t="s">
        <v>40</v>
      </c>
      <c r="M196">
        <v>1899.9540000000002</v>
      </c>
      <c r="N196">
        <v>1341.144</v>
      </c>
      <c r="O196" s="10">
        <v>513.04000000000019</v>
      </c>
      <c r="P196" s="10">
        <v>0.27002759014165612</v>
      </c>
      <c r="Q196" s="8">
        <v>1899.954</v>
      </c>
      <c r="R196" t="s">
        <v>46</v>
      </c>
      <c r="S196" t="s">
        <v>49</v>
      </c>
      <c r="T196" t="s">
        <v>2931</v>
      </c>
      <c r="U196">
        <v>0</v>
      </c>
      <c r="V196" t="str">
        <f>IF(CleanedTable[[#This Row],[Returned]] = 0,"NO","Yes")</f>
        <v>NO</v>
      </c>
      <c r="W196" t="s">
        <v>245</v>
      </c>
      <c r="X196" t="s">
        <v>1744</v>
      </c>
      <c r="Y196" s="10">
        <v>45.77</v>
      </c>
      <c r="Z196" s="3">
        <v>45674</v>
      </c>
      <c r="AA196" s="3">
        <v>45683</v>
      </c>
      <c r="AB196" t="s">
        <v>2925</v>
      </c>
      <c r="AC196">
        <v>9</v>
      </c>
    </row>
    <row r="197" spans="1:29" x14ac:dyDescent="0.3">
      <c r="A197" s="3">
        <v>45256</v>
      </c>
      <c r="B197" s="3" t="str">
        <f>TEXT(CleanedTable[[#This Row],[OrderDate]],"mmm")</f>
        <v>Nov</v>
      </c>
      <c r="C197" s="3" t="str">
        <f>TEXT(CleanedTable[[#This Row],[OrderDate]],"yyyy")</f>
        <v>2023</v>
      </c>
      <c r="D197" s="3" t="str">
        <f>TEXT(CleanedTable[[#This Row],[OrderDate]],"mmm yyyy")</f>
        <v>Nov 2023</v>
      </c>
      <c r="E197" t="s">
        <v>23</v>
      </c>
      <c r="F197" t="s">
        <v>26</v>
      </c>
      <c r="G197" s="12">
        <v>12</v>
      </c>
      <c r="H197" s="8">
        <v>107.45</v>
      </c>
      <c r="I197" t="s">
        <v>33</v>
      </c>
      <c r="J197" t="s">
        <v>36</v>
      </c>
      <c r="K197" s="10">
        <v>0.1</v>
      </c>
      <c r="L197" t="s">
        <v>42</v>
      </c>
      <c r="M197">
        <v>1160.46</v>
      </c>
      <c r="N197">
        <v>773.64</v>
      </c>
      <c r="O197" s="10">
        <v>368.65000000000003</v>
      </c>
      <c r="P197" s="10">
        <v>0.3176757492718405</v>
      </c>
      <c r="Q197" s="8">
        <v>1160.46</v>
      </c>
      <c r="R197" t="s">
        <v>43</v>
      </c>
      <c r="S197" t="s">
        <v>48</v>
      </c>
      <c r="T197" t="s">
        <v>2931</v>
      </c>
      <c r="U197">
        <v>0</v>
      </c>
      <c r="V197" t="str">
        <f>IF(CleanedTable[[#This Row],[Returned]] = 0,"NO","Yes")</f>
        <v>NO</v>
      </c>
      <c r="W197" t="s">
        <v>246</v>
      </c>
      <c r="X197" t="s">
        <v>1745</v>
      </c>
      <c r="Y197" s="10">
        <v>18.170000000000002</v>
      </c>
      <c r="Z197" s="3">
        <v>45256</v>
      </c>
      <c r="AA197" s="3">
        <v>45262</v>
      </c>
      <c r="AB197" t="s">
        <v>2926</v>
      </c>
      <c r="AC197">
        <v>6</v>
      </c>
    </row>
    <row r="198" spans="1:29" x14ac:dyDescent="0.3">
      <c r="A198" s="3">
        <v>44971</v>
      </c>
      <c r="B198" s="3" t="str">
        <f>TEXT(CleanedTable[[#This Row],[OrderDate]],"mmm")</f>
        <v>Feb</v>
      </c>
      <c r="C198" s="3" t="str">
        <f>TEXT(CleanedTable[[#This Row],[OrderDate]],"yyyy")</f>
        <v>2023</v>
      </c>
      <c r="D198" s="3" t="str">
        <f>TEXT(CleanedTable[[#This Row],[OrderDate]],"mmm yyyy")</f>
        <v>Feb 2023</v>
      </c>
      <c r="E198" t="s">
        <v>19</v>
      </c>
      <c r="F198" t="s">
        <v>27</v>
      </c>
      <c r="G198" s="12">
        <v>8</v>
      </c>
      <c r="H198" s="8">
        <v>411.26</v>
      </c>
      <c r="I198" t="s">
        <v>32</v>
      </c>
      <c r="J198" t="s">
        <v>36</v>
      </c>
      <c r="K198" s="10">
        <v>0.1</v>
      </c>
      <c r="L198" t="s">
        <v>39</v>
      </c>
      <c r="M198">
        <v>2961.0720000000001</v>
      </c>
      <c r="N198">
        <v>1974.0479999999998</v>
      </c>
      <c r="O198" s="10">
        <v>958.45400000000029</v>
      </c>
      <c r="P198" s="10">
        <v>0.3236848006397684</v>
      </c>
      <c r="Q198" s="8">
        <v>2961.0720000000001</v>
      </c>
      <c r="R198" t="s">
        <v>44</v>
      </c>
      <c r="S198" t="s">
        <v>50</v>
      </c>
      <c r="T198" t="s">
        <v>2931</v>
      </c>
      <c r="U198">
        <v>0</v>
      </c>
      <c r="V198" t="str">
        <f>IF(CleanedTable[[#This Row],[Returned]] = 0,"NO","Yes")</f>
        <v>NO</v>
      </c>
      <c r="W198" t="s">
        <v>247</v>
      </c>
      <c r="X198" t="s">
        <v>1746</v>
      </c>
      <c r="Y198" s="10">
        <v>28.57</v>
      </c>
      <c r="Z198" s="3">
        <v>44971</v>
      </c>
      <c r="AA198" s="3">
        <v>44975</v>
      </c>
      <c r="AB198" t="s">
        <v>2922</v>
      </c>
      <c r="AC198">
        <v>4</v>
      </c>
    </row>
    <row r="199" spans="1:29" x14ac:dyDescent="0.3">
      <c r="A199" s="3">
        <v>45690</v>
      </c>
      <c r="B199" s="3" t="str">
        <f>TEXT(CleanedTable[[#This Row],[OrderDate]],"mmm")</f>
        <v>Feb</v>
      </c>
      <c r="C199" s="3" t="str">
        <f>TEXT(CleanedTable[[#This Row],[OrderDate]],"yyyy")</f>
        <v>2025</v>
      </c>
      <c r="D199" s="3" t="str">
        <f>TEXT(CleanedTable[[#This Row],[OrderDate]],"mmm yyyy")</f>
        <v>Feb 2025</v>
      </c>
      <c r="E199" t="s">
        <v>22</v>
      </c>
      <c r="F199" t="s">
        <v>30</v>
      </c>
      <c r="G199" s="12">
        <v>7</v>
      </c>
      <c r="H199" s="8">
        <v>248.1</v>
      </c>
      <c r="I199" t="s">
        <v>33</v>
      </c>
      <c r="J199" t="s">
        <v>36</v>
      </c>
      <c r="K199" s="10">
        <v>0</v>
      </c>
      <c r="L199" t="s">
        <v>41</v>
      </c>
      <c r="M199">
        <v>1736.7</v>
      </c>
      <c r="N199">
        <v>1042.02</v>
      </c>
      <c r="O199" s="10">
        <v>662.88000000000011</v>
      </c>
      <c r="P199" s="10">
        <v>0.3816894109518052</v>
      </c>
      <c r="Q199" s="8">
        <v>1736.7</v>
      </c>
      <c r="R199" t="s">
        <v>47</v>
      </c>
      <c r="S199" t="s">
        <v>50</v>
      </c>
      <c r="T199" t="s">
        <v>2931</v>
      </c>
      <c r="U199">
        <v>0</v>
      </c>
      <c r="V199" t="str">
        <f>IF(CleanedTable[[#This Row],[Returned]] = 0,"NO","Yes")</f>
        <v>NO</v>
      </c>
      <c r="W199" t="s">
        <v>248</v>
      </c>
      <c r="X199" t="s">
        <v>1747</v>
      </c>
      <c r="Y199" s="10">
        <v>31.8</v>
      </c>
      <c r="Z199" s="3">
        <v>45690</v>
      </c>
      <c r="AA199" s="3">
        <v>45694</v>
      </c>
      <c r="AB199" t="s">
        <v>2925</v>
      </c>
      <c r="AC199">
        <v>4</v>
      </c>
    </row>
    <row r="200" spans="1:29" x14ac:dyDescent="0.3">
      <c r="A200" s="3">
        <v>45027</v>
      </c>
      <c r="B200" s="3" t="str">
        <f>TEXT(CleanedTable[[#This Row],[OrderDate]],"mmm")</f>
        <v>Apr</v>
      </c>
      <c r="C200" s="3" t="str">
        <f>TEXT(CleanedTable[[#This Row],[OrderDate]],"yyyy")</f>
        <v>2023</v>
      </c>
      <c r="D200" s="3" t="str">
        <f>TEXT(CleanedTable[[#This Row],[OrderDate]],"mmm yyyy")</f>
        <v>Apr 2023</v>
      </c>
      <c r="E200" t="s">
        <v>23</v>
      </c>
      <c r="F200" t="s">
        <v>30</v>
      </c>
      <c r="G200" s="12">
        <v>3</v>
      </c>
      <c r="H200" s="8">
        <v>486.52</v>
      </c>
      <c r="I200" t="s">
        <v>31</v>
      </c>
      <c r="J200" t="s">
        <v>35</v>
      </c>
      <c r="K200" s="10">
        <v>0.1</v>
      </c>
      <c r="L200" t="s">
        <v>40</v>
      </c>
      <c r="M200">
        <v>1313.604</v>
      </c>
      <c r="N200">
        <v>875.73599999999988</v>
      </c>
      <c r="O200" s="10">
        <v>421.36800000000017</v>
      </c>
      <c r="P200" s="10">
        <v>0.32077247024217354</v>
      </c>
      <c r="Q200" s="8">
        <v>1313.604</v>
      </c>
      <c r="R200" t="s">
        <v>44</v>
      </c>
      <c r="T200" t="s">
        <v>2932</v>
      </c>
      <c r="U200">
        <v>0</v>
      </c>
      <c r="V200" t="str">
        <f>IF(CleanedTable[[#This Row],[Returned]] = 0,"NO","Yes")</f>
        <v>NO</v>
      </c>
      <c r="W200" t="s">
        <v>249</v>
      </c>
      <c r="X200" t="s">
        <v>1748</v>
      </c>
      <c r="Y200" s="10">
        <v>16.5</v>
      </c>
      <c r="Z200" s="3">
        <v>45027</v>
      </c>
      <c r="AA200" s="3">
        <v>45036</v>
      </c>
      <c r="AB200" t="s">
        <v>2926</v>
      </c>
      <c r="AC200">
        <v>9</v>
      </c>
    </row>
    <row r="201" spans="1:29" x14ac:dyDescent="0.3">
      <c r="A201" s="3">
        <v>45481</v>
      </c>
      <c r="B201" s="3" t="str">
        <f>TEXT(CleanedTable[[#This Row],[OrderDate]],"mmm")</f>
        <v>Jul</v>
      </c>
      <c r="C201" s="3" t="str">
        <f>TEXT(CleanedTable[[#This Row],[OrderDate]],"yyyy")</f>
        <v>2024</v>
      </c>
      <c r="D201" s="3" t="str">
        <f>TEXT(CleanedTable[[#This Row],[OrderDate]],"mmm yyyy")</f>
        <v>Jul 2024</v>
      </c>
      <c r="E201" t="s">
        <v>21</v>
      </c>
      <c r="F201" t="s">
        <v>28</v>
      </c>
      <c r="G201" s="12">
        <v>18</v>
      </c>
      <c r="H201" s="8">
        <v>415.04</v>
      </c>
      <c r="I201" t="s">
        <v>33</v>
      </c>
      <c r="J201" t="s">
        <v>35</v>
      </c>
      <c r="K201" s="10">
        <v>0.1</v>
      </c>
      <c r="L201" t="s">
        <v>37</v>
      </c>
      <c r="M201">
        <v>6723.6480000000001</v>
      </c>
      <c r="N201">
        <v>4482.4319999999998</v>
      </c>
      <c r="O201" s="10">
        <v>2207.6360000000004</v>
      </c>
      <c r="P201" s="10">
        <v>0.32833902072208426</v>
      </c>
      <c r="Q201" s="8">
        <v>6723.6480000000001</v>
      </c>
      <c r="R201" t="s">
        <v>47</v>
      </c>
      <c r="S201" t="s">
        <v>50</v>
      </c>
      <c r="T201" t="s">
        <v>2931</v>
      </c>
      <c r="U201">
        <v>0</v>
      </c>
      <c r="V201" t="str">
        <f>IF(CleanedTable[[#This Row],[Returned]] = 0,"NO","Yes")</f>
        <v>NO</v>
      </c>
      <c r="W201" t="s">
        <v>250</v>
      </c>
      <c r="X201" t="s">
        <v>1749</v>
      </c>
      <c r="Y201" s="10">
        <v>33.58</v>
      </c>
      <c r="Z201" s="3">
        <v>45481</v>
      </c>
      <c r="AA201" s="3">
        <v>45486</v>
      </c>
      <c r="AB201" t="s">
        <v>2924</v>
      </c>
      <c r="AC201">
        <v>5</v>
      </c>
    </row>
    <row r="202" spans="1:29" x14ac:dyDescent="0.3">
      <c r="A202" s="3">
        <v>44965</v>
      </c>
      <c r="B202" s="3" t="str">
        <f>TEXT(CleanedTable[[#This Row],[OrderDate]],"mmm")</f>
        <v>Feb</v>
      </c>
      <c r="C202" s="3" t="str">
        <f>TEXT(CleanedTable[[#This Row],[OrderDate]],"yyyy")</f>
        <v>2023</v>
      </c>
      <c r="D202" s="3" t="str">
        <f>TEXT(CleanedTable[[#This Row],[OrderDate]],"mmm yyyy")</f>
        <v>Feb 2023</v>
      </c>
      <c r="E202" t="s">
        <v>22</v>
      </c>
      <c r="F202" t="s">
        <v>30</v>
      </c>
      <c r="G202" s="12">
        <v>19</v>
      </c>
      <c r="H202" s="8">
        <v>165.38</v>
      </c>
      <c r="I202" t="s">
        <v>31</v>
      </c>
      <c r="J202" t="s">
        <v>35</v>
      </c>
      <c r="K202" s="10">
        <v>0.15</v>
      </c>
      <c r="L202" t="s">
        <v>38</v>
      </c>
      <c r="M202">
        <v>2670.8869999999997</v>
      </c>
      <c r="N202">
        <v>1885.3319999999999</v>
      </c>
      <c r="O202" s="10">
        <v>760.35499999999979</v>
      </c>
      <c r="P202" s="10">
        <v>0.28468257923304124</v>
      </c>
      <c r="Q202" s="8">
        <v>2670.8870000000002</v>
      </c>
      <c r="R202" t="s">
        <v>43</v>
      </c>
      <c r="T202" t="s">
        <v>2932</v>
      </c>
      <c r="U202">
        <v>0</v>
      </c>
      <c r="V202" t="str">
        <f>IF(CleanedTable[[#This Row],[Returned]] = 0,"NO","Yes")</f>
        <v>NO</v>
      </c>
      <c r="W202" t="s">
        <v>251</v>
      </c>
      <c r="X202" t="s">
        <v>1750</v>
      </c>
      <c r="Y202" s="10">
        <v>25.2</v>
      </c>
      <c r="Z202" s="3">
        <v>44965</v>
      </c>
      <c r="AA202" s="3">
        <v>44971</v>
      </c>
      <c r="AB202" t="s">
        <v>2925</v>
      </c>
      <c r="AC202">
        <v>6</v>
      </c>
    </row>
    <row r="203" spans="1:29" x14ac:dyDescent="0.3">
      <c r="A203" s="3">
        <v>45391</v>
      </c>
      <c r="B203" s="3" t="str">
        <f>TEXT(CleanedTable[[#This Row],[OrderDate]],"mmm")</f>
        <v>Apr</v>
      </c>
      <c r="C203" s="3" t="str">
        <f>TEXT(CleanedTable[[#This Row],[OrderDate]],"yyyy")</f>
        <v>2024</v>
      </c>
      <c r="D203" s="3" t="str">
        <f>TEXT(CleanedTable[[#This Row],[OrderDate]],"mmm yyyy")</f>
        <v>Apr 2024</v>
      </c>
      <c r="E203" t="s">
        <v>23</v>
      </c>
      <c r="F203" t="s">
        <v>26</v>
      </c>
      <c r="G203" s="12">
        <v>2</v>
      </c>
      <c r="H203" s="8">
        <v>117.47</v>
      </c>
      <c r="I203" t="s">
        <v>33</v>
      </c>
      <c r="J203" t="s">
        <v>35</v>
      </c>
      <c r="K203" s="10">
        <v>0</v>
      </c>
      <c r="L203" t="s">
        <v>37</v>
      </c>
      <c r="M203">
        <v>234.94</v>
      </c>
      <c r="N203">
        <v>140.964</v>
      </c>
      <c r="O203" s="10">
        <v>87.396000000000001</v>
      </c>
      <c r="P203" s="10">
        <v>0.37199284923810333</v>
      </c>
      <c r="Q203" s="8">
        <v>234.94</v>
      </c>
      <c r="R203" t="s">
        <v>45</v>
      </c>
      <c r="S203" t="s">
        <v>48</v>
      </c>
      <c r="T203" t="s">
        <v>2931</v>
      </c>
      <c r="U203">
        <v>0</v>
      </c>
      <c r="V203" t="str">
        <f>IF(CleanedTable[[#This Row],[Returned]] = 0,"NO","Yes")</f>
        <v>NO</v>
      </c>
      <c r="W203" t="s">
        <v>252</v>
      </c>
      <c r="X203" t="s">
        <v>1751</v>
      </c>
      <c r="Y203" s="10">
        <v>6.58</v>
      </c>
      <c r="Z203" s="3">
        <v>45391</v>
      </c>
      <c r="AA203" s="3">
        <v>45398</v>
      </c>
      <c r="AB203" t="s">
        <v>2926</v>
      </c>
      <c r="AC203">
        <v>7</v>
      </c>
    </row>
    <row r="204" spans="1:29" x14ac:dyDescent="0.3">
      <c r="A204" s="3">
        <v>45152</v>
      </c>
      <c r="B204" s="3" t="str">
        <f>TEXT(CleanedTable[[#This Row],[OrderDate]],"mmm")</f>
        <v>Aug</v>
      </c>
      <c r="C204" s="3" t="str">
        <f>TEXT(CleanedTable[[#This Row],[OrderDate]],"yyyy")</f>
        <v>2023</v>
      </c>
      <c r="D204" s="3" t="str">
        <f>TEXT(CleanedTable[[#This Row],[OrderDate]],"mmm yyyy")</f>
        <v>Aug 2023</v>
      </c>
      <c r="E204" t="s">
        <v>22</v>
      </c>
      <c r="F204" t="s">
        <v>30</v>
      </c>
      <c r="G204" s="12">
        <v>9</v>
      </c>
      <c r="H204" s="8">
        <v>461.79</v>
      </c>
      <c r="I204" t="s">
        <v>33</v>
      </c>
      <c r="J204" t="s">
        <v>35</v>
      </c>
      <c r="K204" s="10">
        <v>0.15</v>
      </c>
      <c r="L204" t="s">
        <v>39</v>
      </c>
      <c r="M204">
        <v>3532.6935000000003</v>
      </c>
      <c r="N204">
        <v>2493.6660000000002</v>
      </c>
      <c r="O204" s="10">
        <v>991.2175000000002</v>
      </c>
      <c r="P204" s="10">
        <v>0.28058406425578675</v>
      </c>
      <c r="Q204" s="8">
        <v>3532.6934999999999</v>
      </c>
      <c r="R204" t="s">
        <v>44</v>
      </c>
      <c r="T204" t="s">
        <v>2932</v>
      </c>
      <c r="U204">
        <v>0</v>
      </c>
      <c r="V204" t="str">
        <f>IF(CleanedTable[[#This Row],[Returned]] = 0,"NO","Yes")</f>
        <v>NO</v>
      </c>
      <c r="W204" t="s">
        <v>253</v>
      </c>
      <c r="X204" t="s">
        <v>1752</v>
      </c>
      <c r="Y204" s="10">
        <v>47.81</v>
      </c>
      <c r="Z204" s="3">
        <v>45152</v>
      </c>
      <c r="AA204" s="3">
        <v>45156</v>
      </c>
      <c r="AB204" t="s">
        <v>2925</v>
      </c>
      <c r="AC204">
        <v>4</v>
      </c>
    </row>
    <row r="205" spans="1:29" x14ac:dyDescent="0.3">
      <c r="A205" s="3">
        <v>45537</v>
      </c>
      <c r="B205" s="3" t="str">
        <f>TEXT(CleanedTable[[#This Row],[OrderDate]],"mmm")</f>
        <v>Sep</v>
      </c>
      <c r="C205" s="3" t="str">
        <f>TEXT(CleanedTable[[#This Row],[OrderDate]],"yyyy")</f>
        <v>2024</v>
      </c>
      <c r="D205" s="3" t="str">
        <f>TEXT(CleanedTable[[#This Row],[OrderDate]],"mmm yyyy")</f>
        <v>Sep 2024</v>
      </c>
      <c r="E205" t="s">
        <v>23</v>
      </c>
      <c r="F205" t="s">
        <v>29</v>
      </c>
      <c r="G205" s="12">
        <v>19</v>
      </c>
      <c r="H205" s="8">
        <v>208.72</v>
      </c>
      <c r="I205" t="s">
        <v>34</v>
      </c>
      <c r="J205" t="s">
        <v>36</v>
      </c>
      <c r="K205" s="10">
        <v>0.05</v>
      </c>
      <c r="L205" t="s">
        <v>39</v>
      </c>
      <c r="M205">
        <v>3767.3959999999997</v>
      </c>
      <c r="N205">
        <v>2379.4079999999999</v>
      </c>
      <c r="O205" s="10">
        <v>1349.5779999999997</v>
      </c>
      <c r="P205" s="10">
        <v>0.35822568161138352</v>
      </c>
      <c r="Q205" s="8">
        <v>3767.3960000000002</v>
      </c>
      <c r="R205" t="s">
        <v>45</v>
      </c>
      <c r="S205" t="s">
        <v>48</v>
      </c>
      <c r="T205" t="s">
        <v>2931</v>
      </c>
      <c r="U205">
        <v>0</v>
      </c>
      <c r="V205" t="str">
        <f>IF(CleanedTable[[#This Row],[Returned]] = 0,"NO","Yes")</f>
        <v>NO</v>
      </c>
      <c r="W205" t="s">
        <v>254</v>
      </c>
      <c r="X205" t="s">
        <v>1753</v>
      </c>
      <c r="Y205" s="10">
        <v>38.409999999999997</v>
      </c>
      <c r="Z205" s="3">
        <v>45537</v>
      </c>
      <c r="AA205" s="3">
        <v>45541</v>
      </c>
      <c r="AB205" t="s">
        <v>2926</v>
      </c>
      <c r="AC205">
        <v>4</v>
      </c>
    </row>
    <row r="206" spans="1:29" x14ac:dyDescent="0.3">
      <c r="A206" s="3">
        <v>45837</v>
      </c>
      <c r="B206" s="3" t="str">
        <f>TEXT(CleanedTable[[#This Row],[OrderDate]],"mmm")</f>
        <v>Jun</v>
      </c>
      <c r="C206" s="3" t="str">
        <f>TEXT(CleanedTable[[#This Row],[OrderDate]],"yyyy")</f>
        <v>2025</v>
      </c>
      <c r="D206" s="3" t="str">
        <f>TEXT(CleanedTable[[#This Row],[OrderDate]],"mmm yyyy")</f>
        <v>Jun 2025</v>
      </c>
      <c r="E206" t="s">
        <v>22</v>
      </c>
      <c r="F206" t="s">
        <v>28</v>
      </c>
      <c r="G206" s="12">
        <v>16</v>
      </c>
      <c r="H206" s="8">
        <v>278.13</v>
      </c>
      <c r="I206" t="s">
        <v>32</v>
      </c>
      <c r="J206" t="s">
        <v>35</v>
      </c>
      <c r="K206" s="10">
        <v>0.15</v>
      </c>
      <c r="L206" t="s">
        <v>38</v>
      </c>
      <c r="M206">
        <v>3782.5679999999998</v>
      </c>
      <c r="N206">
        <v>2670.0479999999998</v>
      </c>
      <c r="O206" s="10">
        <v>1088.23</v>
      </c>
      <c r="P206" s="10">
        <v>0.2876960837187858</v>
      </c>
      <c r="Q206" s="8">
        <v>3782.5680000000002</v>
      </c>
      <c r="R206" t="s">
        <v>47</v>
      </c>
      <c r="S206" t="s">
        <v>49</v>
      </c>
      <c r="T206" t="s">
        <v>2931</v>
      </c>
      <c r="U206">
        <v>0</v>
      </c>
      <c r="V206" t="str">
        <f>IF(CleanedTable[[#This Row],[Returned]] = 0,"NO","Yes")</f>
        <v>NO</v>
      </c>
      <c r="W206" t="s">
        <v>255</v>
      </c>
      <c r="X206" t="s">
        <v>1754</v>
      </c>
      <c r="Y206" s="10">
        <v>24.29</v>
      </c>
      <c r="Z206" s="3">
        <v>45837</v>
      </c>
      <c r="AA206" s="3">
        <v>45842</v>
      </c>
      <c r="AB206" t="s">
        <v>2925</v>
      </c>
      <c r="AC206">
        <v>5</v>
      </c>
    </row>
    <row r="207" spans="1:29" x14ac:dyDescent="0.3">
      <c r="A207" s="3">
        <v>45749</v>
      </c>
      <c r="B207" s="3" t="str">
        <f>TEXT(CleanedTable[[#This Row],[OrderDate]],"mmm")</f>
        <v>Apr</v>
      </c>
      <c r="C207" s="3" t="str">
        <f>TEXT(CleanedTable[[#This Row],[OrderDate]],"yyyy")</f>
        <v>2025</v>
      </c>
      <c r="D207" s="3" t="str">
        <f>TEXT(CleanedTable[[#This Row],[OrderDate]],"mmm yyyy")</f>
        <v>Apr 2025</v>
      </c>
      <c r="E207" t="s">
        <v>23</v>
      </c>
      <c r="F207" t="s">
        <v>24</v>
      </c>
      <c r="G207" s="12">
        <v>2</v>
      </c>
      <c r="H207" s="8">
        <v>580.19000000000005</v>
      </c>
      <c r="I207" t="s">
        <v>31</v>
      </c>
      <c r="J207" t="s">
        <v>35</v>
      </c>
      <c r="K207" s="10">
        <v>0.05</v>
      </c>
      <c r="L207" t="s">
        <v>41</v>
      </c>
      <c r="M207">
        <v>1102.3610000000001</v>
      </c>
      <c r="N207">
        <v>696.22800000000007</v>
      </c>
      <c r="O207" s="10">
        <v>398.80300000000005</v>
      </c>
      <c r="P207" s="10">
        <v>0.36177168822191641</v>
      </c>
      <c r="Q207" s="8">
        <v>1102.3610000000001</v>
      </c>
      <c r="R207" t="s">
        <v>46</v>
      </c>
      <c r="S207" t="s">
        <v>50</v>
      </c>
      <c r="T207" t="s">
        <v>2931</v>
      </c>
      <c r="U207">
        <v>0</v>
      </c>
      <c r="V207" t="str">
        <f>IF(CleanedTable[[#This Row],[Returned]] = 0,"NO","Yes")</f>
        <v>NO</v>
      </c>
      <c r="W207" t="s">
        <v>256</v>
      </c>
      <c r="X207" t="s">
        <v>1755</v>
      </c>
      <c r="Y207" s="10">
        <v>7.33</v>
      </c>
      <c r="Z207" s="3">
        <v>45749</v>
      </c>
      <c r="AA207" s="3">
        <v>45755</v>
      </c>
      <c r="AB207" t="s">
        <v>2926</v>
      </c>
      <c r="AC207">
        <v>6</v>
      </c>
    </row>
    <row r="208" spans="1:29" x14ac:dyDescent="0.3">
      <c r="A208" s="3">
        <v>45043</v>
      </c>
      <c r="B208" s="3" t="str">
        <f>TEXT(CleanedTable[[#This Row],[OrderDate]],"mmm")</f>
        <v>Apr</v>
      </c>
      <c r="C208" s="3" t="str">
        <f>TEXT(CleanedTable[[#This Row],[OrderDate]],"yyyy")</f>
        <v>2023</v>
      </c>
      <c r="D208" s="3" t="str">
        <f>TEXT(CleanedTable[[#This Row],[OrderDate]],"mmm yyyy")</f>
        <v>Apr 2023</v>
      </c>
      <c r="E208" t="s">
        <v>22</v>
      </c>
      <c r="F208" t="s">
        <v>29</v>
      </c>
      <c r="G208" s="12">
        <v>8</v>
      </c>
      <c r="H208" s="8">
        <v>536.42999999999995</v>
      </c>
      <c r="I208" t="s">
        <v>31</v>
      </c>
      <c r="J208" t="s">
        <v>36</v>
      </c>
      <c r="K208" s="10">
        <v>0</v>
      </c>
      <c r="L208" t="s">
        <v>40</v>
      </c>
      <c r="M208">
        <v>4291.4399999999996</v>
      </c>
      <c r="N208">
        <v>2574.8639999999996</v>
      </c>
      <c r="O208" s="10">
        <v>1701.9960000000001</v>
      </c>
      <c r="P208" s="10">
        <v>0.3966025390078855</v>
      </c>
      <c r="Q208" s="8">
        <v>4291.4399999999996</v>
      </c>
      <c r="R208" t="s">
        <v>47</v>
      </c>
      <c r="T208" t="s">
        <v>2932</v>
      </c>
      <c r="U208">
        <v>1</v>
      </c>
      <c r="V208" t="str">
        <f>IF(CleanedTable[[#This Row],[Returned]] = 0,"NO","Yes")</f>
        <v>Yes</v>
      </c>
      <c r="W208" t="s">
        <v>257</v>
      </c>
      <c r="X208" t="s">
        <v>1756</v>
      </c>
      <c r="Y208" s="10">
        <v>14.58</v>
      </c>
      <c r="Z208" s="3">
        <v>45043</v>
      </c>
      <c r="AA208" s="3">
        <v>45053</v>
      </c>
      <c r="AB208" t="s">
        <v>2925</v>
      </c>
      <c r="AC208">
        <v>10</v>
      </c>
    </row>
    <row r="209" spans="1:29" x14ac:dyDescent="0.3">
      <c r="A209" s="3">
        <v>45511</v>
      </c>
      <c r="B209" s="3" t="str">
        <f>TEXT(CleanedTable[[#This Row],[OrderDate]],"mmm")</f>
        <v>Aug</v>
      </c>
      <c r="C209" s="3" t="str">
        <f>TEXT(CleanedTable[[#This Row],[OrderDate]],"yyyy")</f>
        <v>2024</v>
      </c>
      <c r="D209" s="3" t="str">
        <f>TEXT(CleanedTable[[#This Row],[OrderDate]],"mmm yyyy")</f>
        <v>Aug 2024</v>
      </c>
      <c r="E209" t="s">
        <v>19</v>
      </c>
      <c r="F209" t="s">
        <v>25</v>
      </c>
      <c r="G209" s="12">
        <v>1</v>
      </c>
      <c r="H209" s="8">
        <v>94.33</v>
      </c>
      <c r="I209" t="s">
        <v>32</v>
      </c>
      <c r="J209" t="s">
        <v>35</v>
      </c>
      <c r="K209" s="10">
        <v>0</v>
      </c>
      <c r="L209" t="s">
        <v>40</v>
      </c>
      <c r="M209">
        <v>94.33</v>
      </c>
      <c r="N209">
        <v>56.597999999999999</v>
      </c>
      <c r="O209" s="10">
        <v>-11.438000000000002</v>
      </c>
      <c r="P209" s="10">
        <v>-0.1212551680271388</v>
      </c>
      <c r="Q209" s="8">
        <v>94.33</v>
      </c>
      <c r="R209" t="s">
        <v>43</v>
      </c>
      <c r="T209" t="s">
        <v>2932</v>
      </c>
      <c r="U209">
        <v>0</v>
      </c>
      <c r="V209" t="str">
        <f>IF(CleanedTable[[#This Row],[Returned]] = 0,"NO","Yes")</f>
        <v>NO</v>
      </c>
      <c r="W209" t="s">
        <v>258</v>
      </c>
      <c r="X209" t="s">
        <v>1757</v>
      </c>
      <c r="Y209" s="10">
        <v>49.17</v>
      </c>
      <c r="Z209" s="3">
        <v>45511</v>
      </c>
      <c r="AA209" s="3">
        <v>45521</v>
      </c>
      <c r="AB209" t="s">
        <v>2922</v>
      </c>
      <c r="AC209">
        <v>10</v>
      </c>
    </row>
    <row r="210" spans="1:29" x14ac:dyDescent="0.3">
      <c r="A210" s="3">
        <v>45031</v>
      </c>
      <c r="B210" s="3" t="str">
        <f>TEXT(CleanedTable[[#This Row],[OrderDate]],"mmm")</f>
        <v>Apr</v>
      </c>
      <c r="C210" s="3" t="str">
        <f>TEXT(CleanedTable[[#This Row],[OrderDate]],"yyyy")</f>
        <v>2023</v>
      </c>
      <c r="D210" s="3" t="str">
        <f>TEXT(CleanedTable[[#This Row],[OrderDate]],"mmm yyyy")</f>
        <v>Apr 2023</v>
      </c>
      <c r="E210" t="s">
        <v>23</v>
      </c>
      <c r="F210" t="s">
        <v>24</v>
      </c>
      <c r="G210" s="12">
        <v>16</v>
      </c>
      <c r="H210" s="8">
        <v>489.94</v>
      </c>
      <c r="I210" t="s">
        <v>33</v>
      </c>
      <c r="J210" t="s">
        <v>36</v>
      </c>
      <c r="K210" s="10">
        <v>0.1</v>
      </c>
      <c r="L210" t="s">
        <v>39</v>
      </c>
      <c r="M210">
        <v>7055.1360000000004</v>
      </c>
      <c r="N210">
        <v>4703.424</v>
      </c>
      <c r="O210" s="10">
        <v>2342.0220000000004</v>
      </c>
      <c r="P210" s="10">
        <v>0.33195986583391168</v>
      </c>
      <c r="Q210" s="8">
        <v>7055.1360000000004</v>
      </c>
      <c r="R210" t="s">
        <v>47</v>
      </c>
      <c r="S210" t="s">
        <v>49</v>
      </c>
      <c r="T210" t="s">
        <v>2931</v>
      </c>
      <c r="U210">
        <v>0</v>
      </c>
      <c r="V210" t="str">
        <f>IF(CleanedTable[[#This Row],[Returned]] = 0,"NO","Yes")</f>
        <v>NO</v>
      </c>
      <c r="W210" t="s">
        <v>259</v>
      </c>
      <c r="X210" t="s">
        <v>1608</v>
      </c>
      <c r="Y210" s="10">
        <v>9.69</v>
      </c>
      <c r="Z210" s="3">
        <v>45031</v>
      </c>
      <c r="AA210" s="3">
        <v>45041</v>
      </c>
      <c r="AB210" t="s">
        <v>2926</v>
      </c>
      <c r="AC210">
        <v>10</v>
      </c>
    </row>
    <row r="211" spans="1:29" x14ac:dyDescent="0.3">
      <c r="A211" s="3">
        <v>45150</v>
      </c>
      <c r="B211" s="3" t="str">
        <f>TEXT(CleanedTable[[#This Row],[OrderDate]],"mmm")</f>
        <v>Aug</v>
      </c>
      <c r="C211" s="3" t="str">
        <f>TEXT(CleanedTable[[#This Row],[OrderDate]],"yyyy")</f>
        <v>2023</v>
      </c>
      <c r="D211" s="3" t="str">
        <f>TEXT(CleanedTable[[#This Row],[OrderDate]],"mmm yyyy")</f>
        <v>Aug 2023</v>
      </c>
      <c r="E211" t="s">
        <v>20</v>
      </c>
      <c r="F211" t="s">
        <v>26</v>
      </c>
      <c r="G211" s="12">
        <v>4</v>
      </c>
      <c r="H211" s="8">
        <v>551.71</v>
      </c>
      <c r="I211" t="s">
        <v>32</v>
      </c>
      <c r="J211" t="s">
        <v>36</v>
      </c>
      <c r="K211" s="10">
        <v>0.05</v>
      </c>
      <c r="L211" t="s">
        <v>37</v>
      </c>
      <c r="M211">
        <v>2096.498</v>
      </c>
      <c r="N211">
        <v>1324.104</v>
      </c>
      <c r="O211" s="10">
        <v>746.07399999999996</v>
      </c>
      <c r="P211" s="10">
        <v>0.35586678356001289</v>
      </c>
      <c r="Q211" s="8">
        <v>2096.498</v>
      </c>
      <c r="R211" t="s">
        <v>44</v>
      </c>
      <c r="T211" t="s">
        <v>2932</v>
      </c>
      <c r="U211">
        <v>1</v>
      </c>
      <c r="V211" t="str">
        <f>IF(CleanedTable[[#This Row],[Returned]] = 0,"NO","Yes")</f>
        <v>Yes</v>
      </c>
      <c r="W211" t="s">
        <v>260</v>
      </c>
      <c r="X211" t="s">
        <v>1758</v>
      </c>
      <c r="Y211" s="10">
        <v>26.32</v>
      </c>
      <c r="Z211" s="3">
        <v>45150</v>
      </c>
      <c r="AA211" s="3">
        <v>45153</v>
      </c>
      <c r="AB211" t="s">
        <v>2923</v>
      </c>
      <c r="AC211">
        <v>3</v>
      </c>
    </row>
    <row r="212" spans="1:29" x14ac:dyDescent="0.3">
      <c r="A212" s="3">
        <v>45096</v>
      </c>
      <c r="B212" s="3" t="str">
        <f>TEXT(CleanedTable[[#This Row],[OrderDate]],"mmm")</f>
        <v>Jun</v>
      </c>
      <c r="C212" s="3" t="str">
        <f>TEXT(CleanedTable[[#This Row],[OrderDate]],"yyyy")</f>
        <v>2023</v>
      </c>
      <c r="D212" s="3" t="str">
        <f>TEXT(CleanedTable[[#This Row],[OrderDate]],"mmm yyyy")</f>
        <v>Jun 2023</v>
      </c>
      <c r="E212" t="s">
        <v>23</v>
      </c>
      <c r="F212" t="s">
        <v>30</v>
      </c>
      <c r="G212" s="12">
        <v>17</v>
      </c>
      <c r="H212" s="8">
        <v>595.57000000000005</v>
      </c>
      <c r="I212" t="s">
        <v>34</v>
      </c>
      <c r="J212" t="s">
        <v>36</v>
      </c>
      <c r="K212" s="10">
        <v>0.15</v>
      </c>
      <c r="L212" t="s">
        <v>42</v>
      </c>
      <c r="M212">
        <v>8605.9865000000009</v>
      </c>
      <c r="N212">
        <v>6074.8140000000003</v>
      </c>
      <c r="O212" s="10">
        <v>2521.4425000000006</v>
      </c>
      <c r="P212" s="10">
        <v>0.29298703873170151</v>
      </c>
      <c r="Q212" s="8">
        <v>8605.9865000000009</v>
      </c>
      <c r="R212" t="s">
        <v>45</v>
      </c>
      <c r="S212" t="s">
        <v>50</v>
      </c>
      <c r="T212" t="s">
        <v>2931</v>
      </c>
      <c r="U212">
        <v>0</v>
      </c>
      <c r="V212" t="str">
        <f>IF(CleanedTable[[#This Row],[Returned]] = 0,"NO","Yes")</f>
        <v>NO</v>
      </c>
      <c r="W212" t="s">
        <v>261</v>
      </c>
      <c r="X212" t="s">
        <v>1759</v>
      </c>
      <c r="Y212" s="10">
        <v>9.73</v>
      </c>
      <c r="Z212" s="3">
        <v>45096</v>
      </c>
      <c r="AA212" s="3">
        <v>45105</v>
      </c>
      <c r="AB212" t="s">
        <v>2926</v>
      </c>
      <c r="AC212">
        <v>9</v>
      </c>
    </row>
    <row r="213" spans="1:29" x14ac:dyDescent="0.3">
      <c r="A213" s="3">
        <v>45289</v>
      </c>
      <c r="B213" s="3" t="str">
        <f>TEXT(CleanedTable[[#This Row],[OrderDate]],"mmm")</f>
        <v>Dec</v>
      </c>
      <c r="C213" s="3" t="str">
        <f>TEXT(CleanedTable[[#This Row],[OrderDate]],"yyyy")</f>
        <v>2023</v>
      </c>
      <c r="D213" s="3" t="str">
        <f>TEXT(CleanedTable[[#This Row],[OrderDate]],"mmm yyyy")</f>
        <v>Dec 2023</v>
      </c>
      <c r="E213" t="s">
        <v>19</v>
      </c>
      <c r="F213" t="s">
        <v>30</v>
      </c>
      <c r="G213" s="12">
        <v>1</v>
      </c>
      <c r="H213" s="8">
        <v>180.12</v>
      </c>
      <c r="I213" t="s">
        <v>32</v>
      </c>
      <c r="J213" t="s">
        <v>35</v>
      </c>
      <c r="K213" s="10">
        <v>0.1</v>
      </c>
      <c r="L213" t="s">
        <v>37</v>
      </c>
      <c r="M213">
        <v>162.108</v>
      </c>
      <c r="N213">
        <v>108.072</v>
      </c>
      <c r="O213" s="10">
        <v>26.966000000000001</v>
      </c>
      <c r="P213" s="10">
        <v>0.16634589286154911</v>
      </c>
      <c r="Q213" s="8">
        <v>162.108</v>
      </c>
      <c r="R213" t="s">
        <v>46</v>
      </c>
      <c r="T213" t="s">
        <v>2932</v>
      </c>
      <c r="U213">
        <v>0</v>
      </c>
      <c r="V213" t="str">
        <f>IF(CleanedTable[[#This Row],[Returned]] = 0,"NO","Yes")</f>
        <v>NO</v>
      </c>
      <c r="W213" t="s">
        <v>262</v>
      </c>
      <c r="X213" t="s">
        <v>1760</v>
      </c>
      <c r="Y213" s="10">
        <v>27.07</v>
      </c>
      <c r="Z213" s="3">
        <v>45289</v>
      </c>
      <c r="AA213" s="3">
        <v>45298</v>
      </c>
      <c r="AB213" t="s">
        <v>2922</v>
      </c>
      <c r="AC213">
        <v>9</v>
      </c>
    </row>
    <row r="214" spans="1:29" x14ac:dyDescent="0.3">
      <c r="A214" s="3">
        <v>45011</v>
      </c>
      <c r="B214" s="3" t="str">
        <f>TEXT(CleanedTable[[#This Row],[OrderDate]],"mmm")</f>
        <v>Mar</v>
      </c>
      <c r="C214" s="3" t="str">
        <f>TEXT(CleanedTable[[#This Row],[OrderDate]],"yyyy")</f>
        <v>2023</v>
      </c>
      <c r="D214" s="3" t="str">
        <f>TEXT(CleanedTable[[#This Row],[OrderDate]],"mmm yyyy")</f>
        <v>Mar 2023</v>
      </c>
      <c r="E214" t="s">
        <v>19</v>
      </c>
      <c r="F214" t="s">
        <v>26</v>
      </c>
      <c r="G214" s="12">
        <v>12</v>
      </c>
      <c r="H214" s="8">
        <v>301.5</v>
      </c>
      <c r="I214" t="s">
        <v>34</v>
      </c>
      <c r="J214" t="s">
        <v>36</v>
      </c>
      <c r="K214" s="10">
        <v>0.15</v>
      </c>
      <c r="L214" t="s">
        <v>42</v>
      </c>
      <c r="M214">
        <v>3075.2999999999997</v>
      </c>
      <c r="N214">
        <v>2170.8000000000002</v>
      </c>
      <c r="O214" s="10">
        <v>860.82999999999959</v>
      </c>
      <c r="P214" s="10">
        <v>0.27991740643189272</v>
      </c>
      <c r="Q214" s="8">
        <v>3075.3</v>
      </c>
      <c r="R214" t="s">
        <v>45</v>
      </c>
      <c r="S214" t="s">
        <v>48</v>
      </c>
      <c r="T214" t="s">
        <v>2931</v>
      </c>
      <c r="U214">
        <v>1</v>
      </c>
      <c r="V214" t="str">
        <f>IF(CleanedTable[[#This Row],[Returned]] = 0,"NO","Yes")</f>
        <v>Yes</v>
      </c>
      <c r="W214" t="s">
        <v>263</v>
      </c>
      <c r="X214" t="s">
        <v>1761</v>
      </c>
      <c r="Y214" s="10">
        <v>43.67</v>
      </c>
      <c r="Z214" s="3">
        <v>45011</v>
      </c>
      <c r="AA214" s="3">
        <v>45015</v>
      </c>
      <c r="AB214" t="s">
        <v>2922</v>
      </c>
      <c r="AC214">
        <v>4</v>
      </c>
    </row>
    <row r="215" spans="1:29" x14ac:dyDescent="0.3">
      <c r="A215" s="3">
        <v>45170</v>
      </c>
      <c r="B215" s="3" t="str">
        <f>TEXT(CleanedTable[[#This Row],[OrderDate]],"mmm")</f>
        <v>Sep</v>
      </c>
      <c r="C215" s="3" t="str">
        <f>TEXT(CleanedTable[[#This Row],[OrderDate]],"yyyy")</f>
        <v>2023</v>
      </c>
      <c r="D215" s="3" t="str">
        <f>TEXT(CleanedTable[[#This Row],[OrderDate]],"mmm yyyy")</f>
        <v>Sep 2023</v>
      </c>
      <c r="E215" t="s">
        <v>20</v>
      </c>
      <c r="F215" t="s">
        <v>25</v>
      </c>
      <c r="G215" s="12">
        <v>20</v>
      </c>
      <c r="H215" s="8">
        <v>273.55</v>
      </c>
      <c r="I215" t="s">
        <v>34</v>
      </c>
      <c r="J215" t="s">
        <v>36</v>
      </c>
      <c r="K215" s="10">
        <v>0.15</v>
      </c>
      <c r="L215" t="s">
        <v>39</v>
      </c>
      <c r="M215">
        <v>4650.3499999999995</v>
      </c>
      <c r="N215">
        <v>3282.6</v>
      </c>
      <c r="O215" s="10">
        <v>1352.9899999999996</v>
      </c>
      <c r="P215" s="10">
        <v>0.29094369241024864</v>
      </c>
      <c r="Q215" s="8">
        <v>4650.3499999999995</v>
      </c>
      <c r="R215" t="s">
        <v>46</v>
      </c>
      <c r="T215" t="s">
        <v>2932</v>
      </c>
      <c r="U215">
        <v>0</v>
      </c>
      <c r="V215" t="str">
        <f>IF(CleanedTable[[#This Row],[Returned]] = 0,"NO","Yes")</f>
        <v>NO</v>
      </c>
      <c r="W215" t="s">
        <v>264</v>
      </c>
      <c r="X215" t="s">
        <v>1762</v>
      </c>
      <c r="Y215" s="10">
        <v>14.76</v>
      </c>
      <c r="Z215" s="3">
        <v>45170</v>
      </c>
      <c r="AA215" s="3">
        <v>45176</v>
      </c>
      <c r="AB215" t="s">
        <v>2923</v>
      </c>
      <c r="AC215">
        <v>6</v>
      </c>
    </row>
    <row r="216" spans="1:29" x14ac:dyDescent="0.3">
      <c r="A216" s="3">
        <v>45509</v>
      </c>
      <c r="B216" s="3" t="str">
        <f>TEXT(CleanedTable[[#This Row],[OrderDate]],"mmm")</f>
        <v>Aug</v>
      </c>
      <c r="C216" s="3" t="str">
        <f>TEXT(CleanedTable[[#This Row],[OrderDate]],"yyyy")</f>
        <v>2024</v>
      </c>
      <c r="D216" s="3" t="str">
        <f>TEXT(CleanedTable[[#This Row],[OrderDate]],"mmm yyyy")</f>
        <v>Aug 2024</v>
      </c>
      <c r="E216" t="s">
        <v>23</v>
      </c>
      <c r="F216" t="s">
        <v>29</v>
      </c>
      <c r="G216" s="12">
        <v>6</v>
      </c>
      <c r="H216" s="8">
        <v>187.06</v>
      </c>
      <c r="I216" t="s">
        <v>31</v>
      </c>
      <c r="J216" t="s">
        <v>35</v>
      </c>
      <c r="K216" s="10">
        <v>0.1</v>
      </c>
      <c r="L216" t="s">
        <v>39</v>
      </c>
      <c r="M216">
        <v>1010.1240000000001</v>
      </c>
      <c r="N216">
        <v>673.41600000000005</v>
      </c>
      <c r="O216" s="10">
        <v>325.67800000000011</v>
      </c>
      <c r="P216" s="10">
        <v>0.32241388186004893</v>
      </c>
      <c r="Q216" s="8">
        <v>1010.124</v>
      </c>
      <c r="R216" t="s">
        <v>46</v>
      </c>
      <c r="S216" t="s">
        <v>48</v>
      </c>
      <c r="T216" t="s">
        <v>2931</v>
      </c>
      <c r="U216">
        <v>0</v>
      </c>
      <c r="V216" t="str">
        <f>IF(CleanedTable[[#This Row],[Returned]] = 0,"NO","Yes")</f>
        <v>NO</v>
      </c>
      <c r="W216" t="s">
        <v>265</v>
      </c>
      <c r="X216" t="s">
        <v>1763</v>
      </c>
      <c r="Y216" s="10">
        <v>11.03</v>
      </c>
      <c r="Z216" s="3">
        <v>45509</v>
      </c>
      <c r="AA216" s="3">
        <v>45517</v>
      </c>
      <c r="AB216" t="s">
        <v>2926</v>
      </c>
      <c r="AC216">
        <v>8</v>
      </c>
    </row>
    <row r="217" spans="1:29" x14ac:dyDescent="0.3">
      <c r="A217" s="3">
        <v>45680</v>
      </c>
      <c r="B217" s="3" t="str">
        <f>TEXT(CleanedTable[[#This Row],[OrderDate]],"mmm")</f>
        <v>Jan</v>
      </c>
      <c r="C217" s="3" t="str">
        <f>TEXT(CleanedTable[[#This Row],[OrderDate]],"yyyy")</f>
        <v>2025</v>
      </c>
      <c r="D217" s="3" t="str">
        <f>TEXT(CleanedTable[[#This Row],[OrderDate]],"mmm yyyy")</f>
        <v>Jan 2025</v>
      </c>
      <c r="E217" t="s">
        <v>21</v>
      </c>
      <c r="F217" t="s">
        <v>27</v>
      </c>
      <c r="G217" s="12">
        <v>16</v>
      </c>
      <c r="H217" s="8">
        <v>562.52</v>
      </c>
      <c r="I217" t="s">
        <v>34</v>
      </c>
      <c r="J217" t="s">
        <v>36</v>
      </c>
      <c r="K217" s="10">
        <v>0</v>
      </c>
      <c r="L217" t="s">
        <v>39</v>
      </c>
      <c r="M217">
        <v>9000.32</v>
      </c>
      <c r="N217">
        <v>5400.192</v>
      </c>
      <c r="O217" s="10">
        <v>3581.8979999999997</v>
      </c>
      <c r="P217" s="10">
        <v>0.3979745164616369</v>
      </c>
      <c r="Q217" s="8">
        <v>9000.32</v>
      </c>
      <c r="R217" t="s">
        <v>44</v>
      </c>
      <c r="T217" t="s">
        <v>2932</v>
      </c>
      <c r="U217">
        <v>0</v>
      </c>
      <c r="V217" t="str">
        <f>IF(CleanedTable[[#This Row],[Returned]] = 0,"NO","Yes")</f>
        <v>NO</v>
      </c>
      <c r="W217" t="s">
        <v>266</v>
      </c>
      <c r="X217" t="s">
        <v>1764</v>
      </c>
      <c r="Y217" s="10">
        <v>18.23</v>
      </c>
      <c r="Z217" s="3">
        <v>45680</v>
      </c>
      <c r="AA217" s="3">
        <v>45684</v>
      </c>
      <c r="AB217" t="s">
        <v>2924</v>
      </c>
      <c r="AC217">
        <v>4</v>
      </c>
    </row>
    <row r="218" spans="1:29" x14ac:dyDescent="0.3">
      <c r="A218" s="3">
        <v>45062</v>
      </c>
      <c r="B218" s="3" t="str">
        <f>TEXT(CleanedTable[[#This Row],[OrderDate]],"mmm")</f>
        <v>May</v>
      </c>
      <c r="C218" s="3" t="str">
        <f>TEXT(CleanedTable[[#This Row],[OrderDate]],"yyyy")</f>
        <v>2023</v>
      </c>
      <c r="D218" s="3" t="str">
        <f>TEXT(CleanedTable[[#This Row],[OrderDate]],"mmm yyyy")</f>
        <v>May 2023</v>
      </c>
      <c r="E218" t="s">
        <v>19</v>
      </c>
      <c r="F218" t="s">
        <v>29</v>
      </c>
      <c r="G218" s="12">
        <v>4</v>
      </c>
      <c r="H218" s="8">
        <v>85.16</v>
      </c>
      <c r="I218" t="s">
        <v>34</v>
      </c>
      <c r="J218" t="s">
        <v>35</v>
      </c>
      <c r="K218" s="10">
        <v>0.1</v>
      </c>
      <c r="L218" t="s">
        <v>40</v>
      </c>
      <c r="M218">
        <v>306.57600000000002</v>
      </c>
      <c r="N218">
        <v>204.38399999999999</v>
      </c>
      <c r="O218" s="10">
        <v>63.682000000000038</v>
      </c>
      <c r="P218" s="10">
        <v>0.20772010855383341</v>
      </c>
      <c r="Q218" s="8">
        <v>306.57600000000002</v>
      </c>
      <c r="R218" t="s">
        <v>45</v>
      </c>
      <c r="T218" t="s">
        <v>2932</v>
      </c>
      <c r="U218">
        <v>0</v>
      </c>
      <c r="V218" t="str">
        <f>IF(CleanedTable[[#This Row],[Returned]] = 0,"NO","Yes")</f>
        <v>NO</v>
      </c>
      <c r="W218" t="s">
        <v>267</v>
      </c>
      <c r="X218" t="s">
        <v>1765</v>
      </c>
      <c r="Y218" s="10">
        <v>38.51</v>
      </c>
      <c r="Z218" s="3">
        <v>45062</v>
      </c>
      <c r="AA218" s="3">
        <v>45069</v>
      </c>
      <c r="AB218" t="s">
        <v>2922</v>
      </c>
      <c r="AC218">
        <v>7</v>
      </c>
    </row>
    <row r="219" spans="1:29" x14ac:dyDescent="0.3">
      <c r="A219" s="3">
        <v>44971</v>
      </c>
      <c r="B219" s="3" t="str">
        <f>TEXT(CleanedTable[[#This Row],[OrderDate]],"mmm")</f>
        <v>Feb</v>
      </c>
      <c r="C219" s="3" t="str">
        <f>TEXT(CleanedTable[[#This Row],[OrderDate]],"yyyy")</f>
        <v>2023</v>
      </c>
      <c r="D219" s="3" t="str">
        <f>TEXT(CleanedTable[[#This Row],[OrderDate]],"mmm yyyy")</f>
        <v>Feb 2023</v>
      </c>
      <c r="E219" t="s">
        <v>21</v>
      </c>
      <c r="F219" t="s">
        <v>29</v>
      </c>
      <c r="G219" s="12">
        <v>12</v>
      </c>
      <c r="H219" s="8">
        <v>451.51</v>
      </c>
      <c r="I219" t="s">
        <v>31</v>
      </c>
      <c r="J219" t="s">
        <v>35</v>
      </c>
      <c r="K219" s="10">
        <v>0.15</v>
      </c>
      <c r="L219" t="s">
        <v>40</v>
      </c>
      <c r="M219">
        <v>4605.402</v>
      </c>
      <c r="N219">
        <v>3250.8720000000003</v>
      </c>
      <c r="O219" s="10">
        <v>1344.9899999999998</v>
      </c>
      <c r="P219" s="10">
        <v>0.29204616665385558</v>
      </c>
      <c r="Q219" s="8">
        <v>4605.402</v>
      </c>
      <c r="R219" t="s">
        <v>43</v>
      </c>
      <c r="S219" t="s">
        <v>50</v>
      </c>
      <c r="T219" t="s">
        <v>2931</v>
      </c>
      <c r="U219">
        <v>0</v>
      </c>
      <c r="V219" t="str">
        <f>IF(CleanedTable[[#This Row],[Returned]] = 0,"NO","Yes")</f>
        <v>NO</v>
      </c>
      <c r="W219" t="s">
        <v>268</v>
      </c>
      <c r="X219" t="s">
        <v>1766</v>
      </c>
      <c r="Y219" s="10">
        <v>9.5399999999999991</v>
      </c>
      <c r="Z219" s="3">
        <v>44971</v>
      </c>
      <c r="AA219" s="3">
        <v>44979</v>
      </c>
      <c r="AB219" t="s">
        <v>2924</v>
      </c>
      <c r="AC219">
        <v>8</v>
      </c>
    </row>
    <row r="220" spans="1:29" x14ac:dyDescent="0.3">
      <c r="A220" s="3">
        <v>45446</v>
      </c>
      <c r="B220" s="3" t="str">
        <f>TEXT(CleanedTable[[#This Row],[OrderDate]],"mmm")</f>
        <v>Jun</v>
      </c>
      <c r="C220" s="3" t="str">
        <f>TEXT(CleanedTable[[#This Row],[OrderDate]],"yyyy")</f>
        <v>2024</v>
      </c>
      <c r="D220" s="3" t="str">
        <f>TEXT(CleanedTable[[#This Row],[OrderDate]],"mmm yyyy")</f>
        <v>Jun 2024</v>
      </c>
      <c r="E220" t="s">
        <v>22</v>
      </c>
      <c r="F220" t="s">
        <v>29</v>
      </c>
      <c r="G220" s="12">
        <v>1</v>
      </c>
      <c r="H220" s="8">
        <v>259.87</v>
      </c>
      <c r="I220" t="s">
        <v>34</v>
      </c>
      <c r="J220" t="s">
        <v>36</v>
      </c>
      <c r="K220" s="10">
        <v>0.15</v>
      </c>
      <c r="L220" t="s">
        <v>37</v>
      </c>
      <c r="M220">
        <v>220.8895</v>
      </c>
      <c r="N220">
        <v>155.922</v>
      </c>
      <c r="O220" s="10">
        <v>45.767499999999998</v>
      </c>
      <c r="P220" s="10">
        <v>0.20719635836017555</v>
      </c>
      <c r="Q220" s="8">
        <v>220.8895</v>
      </c>
      <c r="R220" t="s">
        <v>44</v>
      </c>
      <c r="S220" t="s">
        <v>48</v>
      </c>
      <c r="T220" t="s">
        <v>2931</v>
      </c>
      <c r="U220">
        <v>0</v>
      </c>
      <c r="V220" t="str">
        <f>IF(CleanedTable[[#This Row],[Returned]] = 0,"NO","Yes")</f>
        <v>NO</v>
      </c>
      <c r="W220" t="s">
        <v>269</v>
      </c>
      <c r="X220" t="s">
        <v>1767</v>
      </c>
      <c r="Y220" s="10">
        <v>19.2</v>
      </c>
      <c r="Z220" s="3">
        <v>45446</v>
      </c>
      <c r="AA220" s="3">
        <v>45455</v>
      </c>
      <c r="AB220" t="s">
        <v>2925</v>
      </c>
      <c r="AC220">
        <v>9</v>
      </c>
    </row>
    <row r="221" spans="1:29" x14ac:dyDescent="0.3">
      <c r="A221" s="3">
        <v>45238</v>
      </c>
      <c r="B221" s="3" t="str">
        <f>TEXT(CleanedTable[[#This Row],[OrderDate]],"mmm")</f>
        <v>Nov</v>
      </c>
      <c r="C221" s="3" t="str">
        <f>TEXT(CleanedTable[[#This Row],[OrderDate]],"yyyy")</f>
        <v>2023</v>
      </c>
      <c r="D221" s="3" t="str">
        <f>TEXT(CleanedTable[[#This Row],[OrderDate]],"mmm yyyy")</f>
        <v>Nov 2023</v>
      </c>
      <c r="E221" t="s">
        <v>22</v>
      </c>
      <c r="F221" t="s">
        <v>29</v>
      </c>
      <c r="G221" s="12">
        <v>20</v>
      </c>
      <c r="H221" s="8">
        <v>268.25</v>
      </c>
      <c r="I221" t="s">
        <v>34</v>
      </c>
      <c r="J221" t="s">
        <v>36</v>
      </c>
      <c r="K221" s="10">
        <v>0.05</v>
      </c>
      <c r="L221" t="s">
        <v>41</v>
      </c>
      <c r="M221">
        <v>5096.75</v>
      </c>
      <c r="N221">
        <v>3219</v>
      </c>
      <c r="O221" s="10">
        <v>1856.79</v>
      </c>
      <c r="P221" s="10">
        <v>0.36430862804728503</v>
      </c>
      <c r="Q221" s="8">
        <v>5096.75</v>
      </c>
      <c r="R221" t="s">
        <v>47</v>
      </c>
      <c r="S221" t="s">
        <v>48</v>
      </c>
      <c r="T221" t="s">
        <v>2931</v>
      </c>
      <c r="U221">
        <v>0</v>
      </c>
      <c r="V221" t="str">
        <f>IF(CleanedTable[[#This Row],[Returned]] = 0,"NO","Yes")</f>
        <v>NO</v>
      </c>
      <c r="W221" t="s">
        <v>270</v>
      </c>
      <c r="X221" t="s">
        <v>1768</v>
      </c>
      <c r="Y221" s="10">
        <v>20.96</v>
      </c>
      <c r="Z221" s="3">
        <v>45238</v>
      </c>
      <c r="AA221" s="3">
        <v>45245</v>
      </c>
      <c r="AB221" t="s">
        <v>2925</v>
      </c>
      <c r="AC221">
        <v>7</v>
      </c>
    </row>
    <row r="222" spans="1:29" x14ac:dyDescent="0.3">
      <c r="A222" s="3">
        <v>44950</v>
      </c>
      <c r="B222" s="3" t="str">
        <f>TEXT(CleanedTable[[#This Row],[OrderDate]],"mmm")</f>
        <v>Jan</v>
      </c>
      <c r="C222" s="3" t="str">
        <f>TEXT(CleanedTable[[#This Row],[OrderDate]],"yyyy")</f>
        <v>2023</v>
      </c>
      <c r="D222" s="3" t="str">
        <f>TEXT(CleanedTable[[#This Row],[OrderDate]],"mmm yyyy")</f>
        <v>Jan 2023</v>
      </c>
      <c r="E222" t="s">
        <v>23</v>
      </c>
      <c r="F222" t="s">
        <v>25</v>
      </c>
      <c r="G222" s="12">
        <v>10</v>
      </c>
      <c r="H222" s="8">
        <v>266.13</v>
      </c>
      <c r="I222" t="s">
        <v>31</v>
      </c>
      <c r="J222" t="s">
        <v>35</v>
      </c>
      <c r="K222" s="10">
        <v>0</v>
      </c>
      <c r="L222" t="s">
        <v>41</v>
      </c>
      <c r="M222">
        <v>2661.3</v>
      </c>
      <c r="N222">
        <v>1596.78</v>
      </c>
      <c r="O222" s="10">
        <v>1043.5100000000002</v>
      </c>
      <c r="P222" s="10">
        <v>0.3921053620411078</v>
      </c>
      <c r="Q222" s="8">
        <v>2661.3</v>
      </c>
      <c r="R222" t="s">
        <v>44</v>
      </c>
      <c r="S222" t="s">
        <v>50</v>
      </c>
      <c r="T222" t="s">
        <v>2931</v>
      </c>
      <c r="U222">
        <v>0</v>
      </c>
      <c r="V222" t="str">
        <f>IF(CleanedTable[[#This Row],[Returned]] = 0,"NO","Yes")</f>
        <v>NO</v>
      </c>
      <c r="W222" t="s">
        <v>271</v>
      </c>
      <c r="X222" t="s">
        <v>1769</v>
      </c>
      <c r="Y222" s="10">
        <v>21.01</v>
      </c>
      <c r="Z222" s="3">
        <v>44950</v>
      </c>
      <c r="AA222" s="3">
        <v>44952</v>
      </c>
      <c r="AB222" t="s">
        <v>2926</v>
      </c>
      <c r="AC222">
        <v>2</v>
      </c>
    </row>
    <row r="223" spans="1:29" x14ac:dyDescent="0.3">
      <c r="A223" s="3">
        <v>45736</v>
      </c>
      <c r="B223" s="3" t="str">
        <f>TEXT(CleanedTable[[#This Row],[OrderDate]],"mmm")</f>
        <v>Mar</v>
      </c>
      <c r="C223" s="3" t="str">
        <f>TEXT(CleanedTable[[#This Row],[OrderDate]],"yyyy")</f>
        <v>2025</v>
      </c>
      <c r="D223" s="3" t="str">
        <f>TEXT(CleanedTable[[#This Row],[OrderDate]],"mmm yyyy")</f>
        <v>Mar 2025</v>
      </c>
      <c r="E223" t="s">
        <v>23</v>
      </c>
      <c r="F223" t="s">
        <v>24</v>
      </c>
      <c r="G223" s="12">
        <v>18</v>
      </c>
      <c r="H223" s="8">
        <v>493.06</v>
      </c>
      <c r="I223" t="s">
        <v>34</v>
      </c>
      <c r="J223" t="s">
        <v>35</v>
      </c>
      <c r="K223" s="10">
        <v>0.05</v>
      </c>
      <c r="L223" t="s">
        <v>41</v>
      </c>
      <c r="M223">
        <v>8431.3259999999991</v>
      </c>
      <c r="N223">
        <v>5325.0480000000007</v>
      </c>
      <c r="O223" s="10">
        <v>3059.4079999999985</v>
      </c>
      <c r="P223" s="10">
        <v>0.36286202194055822</v>
      </c>
      <c r="Q223" s="8">
        <v>8431.3259999999991</v>
      </c>
      <c r="R223" t="s">
        <v>47</v>
      </c>
      <c r="S223" t="s">
        <v>50</v>
      </c>
      <c r="T223" t="s">
        <v>2931</v>
      </c>
      <c r="U223">
        <v>1</v>
      </c>
      <c r="V223" t="str">
        <f>IF(CleanedTable[[#This Row],[Returned]] = 0,"NO","Yes")</f>
        <v>Yes</v>
      </c>
      <c r="W223" t="s">
        <v>272</v>
      </c>
      <c r="X223" t="s">
        <v>1770</v>
      </c>
      <c r="Y223" s="10">
        <v>46.87</v>
      </c>
      <c r="Z223" s="3">
        <v>45736</v>
      </c>
      <c r="AA223" s="3">
        <v>45744</v>
      </c>
      <c r="AB223" t="s">
        <v>2926</v>
      </c>
      <c r="AC223">
        <v>8</v>
      </c>
    </row>
    <row r="224" spans="1:29" x14ac:dyDescent="0.3">
      <c r="A224" s="3">
        <v>45344</v>
      </c>
      <c r="B224" s="3" t="str">
        <f>TEXT(CleanedTable[[#This Row],[OrderDate]],"mmm")</f>
        <v>Feb</v>
      </c>
      <c r="C224" s="3" t="str">
        <f>TEXT(CleanedTable[[#This Row],[OrderDate]],"yyyy")</f>
        <v>2024</v>
      </c>
      <c r="D224" s="3" t="str">
        <f>TEXT(CleanedTable[[#This Row],[OrderDate]],"mmm yyyy")</f>
        <v>Feb 2024</v>
      </c>
      <c r="E224" t="s">
        <v>23</v>
      </c>
      <c r="F224" t="s">
        <v>28</v>
      </c>
      <c r="G224" s="12">
        <v>4</v>
      </c>
      <c r="H224" s="8">
        <v>36.82</v>
      </c>
      <c r="I224" t="s">
        <v>33</v>
      </c>
      <c r="J224" t="s">
        <v>35</v>
      </c>
      <c r="K224" s="10">
        <v>0.05</v>
      </c>
      <c r="L224" t="s">
        <v>39</v>
      </c>
      <c r="M224">
        <v>139.916</v>
      </c>
      <c r="N224">
        <v>88.367999999999995</v>
      </c>
      <c r="O224" s="10">
        <v>26.688000000000002</v>
      </c>
      <c r="P224" s="10">
        <v>0.19074301723891479</v>
      </c>
      <c r="Q224" s="8">
        <v>139.916</v>
      </c>
      <c r="R224" t="s">
        <v>45</v>
      </c>
      <c r="S224" t="s">
        <v>50</v>
      </c>
      <c r="T224" t="s">
        <v>2931</v>
      </c>
      <c r="U224">
        <v>1</v>
      </c>
      <c r="V224" t="str">
        <f>IF(CleanedTable[[#This Row],[Returned]] = 0,"NO","Yes")</f>
        <v>Yes</v>
      </c>
      <c r="W224" t="s">
        <v>273</v>
      </c>
      <c r="X224" t="s">
        <v>1771</v>
      </c>
      <c r="Y224" s="10">
        <v>24.86</v>
      </c>
      <c r="Z224" s="3">
        <v>45344</v>
      </c>
      <c r="AA224" s="3">
        <v>45352</v>
      </c>
      <c r="AB224" t="s">
        <v>2926</v>
      </c>
      <c r="AC224">
        <v>8</v>
      </c>
    </row>
    <row r="225" spans="1:29" x14ac:dyDescent="0.3">
      <c r="A225" s="3">
        <v>45749</v>
      </c>
      <c r="B225" s="3" t="str">
        <f>TEXT(CleanedTable[[#This Row],[OrderDate]],"mmm")</f>
        <v>Apr</v>
      </c>
      <c r="C225" s="3" t="str">
        <f>TEXT(CleanedTable[[#This Row],[OrderDate]],"yyyy")</f>
        <v>2025</v>
      </c>
      <c r="D225" s="3" t="str">
        <f>TEXT(CleanedTable[[#This Row],[OrderDate]],"mmm yyyy")</f>
        <v>Apr 2025</v>
      </c>
      <c r="E225" t="s">
        <v>21</v>
      </c>
      <c r="F225" t="s">
        <v>30</v>
      </c>
      <c r="G225" s="12">
        <v>12</v>
      </c>
      <c r="H225" s="8">
        <v>413.45</v>
      </c>
      <c r="I225" t="s">
        <v>34</v>
      </c>
      <c r="J225" t="s">
        <v>36</v>
      </c>
      <c r="K225" s="10">
        <v>0.15</v>
      </c>
      <c r="L225" t="s">
        <v>42</v>
      </c>
      <c r="M225">
        <v>4217.1899999999996</v>
      </c>
      <c r="N225">
        <v>2976.84</v>
      </c>
      <c r="O225" s="10">
        <v>1217.0999999999995</v>
      </c>
      <c r="P225" s="10">
        <v>0.28860449730744869</v>
      </c>
      <c r="Q225" s="8">
        <v>4217.1899999999996</v>
      </c>
      <c r="R225" t="s">
        <v>47</v>
      </c>
      <c r="S225" t="s">
        <v>48</v>
      </c>
      <c r="T225" t="s">
        <v>2931</v>
      </c>
      <c r="U225">
        <v>0</v>
      </c>
      <c r="V225" t="str">
        <f>IF(CleanedTable[[#This Row],[Returned]] = 0,"NO","Yes")</f>
        <v>NO</v>
      </c>
      <c r="W225" t="s">
        <v>274</v>
      </c>
      <c r="X225" t="s">
        <v>1772</v>
      </c>
      <c r="Y225" s="10">
        <v>23.25</v>
      </c>
      <c r="Z225" s="3">
        <v>45749</v>
      </c>
      <c r="AA225" s="3">
        <v>45757</v>
      </c>
      <c r="AB225" t="s">
        <v>2924</v>
      </c>
      <c r="AC225">
        <v>8</v>
      </c>
    </row>
    <row r="226" spans="1:29" x14ac:dyDescent="0.3">
      <c r="A226" s="3">
        <v>45820</v>
      </c>
      <c r="B226" s="3" t="str">
        <f>TEXT(CleanedTable[[#This Row],[OrderDate]],"mmm")</f>
        <v>Jun</v>
      </c>
      <c r="C226" s="3" t="str">
        <f>TEXT(CleanedTable[[#This Row],[OrderDate]],"yyyy")</f>
        <v>2025</v>
      </c>
      <c r="D226" s="3" t="str">
        <f>TEXT(CleanedTable[[#This Row],[OrderDate]],"mmm yyyy")</f>
        <v>Jun 2025</v>
      </c>
      <c r="E226" t="s">
        <v>21</v>
      </c>
      <c r="F226" t="s">
        <v>27</v>
      </c>
      <c r="G226" s="12">
        <v>19</v>
      </c>
      <c r="H226" s="8">
        <v>446.25</v>
      </c>
      <c r="I226" t="s">
        <v>31</v>
      </c>
      <c r="J226" t="s">
        <v>36</v>
      </c>
      <c r="K226" s="10">
        <v>0.1</v>
      </c>
      <c r="L226" t="s">
        <v>37</v>
      </c>
      <c r="M226">
        <v>7630.875</v>
      </c>
      <c r="N226">
        <v>5087.25</v>
      </c>
      <c r="O226" s="10">
        <v>2528.7449999999999</v>
      </c>
      <c r="P226" s="10">
        <v>0.33138336036168853</v>
      </c>
      <c r="Q226" s="8">
        <v>7630.875</v>
      </c>
      <c r="R226" t="s">
        <v>44</v>
      </c>
      <c r="T226" t="s">
        <v>2932</v>
      </c>
      <c r="U226">
        <v>0</v>
      </c>
      <c r="V226" t="str">
        <f>IF(CleanedTable[[#This Row],[Returned]] = 0,"NO","Yes")</f>
        <v>NO</v>
      </c>
      <c r="W226" t="s">
        <v>275</v>
      </c>
      <c r="X226" t="s">
        <v>1773</v>
      </c>
      <c r="Y226" s="10">
        <v>14.88</v>
      </c>
      <c r="Z226" s="3">
        <v>45820</v>
      </c>
      <c r="AA226" s="3">
        <v>45826</v>
      </c>
      <c r="AB226" t="s">
        <v>2924</v>
      </c>
      <c r="AC226">
        <v>6</v>
      </c>
    </row>
    <row r="227" spans="1:29" x14ac:dyDescent="0.3">
      <c r="A227" s="3">
        <v>45059</v>
      </c>
      <c r="B227" s="3" t="str">
        <f>TEXT(CleanedTable[[#This Row],[OrderDate]],"mmm")</f>
        <v>May</v>
      </c>
      <c r="C227" s="3" t="str">
        <f>TEXT(CleanedTable[[#This Row],[OrderDate]],"yyyy")</f>
        <v>2023</v>
      </c>
      <c r="D227" s="3" t="str">
        <f>TEXT(CleanedTable[[#This Row],[OrderDate]],"mmm yyyy")</f>
        <v>May 2023</v>
      </c>
      <c r="E227" t="s">
        <v>19</v>
      </c>
      <c r="F227" t="s">
        <v>24</v>
      </c>
      <c r="G227" s="12">
        <v>7</v>
      </c>
      <c r="H227" s="8">
        <v>82.77</v>
      </c>
      <c r="I227" t="s">
        <v>34</v>
      </c>
      <c r="J227" t="s">
        <v>35</v>
      </c>
      <c r="K227" s="10">
        <v>0.15</v>
      </c>
      <c r="L227" t="s">
        <v>39</v>
      </c>
      <c r="M227">
        <v>492.48149999999998</v>
      </c>
      <c r="N227">
        <v>347.63400000000001</v>
      </c>
      <c r="O227" s="10">
        <v>129.18749999999997</v>
      </c>
      <c r="P227" s="10">
        <v>0.26231949829587503</v>
      </c>
      <c r="Q227" s="8">
        <v>492.48149999999998</v>
      </c>
      <c r="R227" t="s">
        <v>46</v>
      </c>
      <c r="S227" t="s">
        <v>49</v>
      </c>
      <c r="T227" t="s">
        <v>2931</v>
      </c>
      <c r="U227">
        <v>1</v>
      </c>
      <c r="V227" t="str">
        <f>IF(CleanedTable[[#This Row],[Returned]] = 0,"NO","Yes")</f>
        <v>Yes</v>
      </c>
      <c r="W227" t="s">
        <v>276</v>
      </c>
      <c r="X227" t="s">
        <v>1774</v>
      </c>
      <c r="Y227" s="10">
        <v>15.66</v>
      </c>
      <c r="Z227" s="3">
        <v>45059</v>
      </c>
      <c r="AA227" s="3">
        <v>45063</v>
      </c>
      <c r="AB227" t="s">
        <v>2922</v>
      </c>
      <c r="AC227">
        <v>4</v>
      </c>
    </row>
    <row r="228" spans="1:29" x14ac:dyDescent="0.3">
      <c r="A228" s="3">
        <v>45010</v>
      </c>
      <c r="B228" s="3" t="str">
        <f>TEXT(CleanedTable[[#This Row],[OrderDate]],"mmm")</f>
        <v>Mar</v>
      </c>
      <c r="C228" s="3" t="str">
        <f>TEXT(CleanedTable[[#This Row],[OrderDate]],"yyyy")</f>
        <v>2023</v>
      </c>
      <c r="D228" s="3" t="str">
        <f>TEXT(CleanedTable[[#This Row],[OrderDate]],"mmm yyyy")</f>
        <v>Mar 2023</v>
      </c>
      <c r="E228" t="s">
        <v>20</v>
      </c>
      <c r="F228" t="s">
        <v>26</v>
      </c>
      <c r="G228" s="12">
        <v>17</v>
      </c>
      <c r="H228" s="8">
        <v>339.88</v>
      </c>
      <c r="I228" t="s">
        <v>32</v>
      </c>
      <c r="J228" t="s">
        <v>36</v>
      </c>
      <c r="K228" s="10">
        <v>0</v>
      </c>
      <c r="L228" t="s">
        <v>38</v>
      </c>
      <c r="M228">
        <v>5777.96</v>
      </c>
      <c r="N228">
        <v>3466.7759999999998</v>
      </c>
      <c r="O228" s="10">
        <v>2266.3240000000001</v>
      </c>
      <c r="P228" s="10">
        <v>0.39223601409494008</v>
      </c>
      <c r="Q228" s="8">
        <v>5777.96</v>
      </c>
      <c r="R228" t="s">
        <v>47</v>
      </c>
      <c r="T228" t="s">
        <v>2932</v>
      </c>
      <c r="U228">
        <v>0</v>
      </c>
      <c r="V228" t="str">
        <f>IF(CleanedTable[[#This Row],[Returned]] = 0,"NO","Yes")</f>
        <v>NO</v>
      </c>
      <c r="W228" t="s">
        <v>277</v>
      </c>
      <c r="X228" t="s">
        <v>1775</v>
      </c>
      <c r="Y228" s="10">
        <v>44.86</v>
      </c>
      <c r="Z228" s="3">
        <v>45010</v>
      </c>
      <c r="AA228" s="3">
        <v>45013</v>
      </c>
      <c r="AB228" t="s">
        <v>2923</v>
      </c>
      <c r="AC228">
        <v>3</v>
      </c>
    </row>
    <row r="229" spans="1:29" x14ac:dyDescent="0.3">
      <c r="A229" s="3">
        <v>45618</v>
      </c>
      <c r="B229" s="3" t="str">
        <f>TEXT(CleanedTable[[#This Row],[OrderDate]],"mmm")</f>
        <v>Nov</v>
      </c>
      <c r="C229" s="3" t="str">
        <f>TEXT(CleanedTable[[#This Row],[OrderDate]],"yyyy")</f>
        <v>2024</v>
      </c>
      <c r="D229" s="3" t="str">
        <f>TEXT(CleanedTable[[#This Row],[OrderDate]],"mmm yyyy")</f>
        <v>Nov 2024</v>
      </c>
      <c r="E229" t="s">
        <v>20</v>
      </c>
      <c r="F229" t="s">
        <v>30</v>
      </c>
      <c r="G229" s="12">
        <v>19</v>
      </c>
      <c r="H229" s="8">
        <v>364.32</v>
      </c>
      <c r="I229" t="s">
        <v>31</v>
      </c>
      <c r="J229" t="s">
        <v>36</v>
      </c>
      <c r="K229" s="10">
        <v>0.15</v>
      </c>
      <c r="L229" t="s">
        <v>39</v>
      </c>
      <c r="M229">
        <v>5883.768</v>
      </c>
      <c r="N229">
        <v>4153.2479999999996</v>
      </c>
      <c r="O229" s="10">
        <v>1690.7600000000004</v>
      </c>
      <c r="P229" s="10">
        <v>0.28736007266092078</v>
      </c>
      <c r="Q229" s="8">
        <v>5883.768</v>
      </c>
      <c r="R229" t="s">
        <v>46</v>
      </c>
      <c r="T229" t="s">
        <v>2932</v>
      </c>
      <c r="U229">
        <v>1</v>
      </c>
      <c r="V229" t="str">
        <f>IF(CleanedTable[[#This Row],[Returned]] = 0,"NO","Yes")</f>
        <v>Yes</v>
      </c>
      <c r="W229" t="s">
        <v>278</v>
      </c>
      <c r="X229" t="s">
        <v>1776</v>
      </c>
      <c r="Y229" s="10">
        <v>39.76</v>
      </c>
      <c r="Z229" s="3">
        <v>45618</v>
      </c>
      <c r="AA229" s="3">
        <v>45621</v>
      </c>
      <c r="AB229" t="s">
        <v>2923</v>
      </c>
      <c r="AC229">
        <v>3</v>
      </c>
    </row>
    <row r="230" spans="1:29" x14ac:dyDescent="0.3">
      <c r="A230" s="3">
        <v>45114</v>
      </c>
      <c r="B230" s="3" t="str">
        <f>TEXT(CleanedTable[[#This Row],[OrderDate]],"mmm")</f>
        <v>Jul</v>
      </c>
      <c r="C230" s="3" t="str">
        <f>TEXT(CleanedTable[[#This Row],[OrderDate]],"yyyy")</f>
        <v>2023</v>
      </c>
      <c r="D230" s="3" t="str">
        <f>TEXT(CleanedTable[[#This Row],[OrderDate]],"mmm yyyy")</f>
        <v>Jul 2023</v>
      </c>
      <c r="E230" t="s">
        <v>19</v>
      </c>
      <c r="F230" t="s">
        <v>29</v>
      </c>
      <c r="G230" s="12">
        <v>3</v>
      </c>
      <c r="H230" s="8">
        <v>71.91</v>
      </c>
      <c r="I230" t="s">
        <v>31</v>
      </c>
      <c r="J230" t="s">
        <v>35</v>
      </c>
      <c r="K230" s="10">
        <v>0</v>
      </c>
      <c r="L230" t="s">
        <v>38</v>
      </c>
      <c r="M230">
        <v>215.73</v>
      </c>
      <c r="N230">
        <v>129.43799999999999</v>
      </c>
      <c r="O230" s="10">
        <v>40.042000000000002</v>
      </c>
      <c r="P230" s="10">
        <v>0.18561164418486073</v>
      </c>
      <c r="Q230" s="8">
        <v>215.73</v>
      </c>
      <c r="R230" t="s">
        <v>44</v>
      </c>
      <c r="S230" t="s">
        <v>50</v>
      </c>
      <c r="T230" t="s">
        <v>2931</v>
      </c>
      <c r="U230">
        <v>1</v>
      </c>
      <c r="V230" t="str">
        <f>IF(CleanedTable[[#This Row],[Returned]] = 0,"NO","Yes")</f>
        <v>Yes</v>
      </c>
      <c r="W230" t="s">
        <v>279</v>
      </c>
      <c r="X230" t="s">
        <v>1777</v>
      </c>
      <c r="Y230" s="10">
        <v>46.25</v>
      </c>
      <c r="Z230" s="3">
        <v>45114</v>
      </c>
      <c r="AA230" s="3">
        <v>45124</v>
      </c>
      <c r="AB230" t="s">
        <v>2922</v>
      </c>
      <c r="AC230">
        <v>10</v>
      </c>
    </row>
    <row r="231" spans="1:29" x14ac:dyDescent="0.3">
      <c r="A231" s="3">
        <v>45570</v>
      </c>
      <c r="B231" s="3" t="str">
        <f>TEXT(CleanedTable[[#This Row],[OrderDate]],"mmm")</f>
        <v>Oct</v>
      </c>
      <c r="C231" s="3" t="str">
        <f>TEXT(CleanedTable[[#This Row],[OrderDate]],"yyyy")</f>
        <v>2024</v>
      </c>
      <c r="D231" s="3" t="str">
        <f>TEXT(CleanedTable[[#This Row],[OrderDate]],"mmm yyyy")</f>
        <v>Oct 2024</v>
      </c>
      <c r="E231" t="s">
        <v>19</v>
      </c>
      <c r="F231" t="s">
        <v>29</v>
      </c>
      <c r="G231" s="12">
        <v>20</v>
      </c>
      <c r="H231" s="8">
        <v>576.29999999999995</v>
      </c>
      <c r="I231" t="s">
        <v>34</v>
      </c>
      <c r="J231" t="s">
        <v>35</v>
      </c>
      <c r="K231" s="10">
        <v>0.05</v>
      </c>
      <c r="L231" t="s">
        <v>37</v>
      </c>
      <c r="M231">
        <v>10949.699999999999</v>
      </c>
      <c r="N231">
        <v>6915.5999999999995</v>
      </c>
      <c r="O231" s="10">
        <v>4008.8799999999997</v>
      </c>
      <c r="P231" s="10">
        <v>0.36611779318154836</v>
      </c>
      <c r="Q231" s="8">
        <v>10949.7</v>
      </c>
      <c r="R231" t="s">
        <v>45</v>
      </c>
      <c r="T231" t="s">
        <v>2932</v>
      </c>
      <c r="U231">
        <v>0</v>
      </c>
      <c r="V231" t="str">
        <f>IF(CleanedTable[[#This Row],[Returned]] = 0,"NO","Yes")</f>
        <v>NO</v>
      </c>
      <c r="W231" t="s">
        <v>280</v>
      </c>
      <c r="X231" t="s">
        <v>1778</v>
      </c>
      <c r="Y231" s="10">
        <v>25.22</v>
      </c>
      <c r="Z231" s="3">
        <v>45570</v>
      </c>
      <c r="AA231" s="3">
        <v>45574</v>
      </c>
      <c r="AB231" t="s">
        <v>2922</v>
      </c>
      <c r="AC231">
        <v>4</v>
      </c>
    </row>
    <row r="232" spans="1:29" x14ac:dyDescent="0.3">
      <c r="A232" s="3">
        <v>45382</v>
      </c>
      <c r="B232" s="3" t="str">
        <f>TEXT(CleanedTable[[#This Row],[OrderDate]],"mmm")</f>
        <v>Mar</v>
      </c>
      <c r="C232" s="3" t="str">
        <f>TEXT(CleanedTable[[#This Row],[OrderDate]],"yyyy")</f>
        <v>2024</v>
      </c>
      <c r="D232" s="3" t="str">
        <f>TEXT(CleanedTable[[#This Row],[OrderDate]],"mmm yyyy")</f>
        <v>Mar 2024</v>
      </c>
      <c r="E232" t="s">
        <v>23</v>
      </c>
      <c r="F232" t="s">
        <v>24</v>
      </c>
      <c r="G232" s="12">
        <v>7</v>
      </c>
      <c r="H232" s="8">
        <v>120.6</v>
      </c>
      <c r="I232" t="s">
        <v>31</v>
      </c>
      <c r="J232" t="s">
        <v>35</v>
      </c>
      <c r="K232" s="10">
        <v>0</v>
      </c>
      <c r="L232" t="s">
        <v>41</v>
      </c>
      <c r="M232">
        <v>844.19999999999993</v>
      </c>
      <c r="N232">
        <v>506.52</v>
      </c>
      <c r="O232" s="10">
        <v>293.87999999999994</v>
      </c>
      <c r="P232" s="10">
        <v>0.34811656005685854</v>
      </c>
      <c r="Q232" s="8">
        <v>844.19999999999993</v>
      </c>
      <c r="R232" t="s">
        <v>43</v>
      </c>
      <c r="S232" t="s">
        <v>50</v>
      </c>
      <c r="T232" t="s">
        <v>2931</v>
      </c>
      <c r="U232">
        <v>0</v>
      </c>
      <c r="V232" t="str">
        <f>IF(CleanedTable[[#This Row],[Returned]] = 0,"NO","Yes")</f>
        <v>NO</v>
      </c>
      <c r="W232" t="s">
        <v>281</v>
      </c>
      <c r="X232" t="s">
        <v>1779</v>
      </c>
      <c r="Y232" s="10">
        <v>43.8</v>
      </c>
      <c r="Z232" s="3">
        <v>45382</v>
      </c>
      <c r="AA232" s="3">
        <v>45390</v>
      </c>
      <c r="AB232" t="s">
        <v>2926</v>
      </c>
      <c r="AC232">
        <v>8</v>
      </c>
    </row>
    <row r="233" spans="1:29" x14ac:dyDescent="0.3">
      <c r="A233" s="3">
        <v>45748</v>
      </c>
      <c r="B233" s="3" t="str">
        <f>TEXT(CleanedTable[[#This Row],[OrderDate]],"mmm")</f>
        <v>Apr</v>
      </c>
      <c r="C233" s="3" t="str">
        <f>TEXT(CleanedTable[[#This Row],[OrderDate]],"yyyy")</f>
        <v>2025</v>
      </c>
      <c r="D233" s="3" t="str">
        <f>TEXT(CleanedTable[[#This Row],[OrderDate]],"mmm yyyy")</f>
        <v>Apr 2025</v>
      </c>
      <c r="E233" t="s">
        <v>23</v>
      </c>
      <c r="F233" t="s">
        <v>30</v>
      </c>
      <c r="G233" s="12">
        <v>8</v>
      </c>
      <c r="H233" s="8">
        <v>96.19</v>
      </c>
      <c r="I233" t="s">
        <v>32</v>
      </c>
      <c r="J233" t="s">
        <v>35</v>
      </c>
      <c r="K233" s="10">
        <v>0.05</v>
      </c>
      <c r="L233" t="s">
        <v>40</v>
      </c>
      <c r="M233">
        <v>731.04399999999998</v>
      </c>
      <c r="N233">
        <v>461.71199999999999</v>
      </c>
      <c r="O233" s="10">
        <v>235.262</v>
      </c>
      <c r="P233" s="10">
        <v>0.32181647069123065</v>
      </c>
      <c r="Q233" s="8">
        <v>731.04399999999998</v>
      </c>
      <c r="R233" t="s">
        <v>46</v>
      </c>
      <c r="S233" t="s">
        <v>49</v>
      </c>
      <c r="T233" t="s">
        <v>2931</v>
      </c>
      <c r="U233">
        <v>0</v>
      </c>
      <c r="V233" t="str">
        <f>IF(CleanedTable[[#This Row],[Returned]] = 0,"NO","Yes")</f>
        <v>NO</v>
      </c>
      <c r="W233" t="s">
        <v>282</v>
      </c>
      <c r="X233" t="s">
        <v>1780</v>
      </c>
      <c r="Y233" s="10">
        <v>34.07</v>
      </c>
      <c r="Z233" s="3">
        <v>45748</v>
      </c>
      <c r="AA233" s="3">
        <v>45751</v>
      </c>
      <c r="AB233" t="s">
        <v>2926</v>
      </c>
      <c r="AC233">
        <v>3</v>
      </c>
    </row>
    <row r="234" spans="1:29" x14ac:dyDescent="0.3">
      <c r="A234" s="3">
        <v>45161</v>
      </c>
      <c r="B234" s="3" t="str">
        <f>TEXT(CleanedTable[[#This Row],[OrderDate]],"mmm")</f>
        <v>Aug</v>
      </c>
      <c r="C234" s="3" t="str">
        <f>TEXT(CleanedTable[[#This Row],[OrderDate]],"yyyy")</f>
        <v>2023</v>
      </c>
      <c r="D234" s="3" t="str">
        <f>TEXT(CleanedTable[[#This Row],[OrderDate]],"mmm yyyy")</f>
        <v>Aug 2023</v>
      </c>
      <c r="E234" t="s">
        <v>23</v>
      </c>
      <c r="F234" t="s">
        <v>30</v>
      </c>
      <c r="G234" s="12">
        <v>14</v>
      </c>
      <c r="H234" s="8">
        <v>471.17</v>
      </c>
      <c r="I234" t="s">
        <v>32</v>
      </c>
      <c r="J234" t="s">
        <v>35</v>
      </c>
      <c r="K234" s="10">
        <v>0.05</v>
      </c>
      <c r="L234" t="s">
        <v>40</v>
      </c>
      <c r="M234">
        <v>6266.5609999999997</v>
      </c>
      <c r="N234">
        <v>3957.828</v>
      </c>
      <c r="O234" s="10">
        <v>2282.3529999999996</v>
      </c>
      <c r="P234" s="10">
        <v>0.36421140718170614</v>
      </c>
      <c r="Q234" s="8">
        <v>6266.5609999999997</v>
      </c>
      <c r="R234" t="s">
        <v>44</v>
      </c>
      <c r="S234" t="s">
        <v>48</v>
      </c>
      <c r="T234" t="s">
        <v>2931</v>
      </c>
      <c r="U234">
        <v>0</v>
      </c>
      <c r="V234" t="str">
        <f>IF(CleanedTable[[#This Row],[Returned]] = 0,"NO","Yes")</f>
        <v>NO</v>
      </c>
      <c r="W234" t="s">
        <v>283</v>
      </c>
      <c r="X234" t="s">
        <v>1781</v>
      </c>
      <c r="Y234" s="10">
        <v>26.38</v>
      </c>
      <c r="Z234" s="3">
        <v>45161</v>
      </c>
      <c r="AA234" s="3">
        <v>45164</v>
      </c>
      <c r="AB234" t="s">
        <v>2926</v>
      </c>
      <c r="AC234">
        <v>3</v>
      </c>
    </row>
    <row r="235" spans="1:29" x14ac:dyDescent="0.3">
      <c r="A235" s="3">
        <v>45518</v>
      </c>
      <c r="B235" s="3" t="str">
        <f>TEXT(CleanedTable[[#This Row],[OrderDate]],"mmm")</f>
        <v>Aug</v>
      </c>
      <c r="C235" s="3" t="str">
        <f>TEXT(CleanedTable[[#This Row],[OrderDate]],"yyyy")</f>
        <v>2024</v>
      </c>
      <c r="D235" s="3" t="str">
        <f>TEXT(CleanedTable[[#This Row],[OrderDate]],"mmm yyyy")</f>
        <v>Aug 2024</v>
      </c>
      <c r="E235" t="s">
        <v>20</v>
      </c>
      <c r="F235" t="s">
        <v>25</v>
      </c>
      <c r="G235" s="12">
        <v>20</v>
      </c>
      <c r="H235" s="8">
        <v>14.33</v>
      </c>
      <c r="I235" t="s">
        <v>34</v>
      </c>
      <c r="J235" t="s">
        <v>35</v>
      </c>
      <c r="K235" s="10">
        <v>0.1</v>
      </c>
      <c r="L235" t="s">
        <v>40</v>
      </c>
      <c r="M235">
        <v>257.94000000000005</v>
      </c>
      <c r="N235">
        <v>171.95999999999998</v>
      </c>
      <c r="O235" s="10">
        <v>79.760000000000076</v>
      </c>
      <c r="P235" s="10">
        <v>0.30921919826316219</v>
      </c>
      <c r="Q235" s="8">
        <v>257.94000000000011</v>
      </c>
      <c r="R235" t="s">
        <v>46</v>
      </c>
      <c r="T235" t="s">
        <v>2932</v>
      </c>
      <c r="U235">
        <v>0</v>
      </c>
      <c r="V235" t="str">
        <f>IF(CleanedTable[[#This Row],[Returned]] = 0,"NO","Yes")</f>
        <v>NO</v>
      </c>
      <c r="W235" t="s">
        <v>284</v>
      </c>
      <c r="X235" t="s">
        <v>1782</v>
      </c>
      <c r="Y235" s="10">
        <v>6.22</v>
      </c>
      <c r="Z235" s="3">
        <v>45518</v>
      </c>
      <c r="AA235" s="3">
        <v>45525</v>
      </c>
      <c r="AB235" t="s">
        <v>2923</v>
      </c>
      <c r="AC235">
        <v>7</v>
      </c>
    </row>
    <row r="236" spans="1:29" x14ac:dyDescent="0.3">
      <c r="A236" s="3">
        <v>45702</v>
      </c>
      <c r="B236" s="3" t="str">
        <f>TEXT(CleanedTable[[#This Row],[OrderDate]],"mmm")</f>
        <v>Feb</v>
      </c>
      <c r="C236" s="3" t="str">
        <f>TEXT(CleanedTable[[#This Row],[OrderDate]],"yyyy")</f>
        <v>2025</v>
      </c>
      <c r="D236" s="3" t="str">
        <f>TEXT(CleanedTable[[#This Row],[OrderDate]],"mmm yyyy")</f>
        <v>Feb 2025</v>
      </c>
      <c r="E236" t="s">
        <v>22</v>
      </c>
      <c r="F236" t="s">
        <v>29</v>
      </c>
      <c r="G236" s="12">
        <v>18</v>
      </c>
      <c r="H236" s="8">
        <v>499.61</v>
      </c>
      <c r="I236" t="s">
        <v>31</v>
      </c>
      <c r="J236" t="s">
        <v>36</v>
      </c>
      <c r="K236" s="10">
        <v>0.15</v>
      </c>
      <c r="L236" t="s">
        <v>38</v>
      </c>
      <c r="M236">
        <v>7644.0329999999994</v>
      </c>
      <c r="N236">
        <v>5395.7880000000005</v>
      </c>
      <c r="O236" s="10">
        <v>2238.6049999999991</v>
      </c>
      <c r="P236" s="10">
        <v>0.29285653267064643</v>
      </c>
      <c r="Q236" s="8">
        <v>7644.0329999999994</v>
      </c>
      <c r="R236" t="s">
        <v>46</v>
      </c>
      <c r="T236" t="s">
        <v>2932</v>
      </c>
      <c r="U236">
        <v>0</v>
      </c>
      <c r="V236" t="str">
        <f>IF(CleanedTable[[#This Row],[Returned]] = 0,"NO","Yes")</f>
        <v>NO</v>
      </c>
      <c r="W236" t="s">
        <v>285</v>
      </c>
      <c r="X236" t="s">
        <v>1783</v>
      </c>
      <c r="Y236" s="10">
        <v>9.64</v>
      </c>
      <c r="Z236" s="3">
        <v>45702</v>
      </c>
      <c r="AA236" s="3">
        <v>45707</v>
      </c>
      <c r="AB236" t="s">
        <v>2925</v>
      </c>
      <c r="AC236">
        <v>5</v>
      </c>
    </row>
    <row r="237" spans="1:29" x14ac:dyDescent="0.3">
      <c r="A237" s="3">
        <v>45241</v>
      </c>
      <c r="B237" s="3" t="str">
        <f>TEXT(CleanedTable[[#This Row],[OrderDate]],"mmm")</f>
        <v>Nov</v>
      </c>
      <c r="C237" s="3" t="str">
        <f>TEXT(CleanedTable[[#This Row],[OrderDate]],"yyyy")</f>
        <v>2023</v>
      </c>
      <c r="D237" s="3" t="str">
        <f>TEXT(CleanedTable[[#This Row],[OrderDate]],"mmm yyyy")</f>
        <v>Nov 2023</v>
      </c>
      <c r="E237" t="s">
        <v>23</v>
      </c>
      <c r="F237" t="s">
        <v>28</v>
      </c>
      <c r="G237" s="12">
        <v>14</v>
      </c>
      <c r="H237" s="8">
        <v>16.329999999999998</v>
      </c>
      <c r="I237" t="s">
        <v>31</v>
      </c>
      <c r="J237" t="s">
        <v>35</v>
      </c>
      <c r="K237" s="10">
        <v>0.1</v>
      </c>
      <c r="L237" t="s">
        <v>41</v>
      </c>
      <c r="M237">
        <v>205.75799999999998</v>
      </c>
      <c r="N237">
        <v>137.17199999999997</v>
      </c>
      <c r="O237" s="10">
        <v>45.866000000000014</v>
      </c>
      <c r="P237" s="10">
        <v>0.22291235334713605</v>
      </c>
      <c r="Q237" s="8">
        <v>205.75800000000001</v>
      </c>
      <c r="R237" t="s">
        <v>46</v>
      </c>
      <c r="S237" t="s">
        <v>50</v>
      </c>
      <c r="T237" t="s">
        <v>2931</v>
      </c>
      <c r="U237">
        <v>0</v>
      </c>
      <c r="V237" t="str">
        <f>IF(CleanedTable[[#This Row],[Returned]] = 0,"NO","Yes")</f>
        <v>NO</v>
      </c>
      <c r="W237" t="s">
        <v>286</v>
      </c>
      <c r="X237" t="s">
        <v>1784</v>
      </c>
      <c r="Y237" s="10">
        <v>22.72</v>
      </c>
      <c r="Z237" s="3">
        <v>45241</v>
      </c>
      <c r="AA237" s="3">
        <v>45246</v>
      </c>
      <c r="AB237" t="s">
        <v>2926</v>
      </c>
      <c r="AC237">
        <v>5</v>
      </c>
    </row>
    <row r="238" spans="1:29" x14ac:dyDescent="0.3">
      <c r="A238" s="3">
        <v>45383</v>
      </c>
      <c r="B238" s="3" t="str">
        <f>TEXT(CleanedTable[[#This Row],[OrderDate]],"mmm")</f>
        <v>Apr</v>
      </c>
      <c r="C238" s="3" t="str">
        <f>TEXT(CleanedTable[[#This Row],[OrderDate]],"yyyy")</f>
        <v>2024</v>
      </c>
      <c r="D238" s="3" t="str">
        <f>TEXT(CleanedTable[[#This Row],[OrderDate]],"mmm yyyy")</f>
        <v>Apr 2024</v>
      </c>
      <c r="E238" t="s">
        <v>22</v>
      </c>
      <c r="F238" t="s">
        <v>26</v>
      </c>
      <c r="G238" s="12">
        <v>17</v>
      </c>
      <c r="H238" s="8">
        <v>480.62</v>
      </c>
      <c r="I238" t="s">
        <v>33</v>
      </c>
      <c r="J238" t="s">
        <v>35</v>
      </c>
      <c r="K238" s="10">
        <v>0.15</v>
      </c>
      <c r="L238" t="s">
        <v>40</v>
      </c>
      <c r="M238">
        <v>6944.9589999999998</v>
      </c>
      <c r="N238">
        <v>4902.3240000000005</v>
      </c>
      <c r="O238" s="10">
        <v>2005.5449999999994</v>
      </c>
      <c r="P238" s="10">
        <v>0.28877708277327474</v>
      </c>
      <c r="Q238" s="8">
        <v>6944.9589999999998</v>
      </c>
      <c r="R238" t="s">
        <v>43</v>
      </c>
      <c r="S238" t="s">
        <v>48</v>
      </c>
      <c r="T238" t="s">
        <v>2931</v>
      </c>
      <c r="U238">
        <v>0</v>
      </c>
      <c r="V238" t="str">
        <f>IF(CleanedTable[[#This Row],[Returned]] = 0,"NO","Yes")</f>
        <v>NO</v>
      </c>
      <c r="W238" t="s">
        <v>287</v>
      </c>
      <c r="X238" t="s">
        <v>1785</v>
      </c>
      <c r="Y238" s="10">
        <v>37.090000000000003</v>
      </c>
      <c r="Z238" s="3">
        <v>45383</v>
      </c>
      <c r="AA238" s="3">
        <v>45391</v>
      </c>
      <c r="AB238" t="s">
        <v>2925</v>
      </c>
      <c r="AC238">
        <v>8</v>
      </c>
    </row>
    <row r="239" spans="1:29" x14ac:dyDescent="0.3">
      <c r="A239" s="3">
        <v>45456</v>
      </c>
      <c r="B239" s="3" t="str">
        <f>TEXT(CleanedTable[[#This Row],[OrderDate]],"mmm")</f>
        <v>Jun</v>
      </c>
      <c r="C239" s="3" t="str">
        <f>TEXT(CleanedTable[[#This Row],[OrderDate]],"yyyy")</f>
        <v>2024</v>
      </c>
      <c r="D239" s="3" t="str">
        <f>TEXT(CleanedTable[[#This Row],[OrderDate]],"mmm yyyy")</f>
        <v>Jun 2024</v>
      </c>
      <c r="E239" t="s">
        <v>20</v>
      </c>
      <c r="F239" t="s">
        <v>27</v>
      </c>
      <c r="G239" s="12">
        <v>5</v>
      </c>
      <c r="H239" s="8">
        <v>555.84</v>
      </c>
      <c r="I239" t="s">
        <v>33</v>
      </c>
      <c r="J239" t="s">
        <v>36</v>
      </c>
      <c r="K239" s="10">
        <v>0.05</v>
      </c>
      <c r="L239" t="s">
        <v>41</v>
      </c>
      <c r="M239">
        <v>2640.2400000000002</v>
      </c>
      <c r="N239">
        <v>1667.52</v>
      </c>
      <c r="O239" s="10">
        <v>943.32000000000028</v>
      </c>
      <c r="P239" s="10">
        <v>0.35728570129988191</v>
      </c>
      <c r="Q239" s="8">
        <v>2640.24</v>
      </c>
      <c r="R239" t="s">
        <v>45</v>
      </c>
      <c r="T239" t="s">
        <v>2932</v>
      </c>
      <c r="U239">
        <v>0</v>
      </c>
      <c r="V239" t="str">
        <f>IF(CleanedTable[[#This Row],[Returned]] = 0,"NO","Yes")</f>
        <v>NO</v>
      </c>
      <c r="W239" t="s">
        <v>288</v>
      </c>
      <c r="X239" t="s">
        <v>1786</v>
      </c>
      <c r="Y239" s="10">
        <v>29.4</v>
      </c>
      <c r="Z239" s="3">
        <v>45456</v>
      </c>
      <c r="AA239" s="3">
        <v>45463</v>
      </c>
      <c r="AB239" t="s">
        <v>2923</v>
      </c>
      <c r="AC239">
        <v>7</v>
      </c>
    </row>
    <row r="240" spans="1:29" x14ac:dyDescent="0.3">
      <c r="A240" s="3">
        <v>45258</v>
      </c>
      <c r="B240" s="3" t="str">
        <f>TEXT(CleanedTable[[#This Row],[OrderDate]],"mmm")</f>
        <v>Nov</v>
      </c>
      <c r="C240" s="3" t="str">
        <f>TEXT(CleanedTable[[#This Row],[OrderDate]],"yyyy")</f>
        <v>2023</v>
      </c>
      <c r="D240" s="3" t="str">
        <f>TEXT(CleanedTable[[#This Row],[OrderDate]],"mmm yyyy")</f>
        <v>Nov 2023</v>
      </c>
      <c r="E240" t="s">
        <v>21</v>
      </c>
      <c r="F240" t="s">
        <v>27</v>
      </c>
      <c r="G240" s="12">
        <v>18</v>
      </c>
      <c r="H240" s="8">
        <v>174.03</v>
      </c>
      <c r="I240" t="s">
        <v>31</v>
      </c>
      <c r="J240" t="s">
        <v>35</v>
      </c>
      <c r="K240" s="10">
        <v>0.1</v>
      </c>
      <c r="L240" t="s">
        <v>39</v>
      </c>
      <c r="M240">
        <v>2819.2860000000001</v>
      </c>
      <c r="N240">
        <v>1879.5239999999999</v>
      </c>
      <c r="O240" s="10">
        <v>907.57200000000012</v>
      </c>
      <c r="P240" s="10">
        <v>0.32191554883044859</v>
      </c>
      <c r="Q240" s="8">
        <v>2819.2860000000001</v>
      </c>
      <c r="R240" t="s">
        <v>43</v>
      </c>
      <c r="S240" t="s">
        <v>49</v>
      </c>
      <c r="T240" t="s">
        <v>2931</v>
      </c>
      <c r="U240">
        <v>0</v>
      </c>
      <c r="V240" t="str">
        <f>IF(CleanedTable[[#This Row],[Returned]] = 0,"NO","Yes")</f>
        <v>NO</v>
      </c>
      <c r="W240" t="s">
        <v>289</v>
      </c>
      <c r="X240" t="s">
        <v>1787</v>
      </c>
      <c r="Y240" s="10">
        <v>32.19</v>
      </c>
      <c r="Z240" s="3">
        <v>45258</v>
      </c>
      <c r="AA240" s="3">
        <v>45263</v>
      </c>
      <c r="AB240" t="s">
        <v>2924</v>
      </c>
      <c r="AC240">
        <v>5</v>
      </c>
    </row>
    <row r="241" spans="1:29" x14ac:dyDescent="0.3">
      <c r="A241" s="3">
        <v>45607</v>
      </c>
      <c r="B241" s="3" t="str">
        <f>TEXT(CleanedTable[[#This Row],[OrderDate]],"mmm")</f>
        <v>Nov</v>
      </c>
      <c r="C241" s="3" t="str">
        <f>TEXT(CleanedTable[[#This Row],[OrderDate]],"yyyy")</f>
        <v>2024</v>
      </c>
      <c r="D241" s="3" t="str">
        <f>TEXT(CleanedTable[[#This Row],[OrderDate]],"mmm yyyy")</f>
        <v>Nov 2024</v>
      </c>
      <c r="E241" t="s">
        <v>22</v>
      </c>
      <c r="F241" t="s">
        <v>26</v>
      </c>
      <c r="G241" s="12">
        <v>11</v>
      </c>
      <c r="H241" s="8">
        <v>286.05</v>
      </c>
      <c r="I241" t="s">
        <v>32</v>
      </c>
      <c r="J241" t="s">
        <v>36</v>
      </c>
      <c r="K241" s="10">
        <v>0.1</v>
      </c>
      <c r="L241" t="s">
        <v>42</v>
      </c>
      <c r="M241">
        <v>2831.8950000000004</v>
      </c>
      <c r="N241">
        <v>1887.9299999999998</v>
      </c>
      <c r="O241" s="10">
        <v>935.37500000000057</v>
      </c>
      <c r="P241" s="10">
        <v>0.33030002877931575</v>
      </c>
      <c r="Q241" s="8">
        <v>2831.895</v>
      </c>
      <c r="R241" t="s">
        <v>46</v>
      </c>
      <c r="T241" t="s">
        <v>2932</v>
      </c>
      <c r="U241">
        <v>1</v>
      </c>
      <c r="V241" t="str">
        <f>IF(CleanedTable[[#This Row],[Returned]] = 0,"NO","Yes")</f>
        <v>Yes</v>
      </c>
      <c r="W241" t="s">
        <v>290</v>
      </c>
      <c r="X241" t="s">
        <v>1788</v>
      </c>
      <c r="Y241" s="10">
        <v>8.59</v>
      </c>
      <c r="Z241" s="3">
        <v>45607</v>
      </c>
      <c r="AA241" s="3">
        <v>45612</v>
      </c>
      <c r="AB241" t="s">
        <v>2925</v>
      </c>
      <c r="AC241">
        <v>5</v>
      </c>
    </row>
    <row r="242" spans="1:29" x14ac:dyDescent="0.3">
      <c r="A242" s="3">
        <v>45600</v>
      </c>
      <c r="B242" s="3" t="str">
        <f>TEXT(CleanedTable[[#This Row],[OrderDate]],"mmm")</f>
        <v>Nov</v>
      </c>
      <c r="C242" s="3" t="str">
        <f>TEXT(CleanedTable[[#This Row],[OrderDate]],"yyyy")</f>
        <v>2024</v>
      </c>
      <c r="D242" s="3" t="str">
        <f>TEXT(CleanedTable[[#This Row],[OrderDate]],"mmm yyyy")</f>
        <v>Nov 2024</v>
      </c>
      <c r="E242" t="s">
        <v>21</v>
      </c>
      <c r="F242" t="s">
        <v>26</v>
      </c>
      <c r="G242" s="12">
        <v>16</v>
      </c>
      <c r="H242" s="8">
        <v>40.729999999999997</v>
      </c>
      <c r="I242" t="s">
        <v>34</v>
      </c>
      <c r="J242" t="s">
        <v>36</v>
      </c>
      <c r="K242" s="10">
        <v>0</v>
      </c>
      <c r="L242" t="s">
        <v>38</v>
      </c>
      <c r="M242">
        <v>651.67999999999995</v>
      </c>
      <c r="N242">
        <v>391.00799999999998</v>
      </c>
      <c r="O242" s="10">
        <v>235.95199999999997</v>
      </c>
      <c r="P242" s="10">
        <v>0.36206727228087404</v>
      </c>
      <c r="Q242" s="8">
        <v>651.67999999999995</v>
      </c>
      <c r="R242" t="s">
        <v>45</v>
      </c>
      <c r="T242" t="s">
        <v>2932</v>
      </c>
      <c r="U242">
        <v>0</v>
      </c>
      <c r="V242" t="str">
        <f>IF(CleanedTable[[#This Row],[Returned]] = 0,"NO","Yes")</f>
        <v>NO</v>
      </c>
      <c r="W242" t="s">
        <v>291</v>
      </c>
      <c r="X242" t="s">
        <v>1789</v>
      </c>
      <c r="Y242" s="10">
        <v>24.72</v>
      </c>
      <c r="Z242" s="3">
        <v>45600</v>
      </c>
      <c r="AA242" s="3">
        <v>45604</v>
      </c>
      <c r="AB242" t="s">
        <v>2924</v>
      </c>
      <c r="AC242">
        <v>4</v>
      </c>
    </row>
    <row r="243" spans="1:29" x14ac:dyDescent="0.3">
      <c r="A243" s="3">
        <v>44927</v>
      </c>
      <c r="B243" s="3" t="str">
        <f>TEXT(CleanedTable[[#This Row],[OrderDate]],"mmm")</f>
        <v>Jan</v>
      </c>
      <c r="C243" s="3" t="str">
        <f>TEXT(CleanedTable[[#This Row],[OrderDate]],"yyyy")</f>
        <v>2023</v>
      </c>
      <c r="D243" s="3" t="str">
        <f>TEXT(CleanedTable[[#This Row],[OrderDate]],"mmm yyyy")</f>
        <v>Jan 2023</v>
      </c>
      <c r="E243" t="s">
        <v>22</v>
      </c>
      <c r="F243" t="s">
        <v>27</v>
      </c>
      <c r="G243" s="12">
        <v>11</v>
      </c>
      <c r="H243" s="8">
        <v>468.22</v>
      </c>
      <c r="I243" t="s">
        <v>34</v>
      </c>
      <c r="J243" t="s">
        <v>36</v>
      </c>
      <c r="K243" s="10">
        <v>0</v>
      </c>
      <c r="L243" t="s">
        <v>40</v>
      </c>
      <c r="M243">
        <v>5150.42</v>
      </c>
      <c r="N243">
        <v>3090.2520000000004</v>
      </c>
      <c r="O243" s="10">
        <v>2040.2479999999996</v>
      </c>
      <c r="P243" s="10">
        <v>0.39613235425460441</v>
      </c>
      <c r="Q243" s="8">
        <v>5150.42</v>
      </c>
      <c r="R243" t="s">
        <v>46</v>
      </c>
      <c r="S243" t="s">
        <v>50</v>
      </c>
      <c r="T243" t="s">
        <v>2931</v>
      </c>
      <c r="U243">
        <v>0</v>
      </c>
      <c r="V243" t="str">
        <f>IF(CleanedTable[[#This Row],[Returned]] = 0,"NO","Yes")</f>
        <v>NO</v>
      </c>
      <c r="W243" t="s">
        <v>292</v>
      </c>
      <c r="X243" t="s">
        <v>1790</v>
      </c>
      <c r="Y243" s="10">
        <v>19.920000000000002</v>
      </c>
      <c r="Z243" s="3">
        <v>44927</v>
      </c>
      <c r="AA243" s="3">
        <v>44937</v>
      </c>
      <c r="AB243" t="s">
        <v>2925</v>
      </c>
      <c r="AC243">
        <v>10</v>
      </c>
    </row>
    <row r="244" spans="1:29" x14ac:dyDescent="0.3">
      <c r="A244" s="3">
        <v>45675</v>
      </c>
      <c r="B244" s="3" t="str">
        <f>TEXT(CleanedTable[[#This Row],[OrderDate]],"mmm")</f>
        <v>Jan</v>
      </c>
      <c r="C244" s="3" t="str">
        <f>TEXT(CleanedTable[[#This Row],[OrderDate]],"yyyy")</f>
        <v>2025</v>
      </c>
      <c r="D244" s="3" t="str">
        <f>TEXT(CleanedTable[[#This Row],[OrderDate]],"mmm yyyy")</f>
        <v>Jan 2025</v>
      </c>
      <c r="E244" t="s">
        <v>21</v>
      </c>
      <c r="F244" t="s">
        <v>29</v>
      </c>
      <c r="G244" s="12">
        <v>1</v>
      </c>
      <c r="H244" s="8">
        <v>411.54</v>
      </c>
      <c r="I244" t="s">
        <v>33</v>
      </c>
      <c r="J244" t="s">
        <v>36</v>
      </c>
      <c r="K244" s="10">
        <v>0.1</v>
      </c>
      <c r="L244" t="s">
        <v>37</v>
      </c>
      <c r="M244">
        <v>370.38600000000002</v>
      </c>
      <c r="N244">
        <v>246.92400000000001</v>
      </c>
      <c r="O244" s="10">
        <v>116.00200000000002</v>
      </c>
      <c r="P244" s="10">
        <v>0.3131921832898652</v>
      </c>
      <c r="Q244" s="8">
        <v>370.38600000000002</v>
      </c>
      <c r="R244" t="s">
        <v>44</v>
      </c>
      <c r="S244" t="s">
        <v>50</v>
      </c>
      <c r="T244" t="s">
        <v>2931</v>
      </c>
      <c r="U244">
        <v>0</v>
      </c>
      <c r="V244" t="str">
        <f>IF(CleanedTable[[#This Row],[Returned]] = 0,"NO","Yes")</f>
        <v>NO</v>
      </c>
      <c r="W244" t="s">
        <v>293</v>
      </c>
      <c r="X244" t="s">
        <v>1791</v>
      </c>
      <c r="Y244" s="10">
        <v>7.46</v>
      </c>
      <c r="Z244" s="3">
        <v>45675</v>
      </c>
      <c r="AA244" s="3">
        <v>45677</v>
      </c>
      <c r="AB244" t="s">
        <v>2924</v>
      </c>
      <c r="AC244">
        <v>2</v>
      </c>
    </row>
    <row r="245" spans="1:29" x14ac:dyDescent="0.3">
      <c r="A245" s="3">
        <v>45048</v>
      </c>
      <c r="B245" s="3" t="str">
        <f>TEXT(CleanedTable[[#This Row],[OrderDate]],"mmm")</f>
        <v>May</v>
      </c>
      <c r="C245" s="3" t="str">
        <f>TEXT(CleanedTable[[#This Row],[OrderDate]],"yyyy")</f>
        <v>2023</v>
      </c>
      <c r="D245" s="3" t="str">
        <f>TEXT(CleanedTable[[#This Row],[OrderDate]],"mmm yyyy")</f>
        <v>May 2023</v>
      </c>
      <c r="E245" t="s">
        <v>22</v>
      </c>
      <c r="F245" t="s">
        <v>30</v>
      </c>
      <c r="G245" s="12">
        <v>13</v>
      </c>
      <c r="H245" s="8">
        <v>134.19999999999999</v>
      </c>
      <c r="I245" t="s">
        <v>32</v>
      </c>
      <c r="J245" t="s">
        <v>35</v>
      </c>
      <c r="K245" s="10">
        <v>0.05</v>
      </c>
      <c r="L245" t="s">
        <v>37</v>
      </c>
      <c r="M245">
        <v>1657.37</v>
      </c>
      <c r="N245">
        <v>1046.76</v>
      </c>
      <c r="O245" s="10">
        <v>601.00999999999988</v>
      </c>
      <c r="P245" s="10">
        <v>0.36262874312917448</v>
      </c>
      <c r="Q245" s="8">
        <v>1657.37</v>
      </c>
      <c r="R245" t="s">
        <v>45</v>
      </c>
      <c r="S245" t="s">
        <v>50</v>
      </c>
      <c r="T245" t="s">
        <v>2931</v>
      </c>
      <c r="U245">
        <v>0</v>
      </c>
      <c r="V245" t="str">
        <f>IF(CleanedTable[[#This Row],[Returned]] = 0,"NO","Yes")</f>
        <v>NO</v>
      </c>
      <c r="W245" t="s">
        <v>294</v>
      </c>
      <c r="X245" t="s">
        <v>1792</v>
      </c>
      <c r="Y245" s="10">
        <v>9.6</v>
      </c>
      <c r="Z245" s="3">
        <v>45048</v>
      </c>
      <c r="AA245" s="3">
        <v>45056</v>
      </c>
      <c r="AB245" t="s">
        <v>2925</v>
      </c>
      <c r="AC245">
        <v>8</v>
      </c>
    </row>
    <row r="246" spans="1:29" x14ac:dyDescent="0.3">
      <c r="A246" s="3">
        <v>45804</v>
      </c>
      <c r="B246" s="3" t="str">
        <f>TEXT(CleanedTable[[#This Row],[OrderDate]],"mmm")</f>
        <v>May</v>
      </c>
      <c r="C246" s="3" t="str">
        <f>TEXT(CleanedTable[[#This Row],[OrderDate]],"yyyy")</f>
        <v>2025</v>
      </c>
      <c r="D246" s="3" t="str">
        <f>TEXT(CleanedTable[[#This Row],[OrderDate]],"mmm yyyy")</f>
        <v>May 2025</v>
      </c>
      <c r="E246" t="s">
        <v>23</v>
      </c>
      <c r="F246" t="s">
        <v>30</v>
      </c>
      <c r="G246" s="12">
        <v>10</v>
      </c>
      <c r="H246" s="8">
        <v>351.23</v>
      </c>
      <c r="I246" t="s">
        <v>31</v>
      </c>
      <c r="J246" t="s">
        <v>36</v>
      </c>
      <c r="K246" s="10">
        <v>0.15</v>
      </c>
      <c r="L246" t="s">
        <v>39</v>
      </c>
      <c r="M246">
        <v>2985.4549999999999</v>
      </c>
      <c r="N246">
        <v>2107.38</v>
      </c>
      <c r="O246" s="10">
        <v>835.33499999999981</v>
      </c>
      <c r="P246" s="10">
        <v>0.279801571284779</v>
      </c>
      <c r="Q246" s="8">
        <v>2985.4549999999999</v>
      </c>
      <c r="R246" t="s">
        <v>43</v>
      </c>
      <c r="T246" t="s">
        <v>2932</v>
      </c>
      <c r="U246">
        <v>0</v>
      </c>
      <c r="V246" t="str">
        <f>IF(CleanedTable[[#This Row],[Returned]] = 0,"NO","Yes")</f>
        <v>NO</v>
      </c>
      <c r="W246" t="s">
        <v>295</v>
      </c>
      <c r="X246" t="s">
        <v>1793</v>
      </c>
      <c r="Y246" s="10">
        <v>42.74</v>
      </c>
      <c r="Z246" s="3">
        <v>45804</v>
      </c>
      <c r="AA246" s="3">
        <v>45810</v>
      </c>
      <c r="AB246" t="s">
        <v>2926</v>
      </c>
      <c r="AC246">
        <v>6</v>
      </c>
    </row>
    <row r="247" spans="1:29" x14ac:dyDescent="0.3">
      <c r="A247" s="3">
        <v>45653</v>
      </c>
      <c r="B247" s="3" t="str">
        <f>TEXT(CleanedTable[[#This Row],[OrderDate]],"mmm")</f>
        <v>Dec</v>
      </c>
      <c r="C247" s="3" t="str">
        <f>TEXT(CleanedTable[[#This Row],[OrderDate]],"yyyy")</f>
        <v>2024</v>
      </c>
      <c r="D247" s="3" t="str">
        <f>TEXT(CleanedTable[[#This Row],[OrderDate]],"mmm yyyy")</f>
        <v>Dec 2024</v>
      </c>
      <c r="E247" t="s">
        <v>20</v>
      </c>
      <c r="F247" t="s">
        <v>28</v>
      </c>
      <c r="G247" s="12">
        <v>14</v>
      </c>
      <c r="H247" s="8">
        <v>551.14</v>
      </c>
      <c r="I247" t="s">
        <v>33</v>
      </c>
      <c r="J247" t="s">
        <v>35</v>
      </c>
      <c r="K247" s="10">
        <v>0.1</v>
      </c>
      <c r="L247" t="s">
        <v>41</v>
      </c>
      <c r="M247">
        <v>6944.3640000000005</v>
      </c>
      <c r="N247">
        <v>4629.5759999999991</v>
      </c>
      <c r="O247" s="10">
        <v>2302.4380000000015</v>
      </c>
      <c r="P247" s="10">
        <v>0.3315549127321093</v>
      </c>
      <c r="Q247" s="8">
        <v>6944.3639999999996</v>
      </c>
      <c r="R247" t="s">
        <v>43</v>
      </c>
      <c r="S247" t="s">
        <v>48</v>
      </c>
      <c r="T247" t="s">
        <v>2931</v>
      </c>
      <c r="U247">
        <v>1</v>
      </c>
      <c r="V247" t="str">
        <f>IF(CleanedTable[[#This Row],[Returned]] = 0,"NO","Yes")</f>
        <v>Yes</v>
      </c>
      <c r="W247" t="s">
        <v>296</v>
      </c>
      <c r="X247" t="s">
        <v>1794</v>
      </c>
      <c r="Y247" s="10">
        <v>12.35</v>
      </c>
      <c r="Z247" s="3">
        <v>45653</v>
      </c>
      <c r="AA247" s="3">
        <v>45662</v>
      </c>
      <c r="AB247" t="s">
        <v>2923</v>
      </c>
      <c r="AC247">
        <v>9</v>
      </c>
    </row>
    <row r="248" spans="1:29" x14ac:dyDescent="0.3">
      <c r="A248" s="3">
        <v>45734</v>
      </c>
      <c r="B248" s="3" t="str">
        <f>TEXT(CleanedTable[[#This Row],[OrderDate]],"mmm")</f>
        <v>Mar</v>
      </c>
      <c r="C248" s="3" t="str">
        <f>TEXT(CleanedTable[[#This Row],[OrderDate]],"yyyy")</f>
        <v>2025</v>
      </c>
      <c r="D248" s="3" t="str">
        <f>TEXT(CleanedTable[[#This Row],[OrderDate]],"mmm yyyy")</f>
        <v>Mar 2025</v>
      </c>
      <c r="E248" t="s">
        <v>23</v>
      </c>
      <c r="F248" t="s">
        <v>27</v>
      </c>
      <c r="G248" s="12">
        <v>2</v>
      </c>
      <c r="H248" s="8">
        <v>131.13</v>
      </c>
      <c r="I248" t="s">
        <v>31</v>
      </c>
      <c r="J248" t="s">
        <v>36</v>
      </c>
      <c r="K248" s="10">
        <v>0.1</v>
      </c>
      <c r="L248" t="s">
        <v>37</v>
      </c>
      <c r="M248">
        <v>236.03399999999999</v>
      </c>
      <c r="N248">
        <v>157.35599999999999</v>
      </c>
      <c r="O248" s="10">
        <v>63.937999999999995</v>
      </c>
      <c r="P248" s="10">
        <v>0.27088470305125534</v>
      </c>
      <c r="Q248" s="8">
        <v>236.03399999999999</v>
      </c>
      <c r="R248" t="s">
        <v>46</v>
      </c>
      <c r="T248" t="s">
        <v>2932</v>
      </c>
      <c r="U248">
        <v>0</v>
      </c>
      <c r="V248" t="str">
        <f>IF(CleanedTable[[#This Row],[Returned]] = 0,"NO","Yes")</f>
        <v>NO</v>
      </c>
      <c r="W248" t="s">
        <v>297</v>
      </c>
      <c r="X248" t="s">
        <v>1795</v>
      </c>
      <c r="Y248" s="10">
        <v>14.74</v>
      </c>
      <c r="Z248" s="3">
        <v>45734</v>
      </c>
      <c r="AA248" s="3">
        <v>45740</v>
      </c>
      <c r="AB248" t="s">
        <v>2926</v>
      </c>
      <c r="AC248">
        <v>6</v>
      </c>
    </row>
    <row r="249" spans="1:29" x14ac:dyDescent="0.3">
      <c r="A249" s="3">
        <v>45375</v>
      </c>
      <c r="B249" s="3" t="str">
        <f>TEXT(CleanedTable[[#This Row],[OrderDate]],"mmm")</f>
        <v>Mar</v>
      </c>
      <c r="C249" s="3" t="str">
        <f>TEXT(CleanedTable[[#This Row],[OrderDate]],"yyyy")</f>
        <v>2024</v>
      </c>
      <c r="D249" s="3" t="str">
        <f>TEXT(CleanedTable[[#This Row],[OrderDate]],"mmm yyyy")</f>
        <v>Mar 2024</v>
      </c>
      <c r="E249" t="s">
        <v>19</v>
      </c>
      <c r="F249" t="s">
        <v>24</v>
      </c>
      <c r="G249" s="12">
        <v>6</v>
      </c>
      <c r="H249" s="8">
        <v>595.11</v>
      </c>
      <c r="I249" t="s">
        <v>33</v>
      </c>
      <c r="J249" t="s">
        <v>35</v>
      </c>
      <c r="K249" s="10">
        <v>0</v>
      </c>
      <c r="L249" t="s">
        <v>41</v>
      </c>
      <c r="M249">
        <v>3570.66</v>
      </c>
      <c r="N249">
        <v>2142.3959999999997</v>
      </c>
      <c r="O249" s="10">
        <v>1399.3440000000001</v>
      </c>
      <c r="P249" s="10">
        <v>0.39190065702139104</v>
      </c>
      <c r="Q249" s="8">
        <v>3570.66</v>
      </c>
      <c r="R249" t="s">
        <v>47</v>
      </c>
      <c r="S249" t="s">
        <v>49</v>
      </c>
      <c r="T249" t="s">
        <v>2931</v>
      </c>
      <c r="U249">
        <v>1</v>
      </c>
      <c r="V249" t="str">
        <f>IF(CleanedTable[[#This Row],[Returned]] = 0,"NO","Yes")</f>
        <v>Yes</v>
      </c>
      <c r="W249" t="s">
        <v>298</v>
      </c>
      <c r="X249" t="s">
        <v>1604</v>
      </c>
      <c r="Y249" s="10">
        <v>28.92</v>
      </c>
      <c r="Z249" s="3">
        <v>45375</v>
      </c>
      <c r="AA249" s="3">
        <v>45382</v>
      </c>
      <c r="AB249" t="s">
        <v>2922</v>
      </c>
      <c r="AC249">
        <v>7</v>
      </c>
    </row>
    <row r="250" spans="1:29" x14ac:dyDescent="0.3">
      <c r="A250" s="3">
        <v>45652</v>
      </c>
      <c r="B250" s="3" t="str">
        <f>TEXT(CleanedTable[[#This Row],[OrderDate]],"mmm")</f>
        <v>Dec</v>
      </c>
      <c r="C250" s="3" t="str">
        <f>TEXT(CleanedTable[[#This Row],[OrderDate]],"yyyy")</f>
        <v>2024</v>
      </c>
      <c r="D250" s="3" t="str">
        <f>TEXT(CleanedTable[[#This Row],[OrderDate]],"mmm yyyy")</f>
        <v>Dec 2024</v>
      </c>
      <c r="E250" t="s">
        <v>19</v>
      </c>
      <c r="F250" t="s">
        <v>24</v>
      </c>
      <c r="G250" s="12">
        <v>6</v>
      </c>
      <c r="H250" s="8">
        <v>516.66</v>
      </c>
      <c r="I250" t="s">
        <v>33</v>
      </c>
      <c r="J250" t="s">
        <v>35</v>
      </c>
      <c r="K250" s="10">
        <v>0.05</v>
      </c>
      <c r="L250" t="s">
        <v>42</v>
      </c>
      <c r="M250">
        <v>2944.962</v>
      </c>
      <c r="N250">
        <v>1859.9759999999999</v>
      </c>
      <c r="O250" s="10">
        <v>1079.836</v>
      </c>
      <c r="P250" s="10">
        <v>0.36667230341172485</v>
      </c>
      <c r="Q250" s="8">
        <v>2944.962</v>
      </c>
      <c r="R250" t="s">
        <v>43</v>
      </c>
      <c r="T250" t="s">
        <v>2932</v>
      </c>
      <c r="U250">
        <v>1</v>
      </c>
      <c r="V250" t="str">
        <f>IF(CleanedTable[[#This Row],[Returned]] = 0,"NO","Yes")</f>
        <v>Yes</v>
      </c>
      <c r="W250" t="s">
        <v>299</v>
      </c>
      <c r="X250" t="s">
        <v>1695</v>
      </c>
      <c r="Y250" s="10">
        <v>5.15</v>
      </c>
      <c r="Z250" s="3">
        <v>45652</v>
      </c>
      <c r="AA250" s="3">
        <v>45660</v>
      </c>
      <c r="AB250" t="s">
        <v>2922</v>
      </c>
      <c r="AC250">
        <v>8</v>
      </c>
    </row>
    <row r="251" spans="1:29" x14ac:dyDescent="0.3">
      <c r="A251" s="3">
        <v>44937</v>
      </c>
      <c r="B251" s="3" t="str">
        <f>TEXT(CleanedTable[[#This Row],[OrderDate]],"mmm")</f>
        <v>Jan</v>
      </c>
      <c r="C251" s="3" t="str">
        <f>TEXT(CleanedTable[[#This Row],[OrderDate]],"yyyy")</f>
        <v>2023</v>
      </c>
      <c r="D251" s="3" t="str">
        <f>TEXT(CleanedTable[[#This Row],[OrderDate]],"mmm yyyy")</f>
        <v>Jan 2023</v>
      </c>
      <c r="E251" t="s">
        <v>21</v>
      </c>
      <c r="F251" t="s">
        <v>26</v>
      </c>
      <c r="G251" s="12">
        <v>6</v>
      </c>
      <c r="H251" s="8">
        <v>202.57</v>
      </c>
      <c r="I251" t="s">
        <v>34</v>
      </c>
      <c r="J251" t="s">
        <v>36</v>
      </c>
      <c r="K251" s="10">
        <v>0.05</v>
      </c>
      <c r="L251" t="s">
        <v>37</v>
      </c>
      <c r="M251">
        <v>1154.6490000000001</v>
      </c>
      <c r="N251">
        <v>729.25199999999995</v>
      </c>
      <c r="O251" s="10">
        <v>401.00700000000018</v>
      </c>
      <c r="P251" s="10">
        <v>0.34729775022539328</v>
      </c>
      <c r="Q251" s="8">
        <v>1154.6489999999999</v>
      </c>
      <c r="R251" t="s">
        <v>44</v>
      </c>
      <c r="S251" t="s">
        <v>48</v>
      </c>
      <c r="T251" t="s">
        <v>2931</v>
      </c>
      <c r="U251">
        <v>0</v>
      </c>
      <c r="V251" t="str">
        <f>IF(CleanedTable[[#This Row],[Returned]] = 0,"NO","Yes")</f>
        <v>NO</v>
      </c>
      <c r="W251" t="s">
        <v>300</v>
      </c>
      <c r="X251" t="s">
        <v>1796</v>
      </c>
      <c r="Y251" s="10">
        <v>24.39</v>
      </c>
      <c r="Z251" s="3">
        <v>44937</v>
      </c>
      <c r="AA251" s="3">
        <v>44940</v>
      </c>
      <c r="AB251" t="s">
        <v>2924</v>
      </c>
      <c r="AC251">
        <v>3</v>
      </c>
    </row>
    <row r="252" spans="1:29" x14ac:dyDescent="0.3">
      <c r="A252" s="3">
        <v>45809</v>
      </c>
      <c r="B252" s="3" t="str">
        <f>TEXT(CleanedTable[[#This Row],[OrderDate]],"mmm")</f>
        <v>Jun</v>
      </c>
      <c r="C252" s="3" t="str">
        <f>TEXT(CleanedTable[[#This Row],[OrderDate]],"yyyy")</f>
        <v>2025</v>
      </c>
      <c r="D252" s="3" t="str">
        <f>TEXT(CleanedTable[[#This Row],[OrderDate]],"mmm yyyy")</f>
        <v>Jun 2025</v>
      </c>
      <c r="E252" t="s">
        <v>20</v>
      </c>
      <c r="F252" t="s">
        <v>24</v>
      </c>
      <c r="G252" s="12">
        <v>13</v>
      </c>
      <c r="H252" s="8">
        <v>306.16000000000003</v>
      </c>
      <c r="I252" t="s">
        <v>32</v>
      </c>
      <c r="J252" t="s">
        <v>35</v>
      </c>
      <c r="K252" s="10">
        <v>0.15</v>
      </c>
      <c r="L252" t="s">
        <v>39</v>
      </c>
      <c r="M252">
        <v>3383.0680000000002</v>
      </c>
      <c r="N252">
        <v>2388.0479999999998</v>
      </c>
      <c r="O252" s="10">
        <v>969.86000000000047</v>
      </c>
      <c r="P252" s="10">
        <v>0.28668061061734507</v>
      </c>
      <c r="Q252" s="8">
        <v>3383.0680000000002</v>
      </c>
      <c r="R252" t="s">
        <v>47</v>
      </c>
      <c r="S252" t="s">
        <v>49</v>
      </c>
      <c r="T252" t="s">
        <v>2931</v>
      </c>
      <c r="U252">
        <v>0</v>
      </c>
      <c r="V252" t="str">
        <f>IF(CleanedTable[[#This Row],[Returned]] = 0,"NO","Yes")</f>
        <v>NO</v>
      </c>
      <c r="W252" t="s">
        <v>301</v>
      </c>
      <c r="X252" t="s">
        <v>1797</v>
      </c>
      <c r="Y252" s="10">
        <v>25.16</v>
      </c>
      <c r="Z252" s="3">
        <v>45809</v>
      </c>
      <c r="AA252" s="3">
        <v>45818</v>
      </c>
      <c r="AB252" t="s">
        <v>2923</v>
      </c>
      <c r="AC252">
        <v>9</v>
      </c>
    </row>
    <row r="253" spans="1:29" x14ac:dyDescent="0.3">
      <c r="A253" s="3">
        <v>45561</v>
      </c>
      <c r="B253" s="3" t="str">
        <f>TEXT(CleanedTable[[#This Row],[OrderDate]],"mmm")</f>
        <v>Sep</v>
      </c>
      <c r="C253" s="3" t="str">
        <f>TEXT(CleanedTable[[#This Row],[OrderDate]],"yyyy")</f>
        <v>2024</v>
      </c>
      <c r="D253" s="3" t="str">
        <f>TEXT(CleanedTable[[#This Row],[OrderDate]],"mmm yyyy")</f>
        <v>Sep 2024</v>
      </c>
      <c r="E253" t="s">
        <v>19</v>
      </c>
      <c r="F253" t="s">
        <v>26</v>
      </c>
      <c r="G253" s="12">
        <v>11</v>
      </c>
      <c r="H253" s="8">
        <v>472.74</v>
      </c>
      <c r="I253" t="s">
        <v>34</v>
      </c>
      <c r="J253" t="s">
        <v>36</v>
      </c>
      <c r="K253" s="10">
        <v>0.15</v>
      </c>
      <c r="L253" t="s">
        <v>40</v>
      </c>
      <c r="M253">
        <v>4420.1190000000006</v>
      </c>
      <c r="N253">
        <v>3120.0839999999998</v>
      </c>
      <c r="O253" s="10">
        <v>1283.2350000000008</v>
      </c>
      <c r="P253" s="10">
        <v>0.29031684441075017</v>
      </c>
      <c r="Q253" s="8">
        <v>4420.1190000000006</v>
      </c>
      <c r="R253" t="s">
        <v>45</v>
      </c>
      <c r="T253" t="s">
        <v>2932</v>
      </c>
      <c r="U253">
        <v>1</v>
      </c>
      <c r="V253" t="str">
        <f>IF(CleanedTable[[#This Row],[Returned]] = 0,"NO","Yes")</f>
        <v>Yes</v>
      </c>
      <c r="W253" t="s">
        <v>302</v>
      </c>
      <c r="X253" t="s">
        <v>1798</v>
      </c>
      <c r="Y253" s="10">
        <v>16.8</v>
      </c>
      <c r="Z253" s="3">
        <v>45561</v>
      </c>
      <c r="AA253" s="3">
        <v>45566</v>
      </c>
      <c r="AB253" t="s">
        <v>2922</v>
      </c>
      <c r="AC253">
        <v>5</v>
      </c>
    </row>
    <row r="254" spans="1:29" x14ac:dyDescent="0.3">
      <c r="A254" s="3">
        <v>45514</v>
      </c>
      <c r="B254" s="3" t="str">
        <f>TEXT(CleanedTable[[#This Row],[OrderDate]],"mmm")</f>
        <v>Aug</v>
      </c>
      <c r="C254" s="3" t="str">
        <f>TEXT(CleanedTable[[#This Row],[OrderDate]],"yyyy")</f>
        <v>2024</v>
      </c>
      <c r="D254" s="3" t="str">
        <f>TEXT(CleanedTable[[#This Row],[OrderDate]],"mmm yyyy")</f>
        <v>Aug 2024</v>
      </c>
      <c r="E254" t="s">
        <v>19</v>
      </c>
      <c r="F254" t="s">
        <v>25</v>
      </c>
      <c r="G254" s="12">
        <v>20</v>
      </c>
      <c r="H254" s="8">
        <v>337.37</v>
      </c>
      <c r="I254" t="s">
        <v>33</v>
      </c>
      <c r="J254" t="s">
        <v>36</v>
      </c>
      <c r="K254" s="10">
        <v>0.1</v>
      </c>
      <c r="L254" t="s">
        <v>41</v>
      </c>
      <c r="M254">
        <v>6072.66</v>
      </c>
      <c r="N254">
        <v>4048.44</v>
      </c>
      <c r="O254" s="10">
        <v>1981.0499999999997</v>
      </c>
      <c r="P254" s="10">
        <v>0.3262244222465937</v>
      </c>
      <c r="Q254" s="8">
        <v>6072.66</v>
      </c>
      <c r="R254" t="s">
        <v>44</v>
      </c>
      <c r="T254" t="s">
        <v>2932</v>
      </c>
      <c r="U254">
        <v>0</v>
      </c>
      <c r="V254" t="str">
        <f>IF(CleanedTable[[#This Row],[Returned]] = 0,"NO","Yes")</f>
        <v>NO</v>
      </c>
      <c r="W254" t="s">
        <v>303</v>
      </c>
      <c r="X254" t="s">
        <v>1799</v>
      </c>
      <c r="Y254" s="10">
        <v>43.17</v>
      </c>
      <c r="Z254" s="3">
        <v>45514</v>
      </c>
      <c r="AA254" s="3">
        <v>45521</v>
      </c>
      <c r="AB254" t="s">
        <v>2922</v>
      </c>
      <c r="AC254">
        <v>7</v>
      </c>
    </row>
    <row r="255" spans="1:29" x14ac:dyDescent="0.3">
      <c r="A255" s="3">
        <v>45718</v>
      </c>
      <c r="B255" s="3" t="str">
        <f>TEXT(CleanedTable[[#This Row],[OrderDate]],"mmm")</f>
        <v>Mar</v>
      </c>
      <c r="C255" s="3" t="str">
        <f>TEXT(CleanedTable[[#This Row],[OrderDate]],"yyyy")</f>
        <v>2025</v>
      </c>
      <c r="D255" s="3" t="str">
        <f>TEXT(CleanedTable[[#This Row],[OrderDate]],"mmm yyyy")</f>
        <v>Mar 2025</v>
      </c>
      <c r="E255" t="s">
        <v>20</v>
      </c>
      <c r="F255" t="s">
        <v>25</v>
      </c>
      <c r="G255" s="12">
        <v>12</v>
      </c>
      <c r="H255" s="8">
        <v>34.24</v>
      </c>
      <c r="I255" t="s">
        <v>33</v>
      </c>
      <c r="J255" t="s">
        <v>36</v>
      </c>
      <c r="K255" s="10">
        <v>0.1</v>
      </c>
      <c r="L255" t="s">
        <v>39</v>
      </c>
      <c r="M255">
        <v>369.79200000000003</v>
      </c>
      <c r="N255">
        <v>246.52800000000002</v>
      </c>
      <c r="O255" s="10">
        <v>105.62400000000001</v>
      </c>
      <c r="P255" s="10">
        <v>0.28563084112149534</v>
      </c>
      <c r="Q255" s="8">
        <v>369.79199999999997</v>
      </c>
      <c r="R255" t="s">
        <v>47</v>
      </c>
      <c r="T255" t="s">
        <v>2932</v>
      </c>
      <c r="U255">
        <v>0</v>
      </c>
      <c r="V255" t="str">
        <f>IF(CleanedTable[[#This Row],[Returned]] = 0,"NO","Yes")</f>
        <v>NO</v>
      </c>
      <c r="W255" t="s">
        <v>304</v>
      </c>
      <c r="X255" t="s">
        <v>1800</v>
      </c>
      <c r="Y255" s="10">
        <v>17.64</v>
      </c>
      <c r="Z255" s="3">
        <v>45718</v>
      </c>
      <c r="AA255" s="3">
        <v>45726</v>
      </c>
      <c r="AB255" t="s">
        <v>2923</v>
      </c>
      <c r="AC255">
        <v>8</v>
      </c>
    </row>
    <row r="256" spans="1:29" x14ac:dyDescent="0.3">
      <c r="A256" s="3">
        <v>44978</v>
      </c>
      <c r="B256" s="3" t="str">
        <f>TEXT(CleanedTable[[#This Row],[OrderDate]],"mmm")</f>
        <v>Feb</v>
      </c>
      <c r="C256" s="3" t="str">
        <f>TEXT(CleanedTable[[#This Row],[OrderDate]],"yyyy")</f>
        <v>2023</v>
      </c>
      <c r="D256" s="3" t="str">
        <f>TEXT(CleanedTable[[#This Row],[OrderDate]],"mmm yyyy")</f>
        <v>Feb 2023</v>
      </c>
      <c r="E256" t="s">
        <v>19</v>
      </c>
      <c r="F256" t="s">
        <v>29</v>
      </c>
      <c r="G256" s="12">
        <v>4</v>
      </c>
      <c r="H256" s="8">
        <v>477.05</v>
      </c>
      <c r="I256" t="s">
        <v>31</v>
      </c>
      <c r="J256" t="s">
        <v>35</v>
      </c>
      <c r="K256" s="10">
        <v>0</v>
      </c>
      <c r="L256" t="s">
        <v>40</v>
      </c>
      <c r="M256">
        <v>1908.2</v>
      </c>
      <c r="N256">
        <v>1144.92</v>
      </c>
      <c r="O256" s="10">
        <v>717.74</v>
      </c>
      <c r="P256" s="10">
        <v>0.37613457708835552</v>
      </c>
      <c r="Q256" s="8">
        <v>1908.2</v>
      </c>
      <c r="R256" t="s">
        <v>45</v>
      </c>
      <c r="S256" t="s">
        <v>50</v>
      </c>
      <c r="T256" t="s">
        <v>2931</v>
      </c>
      <c r="U256">
        <v>0</v>
      </c>
      <c r="V256" t="str">
        <f>IF(CleanedTable[[#This Row],[Returned]] = 0,"NO","Yes")</f>
        <v>NO</v>
      </c>
      <c r="W256" t="s">
        <v>305</v>
      </c>
      <c r="X256" t="s">
        <v>1801</v>
      </c>
      <c r="Y256" s="10">
        <v>45.54</v>
      </c>
      <c r="Z256" s="3">
        <v>44978</v>
      </c>
      <c r="AA256" s="3">
        <v>44987</v>
      </c>
      <c r="AB256" t="s">
        <v>2922</v>
      </c>
      <c r="AC256">
        <v>9</v>
      </c>
    </row>
    <row r="257" spans="1:29" x14ac:dyDescent="0.3">
      <c r="A257" s="3">
        <v>45616</v>
      </c>
      <c r="B257" s="3" t="str">
        <f>TEXT(CleanedTable[[#This Row],[OrderDate]],"mmm")</f>
        <v>Nov</v>
      </c>
      <c r="C257" s="3" t="str">
        <f>TEXT(CleanedTable[[#This Row],[OrderDate]],"yyyy")</f>
        <v>2024</v>
      </c>
      <c r="D257" s="3" t="str">
        <f>TEXT(CleanedTable[[#This Row],[OrderDate]],"mmm yyyy")</f>
        <v>Nov 2024</v>
      </c>
      <c r="E257" t="s">
        <v>19</v>
      </c>
      <c r="F257" t="s">
        <v>24</v>
      </c>
      <c r="G257" s="12">
        <v>6</v>
      </c>
      <c r="H257" s="8">
        <v>562.92999999999995</v>
      </c>
      <c r="I257" t="s">
        <v>33</v>
      </c>
      <c r="J257" t="s">
        <v>36</v>
      </c>
      <c r="K257" s="10">
        <v>0</v>
      </c>
      <c r="L257" t="s">
        <v>38</v>
      </c>
      <c r="M257">
        <v>3377.58</v>
      </c>
      <c r="N257">
        <v>2026.5479999999998</v>
      </c>
      <c r="O257" s="10">
        <v>1307.3020000000001</v>
      </c>
      <c r="P257" s="10">
        <v>0.38705286033195369</v>
      </c>
      <c r="Q257" s="8">
        <v>3377.58</v>
      </c>
      <c r="R257" t="s">
        <v>45</v>
      </c>
      <c r="S257" t="s">
        <v>50</v>
      </c>
      <c r="T257" t="s">
        <v>2931</v>
      </c>
      <c r="U257">
        <v>0</v>
      </c>
      <c r="V257" t="str">
        <f>IF(CleanedTable[[#This Row],[Returned]] = 0,"NO","Yes")</f>
        <v>NO</v>
      </c>
      <c r="W257" t="s">
        <v>306</v>
      </c>
      <c r="X257" t="s">
        <v>1802</v>
      </c>
      <c r="Y257" s="10">
        <v>43.73</v>
      </c>
      <c r="Z257" s="3">
        <v>45616</v>
      </c>
      <c r="AA257" s="3">
        <v>45623</v>
      </c>
      <c r="AB257" t="s">
        <v>2922</v>
      </c>
      <c r="AC257">
        <v>7</v>
      </c>
    </row>
    <row r="258" spans="1:29" x14ac:dyDescent="0.3">
      <c r="A258" s="3">
        <v>45164</v>
      </c>
      <c r="B258" s="3" t="str">
        <f>TEXT(CleanedTable[[#This Row],[OrderDate]],"mmm")</f>
        <v>Aug</v>
      </c>
      <c r="C258" s="3" t="str">
        <f>TEXT(CleanedTable[[#This Row],[OrderDate]],"yyyy")</f>
        <v>2023</v>
      </c>
      <c r="D258" s="3" t="str">
        <f>TEXT(CleanedTable[[#This Row],[OrderDate]],"mmm yyyy")</f>
        <v>Aug 2023</v>
      </c>
      <c r="E258" t="s">
        <v>19</v>
      </c>
      <c r="F258" t="s">
        <v>27</v>
      </c>
      <c r="G258" s="12">
        <v>20</v>
      </c>
      <c r="H258" s="8">
        <v>18.29</v>
      </c>
      <c r="I258" t="s">
        <v>31</v>
      </c>
      <c r="J258" t="s">
        <v>36</v>
      </c>
      <c r="K258" s="10">
        <v>0</v>
      </c>
      <c r="L258" t="s">
        <v>41</v>
      </c>
      <c r="M258">
        <v>365.79999999999995</v>
      </c>
      <c r="N258">
        <v>219.47999999999996</v>
      </c>
      <c r="O258" s="10">
        <v>110.94999999999999</v>
      </c>
      <c r="P258" s="10">
        <v>0.30330781848004373</v>
      </c>
      <c r="Q258" s="8">
        <v>365.8</v>
      </c>
      <c r="R258" t="s">
        <v>46</v>
      </c>
      <c r="S258" t="s">
        <v>48</v>
      </c>
      <c r="T258" t="s">
        <v>2931</v>
      </c>
      <c r="U258">
        <v>1</v>
      </c>
      <c r="V258" t="str">
        <f>IF(CleanedTable[[#This Row],[Returned]] = 0,"NO","Yes")</f>
        <v>Yes</v>
      </c>
      <c r="W258" t="s">
        <v>307</v>
      </c>
      <c r="X258" t="s">
        <v>1803</v>
      </c>
      <c r="Y258" s="10">
        <v>35.369999999999997</v>
      </c>
      <c r="Z258" s="3">
        <v>45164</v>
      </c>
      <c r="AA258" s="3">
        <v>45167</v>
      </c>
      <c r="AB258" t="s">
        <v>2922</v>
      </c>
      <c r="AC258">
        <v>3</v>
      </c>
    </row>
    <row r="259" spans="1:29" x14ac:dyDescent="0.3">
      <c r="A259" s="3">
        <v>45292</v>
      </c>
      <c r="B259" s="3" t="str">
        <f>TEXT(CleanedTable[[#This Row],[OrderDate]],"mmm")</f>
        <v>Jan</v>
      </c>
      <c r="C259" s="3" t="str">
        <f>TEXT(CleanedTable[[#This Row],[OrderDate]],"yyyy")</f>
        <v>2024</v>
      </c>
      <c r="D259" s="3" t="str">
        <f>TEXT(CleanedTable[[#This Row],[OrderDate]],"mmm yyyy")</f>
        <v>Jan 2024</v>
      </c>
      <c r="E259" t="s">
        <v>20</v>
      </c>
      <c r="F259" t="s">
        <v>28</v>
      </c>
      <c r="G259" s="12">
        <v>7</v>
      </c>
      <c r="H259" s="8">
        <v>208.86</v>
      </c>
      <c r="I259" t="s">
        <v>31</v>
      </c>
      <c r="J259" t="s">
        <v>36</v>
      </c>
      <c r="K259" s="10">
        <v>0</v>
      </c>
      <c r="L259" t="s">
        <v>39</v>
      </c>
      <c r="M259">
        <v>1462.02</v>
      </c>
      <c r="N259">
        <v>877.21199999999999</v>
      </c>
      <c r="O259" s="10">
        <v>564.16800000000001</v>
      </c>
      <c r="P259" s="10">
        <v>0.38588254606640127</v>
      </c>
      <c r="Q259" s="8">
        <v>1462.02</v>
      </c>
      <c r="R259" t="s">
        <v>47</v>
      </c>
      <c r="S259" t="s">
        <v>48</v>
      </c>
      <c r="T259" t="s">
        <v>2931</v>
      </c>
      <c r="U259">
        <v>0</v>
      </c>
      <c r="V259" t="str">
        <f>IF(CleanedTable[[#This Row],[Returned]] = 0,"NO","Yes")</f>
        <v>NO</v>
      </c>
      <c r="W259" t="s">
        <v>308</v>
      </c>
      <c r="X259" t="s">
        <v>1804</v>
      </c>
      <c r="Y259" s="10">
        <v>20.64</v>
      </c>
      <c r="Z259" s="3">
        <v>45292</v>
      </c>
      <c r="AA259" s="3">
        <v>45299</v>
      </c>
      <c r="AB259" t="s">
        <v>2923</v>
      </c>
      <c r="AC259">
        <v>7</v>
      </c>
    </row>
    <row r="260" spans="1:29" x14ac:dyDescent="0.3">
      <c r="A260" s="3">
        <v>45620</v>
      </c>
      <c r="B260" s="3" t="str">
        <f>TEXT(CleanedTable[[#This Row],[OrderDate]],"mmm")</f>
        <v>Nov</v>
      </c>
      <c r="C260" s="3" t="str">
        <f>TEXT(CleanedTable[[#This Row],[OrderDate]],"yyyy")</f>
        <v>2024</v>
      </c>
      <c r="D260" s="3" t="str">
        <f>TEXT(CleanedTable[[#This Row],[OrderDate]],"mmm yyyy")</f>
        <v>Nov 2024</v>
      </c>
      <c r="E260" t="s">
        <v>20</v>
      </c>
      <c r="F260" t="s">
        <v>30</v>
      </c>
      <c r="G260" s="12">
        <v>12</v>
      </c>
      <c r="H260" s="8">
        <v>330.36</v>
      </c>
      <c r="I260" t="s">
        <v>34</v>
      </c>
      <c r="J260" t="s">
        <v>36</v>
      </c>
      <c r="K260" s="10">
        <v>0.05</v>
      </c>
      <c r="L260" t="s">
        <v>41</v>
      </c>
      <c r="M260">
        <v>3766.1039999999998</v>
      </c>
      <c r="N260">
        <v>2378.5920000000001</v>
      </c>
      <c r="O260" s="10">
        <v>1339.1819999999998</v>
      </c>
      <c r="P260" s="10">
        <v>0.35558816219626432</v>
      </c>
      <c r="Q260" s="8">
        <v>3766.1039999999998</v>
      </c>
      <c r="R260" t="s">
        <v>47</v>
      </c>
      <c r="S260" t="s">
        <v>50</v>
      </c>
      <c r="T260" t="s">
        <v>2931</v>
      </c>
      <c r="U260">
        <v>0</v>
      </c>
      <c r="V260" t="str">
        <f>IF(CleanedTable[[#This Row],[Returned]] = 0,"NO","Yes")</f>
        <v>NO</v>
      </c>
      <c r="W260" t="s">
        <v>309</v>
      </c>
      <c r="X260" t="s">
        <v>1805</v>
      </c>
      <c r="Y260" s="10">
        <v>48.33</v>
      </c>
      <c r="Z260" s="3">
        <v>45620</v>
      </c>
      <c r="AA260" s="3">
        <v>45626</v>
      </c>
      <c r="AB260" t="s">
        <v>2923</v>
      </c>
      <c r="AC260">
        <v>6</v>
      </c>
    </row>
    <row r="261" spans="1:29" x14ac:dyDescent="0.3">
      <c r="A261" s="3">
        <v>45529</v>
      </c>
      <c r="B261" s="3" t="str">
        <f>TEXT(CleanedTable[[#This Row],[OrderDate]],"mmm")</f>
        <v>Aug</v>
      </c>
      <c r="C261" s="3" t="str">
        <f>TEXT(CleanedTable[[#This Row],[OrderDate]],"yyyy")</f>
        <v>2024</v>
      </c>
      <c r="D261" s="3" t="str">
        <f>TEXT(CleanedTable[[#This Row],[OrderDate]],"mmm yyyy")</f>
        <v>Aug 2024</v>
      </c>
      <c r="E261" t="s">
        <v>20</v>
      </c>
      <c r="F261" t="s">
        <v>29</v>
      </c>
      <c r="G261" s="12">
        <v>7</v>
      </c>
      <c r="H261" s="8">
        <v>50.26</v>
      </c>
      <c r="I261" t="s">
        <v>33</v>
      </c>
      <c r="J261" t="s">
        <v>36</v>
      </c>
      <c r="K261" s="10">
        <v>0.15</v>
      </c>
      <c r="L261" t="s">
        <v>41</v>
      </c>
      <c r="M261">
        <v>299.04699999999997</v>
      </c>
      <c r="N261">
        <v>211.09199999999998</v>
      </c>
      <c r="O261" s="10">
        <v>70.83499999999998</v>
      </c>
      <c r="P261" s="10">
        <v>0.23686912090741585</v>
      </c>
      <c r="Q261" s="8">
        <v>299.04700000000003</v>
      </c>
      <c r="R261" t="s">
        <v>47</v>
      </c>
      <c r="T261" t="s">
        <v>2932</v>
      </c>
      <c r="U261">
        <v>0</v>
      </c>
      <c r="V261" t="str">
        <f>IF(CleanedTable[[#This Row],[Returned]] = 0,"NO","Yes")</f>
        <v>NO</v>
      </c>
      <c r="W261" t="s">
        <v>310</v>
      </c>
      <c r="X261" t="s">
        <v>1806</v>
      </c>
      <c r="Y261" s="10">
        <v>17.12</v>
      </c>
      <c r="Z261" s="3">
        <v>45529</v>
      </c>
      <c r="AA261" s="3">
        <v>45536</v>
      </c>
      <c r="AB261" t="s">
        <v>2923</v>
      </c>
      <c r="AC261">
        <v>7</v>
      </c>
    </row>
    <row r="262" spans="1:29" x14ac:dyDescent="0.3">
      <c r="A262" s="3">
        <v>45087</v>
      </c>
      <c r="B262" s="3" t="str">
        <f>TEXT(CleanedTable[[#This Row],[OrderDate]],"mmm")</f>
        <v>Jun</v>
      </c>
      <c r="C262" s="3" t="str">
        <f>TEXT(CleanedTable[[#This Row],[OrderDate]],"yyyy")</f>
        <v>2023</v>
      </c>
      <c r="D262" s="3" t="str">
        <f>TEXT(CleanedTable[[#This Row],[OrderDate]],"mmm yyyy")</f>
        <v>Jun 2023</v>
      </c>
      <c r="E262" t="s">
        <v>20</v>
      </c>
      <c r="F262" t="s">
        <v>24</v>
      </c>
      <c r="G262" s="12">
        <v>2</v>
      </c>
      <c r="H262" s="8">
        <v>374.59</v>
      </c>
      <c r="I262" t="s">
        <v>33</v>
      </c>
      <c r="J262" t="s">
        <v>35</v>
      </c>
      <c r="K262" s="10">
        <v>0.15</v>
      </c>
      <c r="L262" t="s">
        <v>40</v>
      </c>
      <c r="M262">
        <v>636.803</v>
      </c>
      <c r="N262">
        <v>449.50799999999998</v>
      </c>
      <c r="O262" s="10">
        <v>152.65500000000003</v>
      </c>
      <c r="P262" s="10">
        <v>0.23972091840019602</v>
      </c>
      <c r="Q262" s="8">
        <v>636.803</v>
      </c>
      <c r="R262" t="s">
        <v>43</v>
      </c>
      <c r="S262" t="s">
        <v>49</v>
      </c>
      <c r="T262" t="s">
        <v>2931</v>
      </c>
      <c r="U262">
        <v>0</v>
      </c>
      <c r="V262" t="str">
        <f>IF(CleanedTable[[#This Row],[Returned]] = 0,"NO","Yes")</f>
        <v>NO</v>
      </c>
      <c r="W262" t="s">
        <v>311</v>
      </c>
      <c r="X262" t="s">
        <v>1807</v>
      </c>
      <c r="Y262" s="10">
        <v>34.64</v>
      </c>
      <c r="Z262" s="3">
        <v>45087</v>
      </c>
      <c r="AA262" s="3">
        <v>45095</v>
      </c>
      <c r="AB262" t="s">
        <v>2923</v>
      </c>
      <c r="AC262">
        <v>8</v>
      </c>
    </row>
    <row r="263" spans="1:29" x14ac:dyDescent="0.3">
      <c r="A263" s="3">
        <v>45644</v>
      </c>
      <c r="B263" s="3" t="str">
        <f>TEXT(CleanedTable[[#This Row],[OrderDate]],"mmm")</f>
        <v>Dec</v>
      </c>
      <c r="C263" s="3" t="str">
        <f>TEXT(CleanedTable[[#This Row],[OrderDate]],"yyyy")</f>
        <v>2024</v>
      </c>
      <c r="D263" s="3" t="str">
        <f>TEXT(CleanedTable[[#This Row],[OrderDate]],"mmm yyyy")</f>
        <v>Dec 2024</v>
      </c>
      <c r="E263" t="s">
        <v>21</v>
      </c>
      <c r="F263" t="s">
        <v>30</v>
      </c>
      <c r="G263" s="12">
        <v>7</v>
      </c>
      <c r="H263" s="8">
        <v>467.6</v>
      </c>
      <c r="I263" t="s">
        <v>32</v>
      </c>
      <c r="J263" t="s">
        <v>36</v>
      </c>
      <c r="K263" s="10">
        <v>0.1</v>
      </c>
      <c r="L263" t="s">
        <v>40</v>
      </c>
      <c r="M263">
        <v>2945.88</v>
      </c>
      <c r="N263">
        <v>1963.92</v>
      </c>
      <c r="O263" s="10">
        <v>966.32</v>
      </c>
      <c r="P263" s="10">
        <v>0.32802422366152051</v>
      </c>
      <c r="Q263" s="8">
        <v>2945.88</v>
      </c>
      <c r="R263" t="s">
        <v>46</v>
      </c>
      <c r="T263" t="s">
        <v>2932</v>
      </c>
      <c r="U263">
        <v>0</v>
      </c>
      <c r="V263" t="str">
        <f>IF(CleanedTable[[#This Row],[Returned]] = 0,"NO","Yes")</f>
        <v>NO</v>
      </c>
      <c r="W263" t="s">
        <v>312</v>
      </c>
      <c r="X263" t="s">
        <v>1808</v>
      </c>
      <c r="Y263" s="10">
        <v>15.64</v>
      </c>
      <c r="Z263" s="3">
        <v>45644</v>
      </c>
      <c r="AA263" s="3">
        <v>45652</v>
      </c>
      <c r="AB263" t="s">
        <v>2924</v>
      </c>
      <c r="AC263">
        <v>8</v>
      </c>
    </row>
    <row r="264" spans="1:29" x14ac:dyDescent="0.3">
      <c r="A264" s="3">
        <v>45166</v>
      </c>
      <c r="B264" s="3" t="str">
        <f>TEXT(CleanedTable[[#This Row],[OrderDate]],"mmm")</f>
        <v>Aug</v>
      </c>
      <c r="C264" s="3" t="str">
        <f>TEXT(CleanedTable[[#This Row],[OrderDate]],"yyyy")</f>
        <v>2023</v>
      </c>
      <c r="D264" s="3" t="str">
        <f>TEXT(CleanedTable[[#This Row],[OrderDate]],"mmm yyyy")</f>
        <v>Aug 2023</v>
      </c>
      <c r="E264" t="s">
        <v>19</v>
      </c>
      <c r="F264" t="s">
        <v>27</v>
      </c>
      <c r="G264" s="12">
        <v>3</v>
      </c>
      <c r="H264" s="8">
        <v>376.24</v>
      </c>
      <c r="I264" t="s">
        <v>32</v>
      </c>
      <c r="J264" t="s">
        <v>36</v>
      </c>
      <c r="K264" s="10">
        <v>0.05</v>
      </c>
      <c r="L264" t="s">
        <v>39</v>
      </c>
      <c r="M264">
        <v>1072.2839999999999</v>
      </c>
      <c r="N264">
        <v>677.23199999999997</v>
      </c>
      <c r="O264" s="10">
        <v>388.90199999999993</v>
      </c>
      <c r="P264" s="10">
        <v>0.36268563179157759</v>
      </c>
      <c r="Q264" s="8">
        <v>1072.2840000000001</v>
      </c>
      <c r="R264" t="s">
        <v>46</v>
      </c>
      <c r="S264" t="s">
        <v>48</v>
      </c>
      <c r="T264" t="s">
        <v>2931</v>
      </c>
      <c r="U264">
        <v>1</v>
      </c>
      <c r="V264" t="str">
        <f>IF(CleanedTable[[#This Row],[Returned]] = 0,"NO","Yes")</f>
        <v>Yes</v>
      </c>
      <c r="W264" t="s">
        <v>313</v>
      </c>
      <c r="X264" t="s">
        <v>1809</v>
      </c>
      <c r="Y264" s="10">
        <v>6.15</v>
      </c>
      <c r="Z264" s="3">
        <v>45166</v>
      </c>
      <c r="AA264" s="3">
        <v>45170</v>
      </c>
      <c r="AB264" t="s">
        <v>2922</v>
      </c>
      <c r="AC264">
        <v>4</v>
      </c>
    </row>
    <row r="265" spans="1:29" x14ac:dyDescent="0.3">
      <c r="A265" s="3">
        <v>44948</v>
      </c>
      <c r="B265" s="3" t="str">
        <f>TEXT(CleanedTable[[#This Row],[OrderDate]],"mmm")</f>
        <v>Jan</v>
      </c>
      <c r="C265" s="3" t="str">
        <f>TEXT(CleanedTable[[#This Row],[OrderDate]],"yyyy")</f>
        <v>2023</v>
      </c>
      <c r="D265" s="3" t="str">
        <f>TEXT(CleanedTable[[#This Row],[OrderDate]],"mmm yyyy")</f>
        <v>Jan 2023</v>
      </c>
      <c r="E265" t="s">
        <v>23</v>
      </c>
      <c r="F265" t="s">
        <v>25</v>
      </c>
      <c r="G265" s="12">
        <v>13</v>
      </c>
      <c r="H265" s="8">
        <v>140.49</v>
      </c>
      <c r="I265" t="s">
        <v>32</v>
      </c>
      <c r="J265" t="s">
        <v>36</v>
      </c>
      <c r="K265" s="10">
        <v>0</v>
      </c>
      <c r="L265" t="s">
        <v>37</v>
      </c>
      <c r="M265">
        <v>1826.3700000000001</v>
      </c>
      <c r="N265">
        <v>1095.8219999999999</v>
      </c>
      <c r="O265" s="10">
        <v>712.85800000000017</v>
      </c>
      <c r="P265" s="10">
        <v>0.39031412035896346</v>
      </c>
      <c r="Q265" s="8">
        <v>1826.37</v>
      </c>
      <c r="R265" t="s">
        <v>46</v>
      </c>
      <c r="S265" t="s">
        <v>49</v>
      </c>
      <c r="T265" t="s">
        <v>2931</v>
      </c>
      <c r="U265">
        <v>0</v>
      </c>
      <c r="V265" t="str">
        <f>IF(CleanedTable[[#This Row],[Returned]] = 0,"NO","Yes")</f>
        <v>NO</v>
      </c>
      <c r="W265" t="s">
        <v>314</v>
      </c>
      <c r="X265" t="s">
        <v>1810</v>
      </c>
      <c r="Y265" s="10">
        <v>17.690000000000001</v>
      </c>
      <c r="Z265" s="3">
        <v>44948</v>
      </c>
      <c r="AA265" s="3">
        <v>44957</v>
      </c>
      <c r="AB265" t="s">
        <v>2926</v>
      </c>
      <c r="AC265">
        <v>9</v>
      </c>
    </row>
    <row r="266" spans="1:29" x14ac:dyDescent="0.3">
      <c r="A266" s="3">
        <v>44964</v>
      </c>
      <c r="B266" s="3" t="str">
        <f>TEXT(CleanedTable[[#This Row],[OrderDate]],"mmm")</f>
        <v>Feb</v>
      </c>
      <c r="C266" s="3" t="str">
        <f>TEXT(CleanedTable[[#This Row],[OrderDate]],"yyyy")</f>
        <v>2023</v>
      </c>
      <c r="D266" s="3" t="str">
        <f>TEXT(CleanedTable[[#This Row],[OrderDate]],"mmm yyyy")</f>
        <v>Feb 2023</v>
      </c>
      <c r="E266" t="s">
        <v>21</v>
      </c>
      <c r="F266" t="s">
        <v>28</v>
      </c>
      <c r="G266" s="12">
        <v>3</v>
      </c>
      <c r="H266" s="8">
        <v>506.33</v>
      </c>
      <c r="I266" t="s">
        <v>31</v>
      </c>
      <c r="J266" t="s">
        <v>36</v>
      </c>
      <c r="K266" s="10">
        <v>0.15</v>
      </c>
      <c r="L266" t="s">
        <v>39</v>
      </c>
      <c r="M266">
        <v>1291.1415</v>
      </c>
      <c r="N266">
        <v>911.39400000000001</v>
      </c>
      <c r="O266" s="10">
        <v>354.03749999999997</v>
      </c>
      <c r="P266" s="10">
        <v>0.27420503484707137</v>
      </c>
      <c r="Q266" s="8">
        <v>1291.1415</v>
      </c>
      <c r="R266" t="s">
        <v>46</v>
      </c>
      <c r="S266" t="s">
        <v>48</v>
      </c>
      <c r="T266" t="s">
        <v>2931</v>
      </c>
      <c r="U266">
        <v>0</v>
      </c>
      <c r="V266" t="str">
        <f>IF(CleanedTable[[#This Row],[Returned]] = 0,"NO","Yes")</f>
        <v>NO</v>
      </c>
      <c r="W266" t="s">
        <v>315</v>
      </c>
      <c r="X266" t="s">
        <v>1811</v>
      </c>
      <c r="Y266" s="10">
        <v>25.71</v>
      </c>
      <c r="Z266" s="3">
        <v>44964</v>
      </c>
      <c r="AA266" s="3">
        <v>44971</v>
      </c>
      <c r="AB266" t="s">
        <v>2924</v>
      </c>
      <c r="AC266">
        <v>7</v>
      </c>
    </row>
    <row r="267" spans="1:29" x14ac:dyDescent="0.3">
      <c r="A267" s="3">
        <v>45252</v>
      </c>
      <c r="B267" s="3" t="str">
        <f>TEXT(CleanedTable[[#This Row],[OrderDate]],"mmm")</f>
        <v>Nov</v>
      </c>
      <c r="C267" s="3" t="str">
        <f>TEXT(CleanedTable[[#This Row],[OrderDate]],"yyyy")</f>
        <v>2023</v>
      </c>
      <c r="D267" s="3" t="str">
        <f>TEXT(CleanedTable[[#This Row],[OrderDate]],"mmm yyyy")</f>
        <v>Nov 2023</v>
      </c>
      <c r="E267" t="s">
        <v>20</v>
      </c>
      <c r="F267" t="s">
        <v>28</v>
      </c>
      <c r="G267" s="12">
        <v>8</v>
      </c>
      <c r="H267" s="8">
        <v>138.72999999999999</v>
      </c>
      <c r="I267" t="s">
        <v>32</v>
      </c>
      <c r="J267" t="s">
        <v>35</v>
      </c>
      <c r="K267" s="10">
        <v>0.05</v>
      </c>
      <c r="L267" t="s">
        <v>39</v>
      </c>
      <c r="M267">
        <v>1054.348</v>
      </c>
      <c r="N267">
        <v>665.90399999999988</v>
      </c>
      <c r="O267" s="10">
        <v>339.93400000000008</v>
      </c>
      <c r="P267" s="10">
        <v>0.32241157568468864</v>
      </c>
      <c r="Q267" s="8">
        <v>1054.348</v>
      </c>
      <c r="R267" t="s">
        <v>43</v>
      </c>
      <c r="S267" t="s">
        <v>50</v>
      </c>
      <c r="T267" t="s">
        <v>2931</v>
      </c>
      <c r="U267">
        <v>1</v>
      </c>
      <c r="V267" t="str">
        <f>IF(CleanedTable[[#This Row],[Returned]] = 0,"NO","Yes")</f>
        <v>Yes</v>
      </c>
      <c r="W267" t="s">
        <v>316</v>
      </c>
      <c r="X267" t="s">
        <v>1812</v>
      </c>
      <c r="Y267" s="10">
        <v>48.51</v>
      </c>
      <c r="Z267" s="3">
        <v>45252</v>
      </c>
      <c r="AA267" s="3">
        <v>45259</v>
      </c>
      <c r="AB267" t="s">
        <v>2923</v>
      </c>
      <c r="AC267">
        <v>7</v>
      </c>
    </row>
    <row r="268" spans="1:29" x14ac:dyDescent="0.3">
      <c r="A268" s="3">
        <v>44951</v>
      </c>
      <c r="B268" s="3" t="str">
        <f>TEXT(CleanedTable[[#This Row],[OrderDate]],"mmm")</f>
        <v>Jan</v>
      </c>
      <c r="C268" s="3" t="str">
        <f>TEXT(CleanedTable[[#This Row],[OrderDate]],"yyyy")</f>
        <v>2023</v>
      </c>
      <c r="D268" s="3" t="str">
        <f>TEXT(CleanedTable[[#This Row],[OrderDate]],"mmm yyyy")</f>
        <v>Jan 2023</v>
      </c>
      <c r="E268" t="s">
        <v>23</v>
      </c>
      <c r="F268" t="s">
        <v>26</v>
      </c>
      <c r="G268" s="12">
        <v>6</v>
      </c>
      <c r="H268" s="8">
        <v>134.53</v>
      </c>
      <c r="I268" t="s">
        <v>33</v>
      </c>
      <c r="J268" t="s">
        <v>36</v>
      </c>
      <c r="K268" s="10">
        <v>0.15</v>
      </c>
      <c r="L268" t="s">
        <v>40</v>
      </c>
      <c r="M268">
        <v>686.10300000000007</v>
      </c>
      <c r="N268">
        <v>484.30799999999999</v>
      </c>
      <c r="O268" s="10">
        <v>168.29500000000007</v>
      </c>
      <c r="P268" s="10">
        <v>0.24529115890762765</v>
      </c>
      <c r="Q268" s="8">
        <v>686.10300000000007</v>
      </c>
      <c r="R268" t="s">
        <v>46</v>
      </c>
      <c r="S268" t="s">
        <v>48</v>
      </c>
      <c r="T268" t="s">
        <v>2931</v>
      </c>
      <c r="U268">
        <v>1</v>
      </c>
      <c r="V268" t="str">
        <f>IF(CleanedTable[[#This Row],[Returned]] = 0,"NO","Yes")</f>
        <v>Yes</v>
      </c>
      <c r="W268" t="s">
        <v>317</v>
      </c>
      <c r="X268" t="s">
        <v>1813</v>
      </c>
      <c r="Y268" s="10">
        <v>33.5</v>
      </c>
      <c r="Z268" s="3">
        <v>44951</v>
      </c>
      <c r="AA268" s="3">
        <v>44955</v>
      </c>
      <c r="AB268" t="s">
        <v>2926</v>
      </c>
      <c r="AC268">
        <v>4</v>
      </c>
    </row>
    <row r="269" spans="1:29" x14ac:dyDescent="0.3">
      <c r="A269" s="3">
        <v>45721</v>
      </c>
      <c r="B269" s="3" t="str">
        <f>TEXT(CleanedTable[[#This Row],[OrderDate]],"mmm")</f>
        <v>Mar</v>
      </c>
      <c r="C269" s="3" t="str">
        <f>TEXT(CleanedTable[[#This Row],[OrderDate]],"yyyy")</f>
        <v>2025</v>
      </c>
      <c r="D269" s="3" t="str">
        <f>TEXT(CleanedTable[[#This Row],[OrderDate]],"mmm yyyy")</f>
        <v>Mar 2025</v>
      </c>
      <c r="E269" t="s">
        <v>20</v>
      </c>
      <c r="F269" t="s">
        <v>29</v>
      </c>
      <c r="G269" s="12">
        <v>18</v>
      </c>
      <c r="H269" s="8">
        <v>375.96</v>
      </c>
      <c r="I269" t="s">
        <v>34</v>
      </c>
      <c r="J269" t="s">
        <v>35</v>
      </c>
      <c r="K269" s="10">
        <v>0.05</v>
      </c>
      <c r="L269" t="s">
        <v>41</v>
      </c>
      <c r="M269">
        <v>6428.9159999999993</v>
      </c>
      <c r="N269">
        <v>4060.3679999999999</v>
      </c>
      <c r="O269" s="10">
        <v>2341.7679999999991</v>
      </c>
      <c r="P269" s="10">
        <v>0.3642554981275225</v>
      </c>
      <c r="Q269" s="8">
        <v>6428.9159999999993</v>
      </c>
      <c r="R269" t="s">
        <v>46</v>
      </c>
      <c r="S269" t="s">
        <v>49</v>
      </c>
      <c r="T269" t="s">
        <v>2931</v>
      </c>
      <c r="U269">
        <v>0</v>
      </c>
      <c r="V269" t="str">
        <f>IF(CleanedTable[[#This Row],[Returned]] = 0,"NO","Yes")</f>
        <v>NO</v>
      </c>
      <c r="W269" t="s">
        <v>318</v>
      </c>
      <c r="X269" t="s">
        <v>1814</v>
      </c>
      <c r="Y269" s="10">
        <v>26.78</v>
      </c>
      <c r="Z269" s="3">
        <v>45721</v>
      </c>
      <c r="AA269" s="3">
        <v>45725</v>
      </c>
      <c r="AB269" t="s">
        <v>2923</v>
      </c>
      <c r="AC269">
        <v>4</v>
      </c>
    </row>
    <row r="270" spans="1:29" x14ac:dyDescent="0.3">
      <c r="A270" s="3">
        <v>44959</v>
      </c>
      <c r="B270" s="3" t="str">
        <f>TEXT(CleanedTable[[#This Row],[OrderDate]],"mmm")</f>
        <v>Feb</v>
      </c>
      <c r="C270" s="3" t="str">
        <f>TEXT(CleanedTable[[#This Row],[OrderDate]],"yyyy")</f>
        <v>2023</v>
      </c>
      <c r="D270" s="3" t="str">
        <f>TEXT(CleanedTable[[#This Row],[OrderDate]],"mmm yyyy")</f>
        <v>Feb 2023</v>
      </c>
      <c r="E270" t="s">
        <v>21</v>
      </c>
      <c r="F270" t="s">
        <v>30</v>
      </c>
      <c r="G270" s="12">
        <v>10</v>
      </c>
      <c r="H270" s="8">
        <v>538.47</v>
      </c>
      <c r="I270" t="s">
        <v>34</v>
      </c>
      <c r="J270" t="s">
        <v>36</v>
      </c>
      <c r="K270" s="10">
        <v>0.1</v>
      </c>
      <c r="L270" t="s">
        <v>42</v>
      </c>
      <c r="M270">
        <v>4846.2300000000005</v>
      </c>
      <c r="N270">
        <v>3230.8199999999997</v>
      </c>
      <c r="O270" s="10">
        <v>1598.1600000000008</v>
      </c>
      <c r="P270" s="10">
        <v>0.32977386545830484</v>
      </c>
      <c r="Q270" s="8">
        <v>4846.2299999999996</v>
      </c>
      <c r="R270" t="s">
        <v>44</v>
      </c>
      <c r="S270" t="s">
        <v>50</v>
      </c>
      <c r="T270" t="s">
        <v>2931</v>
      </c>
      <c r="U270">
        <v>1</v>
      </c>
      <c r="V270" t="str">
        <f>IF(CleanedTable[[#This Row],[Returned]] = 0,"NO","Yes")</f>
        <v>Yes</v>
      </c>
      <c r="W270" t="s">
        <v>319</v>
      </c>
      <c r="X270" t="s">
        <v>1815</v>
      </c>
      <c r="Y270" s="10">
        <v>17.25</v>
      </c>
      <c r="Z270" s="3">
        <v>44959</v>
      </c>
      <c r="AA270" s="3">
        <v>44969</v>
      </c>
      <c r="AB270" t="s">
        <v>2924</v>
      </c>
      <c r="AC270">
        <v>10</v>
      </c>
    </row>
    <row r="271" spans="1:29" x14ac:dyDescent="0.3">
      <c r="A271" s="3">
        <v>45070</v>
      </c>
      <c r="B271" s="3" t="str">
        <f>TEXT(CleanedTable[[#This Row],[OrderDate]],"mmm")</f>
        <v>May</v>
      </c>
      <c r="C271" s="3" t="str">
        <f>TEXT(CleanedTable[[#This Row],[OrderDate]],"yyyy")</f>
        <v>2023</v>
      </c>
      <c r="D271" s="3" t="str">
        <f>TEXT(CleanedTable[[#This Row],[OrderDate]],"mmm yyyy")</f>
        <v>May 2023</v>
      </c>
      <c r="E271" t="s">
        <v>21</v>
      </c>
      <c r="F271" t="s">
        <v>29</v>
      </c>
      <c r="G271" s="12">
        <v>15</v>
      </c>
      <c r="H271" s="8">
        <v>505.44</v>
      </c>
      <c r="I271" t="s">
        <v>32</v>
      </c>
      <c r="J271" t="s">
        <v>35</v>
      </c>
      <c r="K271" s="10">
        <v>0.1</v>
      </c>
      <c r="L271" t="s">
        <v>38</v>
      </c>
      <c r="M271">
        <v>6823.4400000000005</v>
      </c>
      <c r="N271">
        <v>4548.96</v>
      </c>
      <c r="O271" s="10">
        <v>2236.9800000000005</v>
      </c>
      <c r="P271" s="10">
        <v>0.32783757166473221</v>
      </c>
      <c r="Q271" s="8">
        <v>6823.4400000000014</v>
      </c>
      <c r="R271" t="s">
        <v>43</v>
      </c>
      <c r="S271" t="s">
        <v>49</v>
      </c>
      <c r="T271" t="s">
        <v>2931</v>
      </c>
      <c r="U271">
        <v>0</v>
      </c>
      <c r="V271" t="str">
        <f>IF(CleanedTable[[#This Row],[Returned]] = 0,"NO","Yes")</f>
        <v>NO</v>
      </c>
      <c r="W271" t="s">
        <v>320</v>
      </c>
      <c r="X271" t="s">
        <v>1816</v>
      </c>
      <c r="Y271" s="10">
        <v>37.5</v>
      </c>
      <c r="Z271" s="3">
        <v>45070</v>
      </c>
      <c r="AA271" s="3">
        <v>45078</v>
      </c>
      <c r="AB271" t="s">
        <v>2924</v>
      </c>
      <c r="AC271">
        <v>8</v>
      </c>
    </row>
    <row r="272" spans="1:29" x14ac:dyDescent="0.3">
      <c r="A272" s="3">
        <v>45442</v>
      </c>
      <c r="B272" s="3" t="str">
        <f>TEXT(CleanedTable[[#This Row],[OrderDate]],"mmm")</f>
        <v>May</v>
      </c>
      <c r="C272" s="3" t="str">
        <f>TEXT(CleanedTable[[#This Row],[OrderDate]],"yyyy")</f>
        <v>2024</v>
      </c>
      <c r="D272" s="3" t="str">
        <f>TEXT(CleanedTable[[#This Row],[OrderDate]],"mmm yyyy")</f>
        <v>May 2024</v>
      </c>
      <c r="E272" t="s">
        <v>20</v>
      </c>
      <c r="F272" t="s">
        <v>30</v>
      </c>
      <c r="G272" s="12">
        <v>4</v>
      </c>
      <c r="H272" s="8">
        <v>312.08999999999997</v>
      </c>
      <c r="I272" t="s">
        <v>33</v>
      </c>
      <c r="J272" t="s">
        <v>35</v>
      </c>
      <c r="K272" s="10">
        <v>0.15</v>
      </c>
      <c r="L272" t="s">
        <v>41</v>
      </c>
      <c r="M272">
        <v>1061.106</v>
      </c>
      <c r="N272">
        <v>749.01599999999996</v>
      </c>
      <c r="O272" s="10">
        <v>294.10000000000002</v>
      </c>
      <c r="P272" s="10">
        <v>0.27716363869396649</v>
      </c>
      <c r="Q272" s="8">
        <v>1061.106</v>
      </c>
      <c r="R272" t="s">
        <v>46</v>
      </c>
      <c r="S272" t="s">
        <v>49</v>
      </c>
      <c r="T272" t="s">
        <v>2931</v>
      </c>
      <c r="U272">
        <v>1</v>
      </c>
      <c r="V272" t="str">
        <f>IF(CleanedTable[[#This Row],[Returned]] = 0,"NO","Yes")</f>
        <v>Yes</v>
      </c>
      <c r="W272" t="s">
        <v>321</v>
      </c>
      <c r="X272" t="s">
        <v>1590</v>
      </c>
      <c r="Y272" s="10">
        <v>17.989999999999998</v>
      </c>
      <c r="Z272" s="3">
        <v>45442</v>
      </c>
      <c r="AA272" s="3">
        <v>45449</v>
      </c>
      <c r="AB272" t="s">
        <v>2923</v>
      </c>
      <c r="AC272">
        <v>7</v>
      </c>
    </row>
    <row r="273" spans="1:29" x14ac:dyDescent="0.3">
      <c r="A273" s="3">
        <v>45314</v>
      </c>
      <c r="B273" s="3" t="str">
        <f>TEXT(CleanedTable[[#This Row],[OrderDate]],"mmm")</f>
        <v>Jan</v>
      </c>
      <c r="C273" s="3" t="str">
        <f>TEXT(CleanedTable[[#This Row],[OrderDate]],"yyyy")</f>
        <v>2024</v>
      </c>
      <c r="D273" s="3" t="str">
        <f>TEXT(CleanedTable[[#This Row],[OrderDate]],"mmm yyyy")</f>
        <v>Jan 2024</v>
      </c>
      <c r="E273" t="s">
        <v>23</v>
      </c>
      <c r="F273" t="s">
        <v>26</v>
      </c>
      <c r="G273" s="12">
        <v>15</v>
      </c>
      <c r="H273" s="8">
        <v>579.58000000000004</v>
      </c>
      <c r="I273" t="s">
        <v>33</v>
      </c>
      <c r="J273" t="s">
        <v>36</v>
      </c>
      <c r="K273" s="10">
        <v>0.15</v>
      </c>
      <c r="L273" t="s">
        <v>37</v>
      </c>
      <c r="M273">
        <v>7389.6450000000004</v>
      </c>
      <c r="N273">
        <v>5216.22</v>
      </c>
      <c r="O273" s="10">
        <v>2142.2050000000004</v>
      </c>
      <c r="P273" s="10">
        <v>0.28989281623136165</v>
      </c>
      <c r="Q273" s="8">
        <v>7389.6450000000004</v>
      </c>
      <c r="R273" t="s">
        <v>45</v>
      </c>
      <c r="T273" t="s">
        <v>2932</v>
      </c>
      <c r="U273">
        <v>0</v>
      </c>
      <c r="V273" t="str">
        <f>IF(CleanedTable[[#This Row],[Returned]] = 0,"NO","Yes")</f>
        <v>NO</v>
      </c>
      <c r="W273" t="s">
        <v>322</v>
      </c>
      <c r="X273" t="s">
        <v>1817</v>
      </c>
      <c r="Y273" s="10">
        <v>31.22</v>
      </c>
      <c r="Z273" s="3">
        <v>45314</v>
      </c>
      <c r="AA273" s="3">
        <v>45322</v>
      </c>
      <c r="AB273" t="s">
        <v>2926</v>
      </c>
      <c r="AC273">
        <v>8</v>
      </c>
    </row>
    <row r="274" spans="1:29" x14ac:dyDescent="0.3">
      <c r="A274" s="3">
        <v>44963</v>
      </c>
      <c r="B274" s="3" t="str">
        <f>TEXT(CleanedTable[[#This Row],[OrderDate]],"mmm")</f>
        <v>Feb</v>
      </c>
      <c r="C274" s="3" t="str">
        <f>TEXT(CleanedTable[[#This Row],[OrderDate]],"yyyy")</f>
        <v>2023</v>
      </c>
      <c r="D274" s="3" t="str">
        <f>TEXT(CleanedTable[[#This Row],[OrderDate]],"mmm yyyy")</f>
        <v>Feb 2023</v>
      </c>
      <c r="E274" t="s">
        <v>21</v>
      </c>
      <c r="F274" t="s">
        <v>27</v>
      </c>
      <c r="G274" s="12">
        <v>10</v>
      </c>
      <c r="H274" s="8">
        <v>217.43</v>
      </c>
      <c r="I274" t="s">
        <v>32</v>
      </c>
      <c r="J274" t="s">
        <v>36</v>
      </c>
      <c r="K274" s="10">
        <v>0.15</v>
      </c>
      <c r="L274" t="s">
        <v>42</v>
      </c>
      <c r="M274">
        <v>1848.1550000000002</v>
      </c>
      <c r="N274">
        <v>1304.58</v>
      </c>
      <c r="O274" s="10">
        <v>510.43500000000029</v>
      </c>
      <c r="P274" s="10">
        <v>0.27618625061209706</v>
      </c>
      <c r="Q274" s="8">
        <v>1848.155</v>
      </c>
      <c r="R274" t="s">
        <v>45</v>
      </c>
      <c r="S274" t="s">
        <v>48</v>
      </c>
      <c r="T274" t="s">
        <v>2931</v>
      </c>
      <c r="U274">
        <v>0</v>
      </c>
      <c r="V274" t="str">
        <f>IF(CleanedTable[[#This Row],[Returned]] = 0,"NO","Yes")</f>
        <v>NO</v>
      </c>
      <c r="W274" t="s">
        <v>323</v>
      </c>
      <c r="X274" t="s">
        <v>1818</v>
      </c>
      <c r="Y274" s="10">
        <v>33.14</v>
      </c>
      <c r="Z274" s="3">
        <v>44963</v>
      </c>
      <c r="AA274" s="3">
        <v>44972</v>
      </c>
      <c r="AB274" t="s">
        <v>2924</v>
      </c>
      <c r="AC274">
        <v>9</v>
      </c>
    </row>
    <row r="275" spans="1:29" x14ac:dyDescent="0.3">
      <c r="A275" s="3">
        <v>45488</v>
      </c>
      <c r="B275" s="3" t="str">
        <f>TEXT(CleanedTable[[#This Row],[OrderDate]],"mmm")</f>
        <v>Jul</v>
      </c>
      <c r="C275" s="3" t="str">
        <f>TEXT(CleanedTable[[#This Row],[OrderDate]],"yyyy")</f>
        <v>2024</v>
      </c>
      <c r="D275" s="3" t="str">
        <f>TEXT(CleanedTable[[#This Row],[OrderDate]],"mmm yyyy")</f>
        <v>Jul 2024</v>
      </c>
      <c r="E275" t="s">
        <v>23</v>
      </c>
      <c r="F275" t="s">
        <v>25</v>
      </c>
      <c r="G275" s="12">
        <v>15</v>
      </c>
      <c r="H275" s="8">
        <v>476.15</v>
      </c>
      <c r="I275" t="s">
        <v>31</v>
      </c>
      <c r="J275" t="s">
        <v>35</v>
      </c>
      <c r="K275" s="10">
        <v>0.05</v>
      </c>
      <c r="L275" t="s">
        <v>40</v>
      </c>
      <c r="M275">
        <v>6785.1374999999998</v>
      </c>
      <c r="N275">
        <v>4285.3500000000004</v>
      </c>
      <c r="O275" s="10">
        <v>2475.3074999999994</v>
      </c>
      <c r="P275" s="10">
        <v>0.36481316701393296</v>
      </c>
      <c r="Q275" s="8">
        <v>6785.1374999999998</v>
      </c>
      <c r="R275" t="s">
        <v>43</v>
      </c>
      <c r="S275" t="s">
        <v>49</v>
      </c>
      <c r="T275" t="s">
        <v>2931</v>
      </c>
      <c r="U275">
        <v>0</v>
      </c>
      <c r="V275" t="str">
        <f>IF(CleanedTable[[#This Row],[Returned]] = 0,"NO","Yes")</f>
        <v>NO</v>
      </c>
      <c r="W275" t="s">
        <v>324</v>
      </c>
      <c r="X275" t="s">
        <v>1819</v>
      </c>
      <c r="Y275" s="10">
        <v>24.48</v>
      </c>
      <c r="Z275" s="3">
        <v>45488</v>
      </c>
      <c r="AA275" s="3">
        <v>45492</v>
      </c>
      <c r="AB275" t="s">
        <v>2926</v>
      </c>
      <c r="AC275">
        <v>4</v>
      </c>
    </row>
    <row r="276" spans="1:29" x14ac:dyDescent="0.3">
      <c r="A276" s="3">
        <v>45722</v>
      </c>
      <c r="B276" s="3" t="str">
        <f>TEXT(CleanedTable[[#This Row],[OrderDate]],"mmm")</f>
        <v>Mar</v>
      </c>
      <c r="C276" s="3" t="str">
        <f>TEXT(CleanedTable[[#This Row],[OrderDate]],"yyyy")</f>
        <v>2025</v>
      </c>
      <c r="D276" s="3" t="str">
        <f>TEXT(CleanedTable[[#This Row],[OrderDate]],"mmm yyyy")</f>
        <v>Mar 2025</v>
      </c>
      <c r="E276" t="s">
        <v>19</v>
      </c>
      <c r="F276" t="s">
        <v>27</v>
      </c>
      <c r="G276" s="12">
        <v>5</v>
      </c>
      <c r="H276" s="8">
        <v>89.03</v>
      </c>
      <c r="I276" t="s">
        <v>33</v>
      </c>
      <c r="J276" t="s">
        <v>35</v>
      </c>
      <c r="K276" s="10">
        <v>0.1</v>
      </c>
      <c r="L276" t="s">
        <v>39</v>
      </c>
      <c r="M276">
        <v>400.63499999999999</v>
      </c>
      <c r="N276">
        <v>267.08999999999997</v>
      </c>
      <c r="O276" s="10">
        <v>111.12500000000001</v>
      </c>
      <c r="P276" s="10">
        <v>0.27737217167746209</v>
      </c>
      <c r="Q276" s="8">
        <v>400.63499999999999</v>
      </c>
      <c r="R276" t="s">
        <v>46</v>
      </c>
      <c r="S276" t="s">
        <v>50</v>
      </c>
      <c r="T276" t="s">
        <v>2931</v>
      </c>
      <c r="U276">
        <v>0</v>
      </c>
      <c r="V276" t="str">
        <f>IF(CleanedTable[[#This Row],[Returned]] = 0,"NO","Yes")</f>
        <v>NO</v>
      </c>
      <c r="W276" t="s">
        <v>325</v>
      </c>
      <c r="X276" t="s">
        <v>1820</v>
      </c>
      <c r="Y276" s="10">
        <v>22.42</v>
      </c>
      <c r="Z276" s="3">
        <v>45722</v>
      </c>
      <c r="AA276" s="3">
        <v>45732</v>
      </c>
      <c r="AB276" t="s">
        <v>2922</v>
      </c>
      <c r="AC276">
        <v>10</v>
      </c>
    </row>
    <row r="277" spans="1:29" x14ac:dyDescent="0.3">
      <c r="A277" s="3">
        <v>45136</v>
      </c>
      <c r="B277" s="3" t="str">
        <f>TEXT(CleanedTable[[#This Row],[OrderDate]],"mmm")</f>
        <v>Jul</v>
      </c>
      <c r="C277" s="3" t="str">
        <f>TEXT(CleanedTable[[#This Row],[OrderDate]],"yyyy")</f>
        <v>2023</v>
      </c>
      <c r="D277" s="3" t="str">
        <f>TEXT(CleanedTable[[#This Row],[OrderDate]],"mmm yyyy")</f>
        <v>Jul 2023</v>
      </c>
      <c r="E277" t="s">
        <v>22</v>
      </c>
      <c r="F277" t="s">
        <v>25</v>
      </c>
      <c r="G277" s="12">
        <v>17</v>
      </c>
      <c r="H277" s="8">
        <v>6.88</v>
      </c>
      <c r="I277" t="s">
        <v>32</v>
      </c>
      <c r="J277" t="s">
        <v>36</v>
      </c>
      <c r="K277" s="10">
        <v>0.1</v>
      </c>
      <c r="L277" t="s">
        <v>39</v>
      </c>
      <c r="M277">
        <v>105.264</v>
      </c>
      <c r="N277">
        <v>70.176000000000002</v>
      </c>
      <c r="O277" s="10">
        <v>-7.2820000000000036</v>
      </c>
      <c r="P277" s="10">
        <v>-6.9178446572427457E-2</v>
      </c>
      <c r="Q277" s="8">
        <v>105.264</v>
      </c>
      <c r="R277" t="s">
        <v>44</v>
      </c>
      <c r="T277" t="s">
        <v>2932</v>
      </c>
      <c r="U277">
        <v>0</v>
      </c>
      <c r="V277" t="str">
        <f>IF(CleanedTable[[#This Row],[Returned]] = 0,"NO","Yes")</f>
        <v>NO</v>
      </c>
      <c r="W277" t="s">
        <v>326</v>
      </c>
      <c r="X277" t="s">
        <v>1821</v>
      </c>
      <c r="Y277" s="10">
        <v>42.37</v>
      </c>
      <c r="Z277" s="3">
        <v>45136</v>
      </c>
      <c r="AA277" s="3">
        <v>45146</v>
      </c>
      <c r="AB277" t="s">
        <v>2925</v>
      </c>
      <c r="AC277">
        <v>10</v>
      </c>
    </row>
    <row r="278" spans="1:29" x14ac:dyDescent="0.3">
      <c r="A278" s="3">
        <v>45133</v>
      </c>
      <c r="B278" s="3" t="str">
        <f>TEXT(CleanedTable[[#This Row],[OrderDate]],"mmm")</f>
        <v>Jul</v>
      </c>
      <c r="C278" s="3" t="str">
        <f>TEXT(CleanedTable[[#This Row],[OrderDate]],"yyyy")</f>
        <v>2023</v>
      </c>
      <c r="D278" s="3" t="str">
        <f>TEXT(CleanedTable[[#This Row],[OrderDate]],"mmm yyyy")</f>
        <v>Jul 2023</v>
      </c>
      <c r="E278" t="s">
        <v>21</v>
      </c>
      <c r="F278" t="s">
        <v>30</v>
      </c>
      <c r="G278" s="12">
        <v>6</v>
      </c>
      <c r="H278" s="8">
        <v>355.26</v>
      </c>
      <c r="I278" t="s">
        <v>34</v>
      </c>
      <c r="J278" t="s">
        <v>36</v>
      </c>
      <c r="K278" s="10">
        <v>0.1</v>
      </c>
      <c r="L278" t="s">
        <v>42</v>
      </c>
      <c r="M278">
        <v>1918.404</v>
      </c>
      <c r="N278">
        <v>1278.9359999999999</v>
      </c>
      <c r="O278" s="10">
        <v>608.97800000000007</v>
      </c>
      <c r="P278" s="10">
        <v>0.31743991359484242</v>
      </c>
      <c r="Q278" s="8">
        <v>1918.404</v>
      </c>
      <c r="R278" t="s">
        <v>43</v>
      </c>
      <c r="S278" t="s">
        <v>50</v>
      </c>
      <c r="T278" t="s">
        <v>2931</v>
      </c>
      <c r="U278">
        <v>0</v>
      </c>
      <c r="V278" t="str">
        <f>IF(CleanedTable[[#This Row],[Returned]] = 0,"NO","Yes")</f>
        <v>NO</v>
      </c>
      <c r="W278" t="s">
        <v>327</v>
      </c>
      <c r="X278" t="s">
        <v>1822</v>
      </c>
      <c r="Y278" s="10">
        <v>30.49</v>
      </c>
      <c r="Z278" s="3">
        <v>45133</v>
      </c>
      <c r="AA278" s="3">
        <v>45136</v>
      </c>
      <c r="AB278" t="s">
        <v>2924</v>
      </c>
      <c r="AC278">
        <v>3</v>
      </c>
    </row>
    <row r="279" spans="1:29" x14ac:dyDescent="0.3">
      <c r="A279" s="3">
        <v>45392</v>
      </c>
      <c r="B279" s="3" t="str">
        <f>TEXT(CleanedTable[[#This Row],[OrderDate]],"mmm")</f>
        <v>Apr</v>
      </c>
      <c r="C279" s="3" t="str">
        <f>TEXT(CleanedTable[[#This Row],[OrderDate]],"yyyy")</f>
        <v>2024</v>
      </c>
      <c r="D279" s="3" t="str">
        <f>TEXT(CleanedTable[[#This Row],[OrderDate]],"mmm yyyy")</f>
        <v>Apr 2024</v>
      </c>
      <c r="E279" t="s">
        <v>23</v>
      </c>
      <c r="F279" t="s">
        <v>29</v>
      </c>
      <c r="G279" s="12">
        <v>8</v>
      </c>
      <c r="H279" s="8">
        <v>294.76</v>
      </c>
      <c r="I279" t="s">
        <v>33</v>
      </c>
      <c r="J279" t="s">
        <v>36</v>
      </c>
      <c r="K279" s="10">
        <v>0.1</v>
      </c>
      <c r="L279" t="s">
        <v>41</v>
      </c>
      <c r="M279">
        <v>2122.2719999999999</v>
      </c>
      <c r="N279">
        <v>1414.848</v>
      </c>
      <c r="O279" s="10">
        <v>671.38400000000001</v>
      </c>
      <c r="P279" s="10">
        <v>0.31635153269703414</v>
      </c>
      <c r="Q279" s="8">
        <v>2122.2719999999999</v>
      </c>
      <c r="R279" t="s">
        <v>43</v>
      </c>
      <c r="S279" t="s">
        <v>49</v>
      </c>
      <c r="T279" t="s">
        <v>2931</v>
      </c>
      <c r="U279">
        <v>0</v>
      </c>
      <c r="V279" t="str">
        <f>IF(CleanedTable[[#This Row],[Returned]] = 0,"NO","Yes")</f>
        <v>NO</v>
      </c>
      <c r="W279" t="s">
        <v>328</v>
      </c>
      <c r="X279" t="s">
        <v>1823</v>
      </c>
      <c r="Y279" s="10">
        <v>36.04</v>
      </c>
      <c r="Z279" s="3">
        <v>45392</v>
      </c>
      <c r="AA279" s="3">
        <v>45395</v>
      </c>
      <c r="AB279" t="s">
        <v>2926</v>
      </c>
      <c r="AC279">
        <v>3</v>
      </c>
    </row>
    <row r="280" spans="1:29" x14ac:dyDescent="0.3">
      <c r="A280" s="3">
        <v>45681</v>
      </c>
      <c r="B280" s="3" t="str">
        <f>TEXT(CleanedTable[[#This Row],[OrderDate]],"mmm")</f>
        <v>Jan</v>
      </c>
      <c r="C280" s="3" t="str">
        <f>TEXT(CleanedTable[[#This Row],[OrderDate]],"yyyy")</f>
        <v>2025</v>
      </c>
      <c r="D280" s="3" t="str">
        <f>TEXT(CleanedTable[[#This Row],[OrderDate]],"mmm yyyy")</f>
        <v>Jan 2025</v>
      </c>
      <c r="E280" t="s">
        <v>21</v>
      </c>
      <c r="F280" t="s">
        <v>26</v>
      </c>
      <c r="G280" s="12">
        <v>16</v>
      </c>
      <c r="H280" s="8">
        <v>60.69</v>
      </c>
      <c r="I280" t="s">
        <v>32</v>
      </c>
      <c r="J280" t="s">
        <v>35</v>
      </c>
      <c r="K280" s="10">
        <v>0</v>
      </c>
      <c r="L280" t="s">
        <v>40</v>
      </c>
      <c r="M280">
        <v>971.04</v>
      </c>
      <c r="N280">
        <v>582.62399999999991</v>
      </c>
      <c r="O280" s="10">
        <v>381.38600000000008</v>
      </c>
      <c r="P280" s="10">
        <v>0.39276033942988969</v>
      </c>
      <c r="Q280" s="8">
        <v>971.04</v>
      </c>
      <c r="R280" t="s">
        <v>45</v>
      </c>
      <c r="S280" t="s">
        <v>50</v>
      </c>
      <c r="T280" t="s">
        <v>2931</v>
      </c>
      <c r="U280">
        <v>0</v>
      </c>
      <c r="V280" t="str">
        <f>IF(CleanedTable[[#This Row],[Returned]] = 0,"NO","Yes")</f>
        <v>NO</v>
      </c>
      <c r="W280" t="s">
        <v>329</v>
      </c>
      <c r="X280" t="s">
        <v>1824</v>
      </c>
      <c r="Y280" s="10">
        <v>7.03</v>
      </c>
      <c r="Z280" s="3">
        <v>45681</v>
      </c>
      <c r="AA280" s="3">
        <v>45684</v>
      </c>
      <c r="AB280" t="s">
        <v>2924</v>
      </c>
      <c r="AC280">
        <v>3</v>
      </c>
    </row>
    <row r="281" spans="1:29" x14ac:dyDescent="0.3">
      <c r="A281" s="3">
        <v>45774</v>
      </c>
      <c r="B281" s="3" t="str">
        <f>TEXT(CleanedTable[[#This Row],[OrderDate]],"mmm")</f>
        <v>Apr</v>
      </c>
      <c r="C281" s="3" t="str">
        <f>TEXT(CleanedTable[[#This Row],[OrderDate]],"yyyy")</f>
        <v>2025</v>
      </c>
      <c r="D281" s="3" t="str">
        <f>TEXT(CleanedTable[[#This Row],[OrderDate]],"mmm yyyy")</f>
        <v>Apr 2025</v>
      </c>
      <c r="E281" t="s">
        <v>23</v>
      </c>
      <c r="F281" t="s">
        <v>24</v>
      </c>
      <c r="G281" s="12">
        <v>2</v>
      </c>
      <c r="H281" s="8">
        <v>559.63</v>
      </c>
      <c r="I281" t="s">
        <v>31</v>
      </c>
      <c r="J281" t="s">
        <v>35</v>
      </c>
      <c r="K281" s="10">
        <v>0.1</v>
      </c>
      <c r="L281" t="s">
        <v>41</v>
      </c>
      <c r="M281">
        <v>1007.3340000000001</v>
      </c>
      <c r="N281">
        <v>671.55599999999993</v>
      </c>
      <c r="O281" s="10">
        <v>293.4380000000001</v>
      </c>
      <c r="P281" s="10">
        <v>0.29130159410880613</v>
      </c>
      <c r="Q281" s="8">
        <v>1007.3339999999999</v>
      </c>
      <c r="R281" t="s">
        <v>45</v>
      </c>
      <c r="S281" t="s">
        <v>50</v>
      </c>
      <c r="T281" t="s">
        <v>2931</v>
      </c>
      <c r="U281">
        <v>1</v>
      </c>
      <c r="V281" t="str">
        <f>IF(CleanedTable[[#This Row],[Returned]] = 0,"NO","Yes")</f>
        <v>Yes</v>
      </c>
      <c r="W281" t="s">
        <v>330</v>
      </c>
      <c r="X281" t="s">
        <v>1825</v>
      </c>
      <c r="Y281" s="10">
        <v>42.34</v>
      </c>
      <c r="Z281" s="3">
        <v>45774</v>
      </c>
      <c r="AA281" s="3">
        <v>45780</v>
      </c>
      <c r="AB281" t="s">
        <v>2926</v>
      </c>
      <c r="AC281">
        <v>6</v>
      </c>
    </row>
    <row r="282" spans="1:29" x14ac:dyDescent="0.3">
      <c r="A282" s="3">
        <v>45708</v>
      </c>
      <c r="B282" s="3" t="str">
        <f>TEXT(CleanedTable[[#This Row],[OrderDate]],"mmm")</f>
        <v>Feb</v>
      </c>
      <c r="C282" s="3" t="str">
        <f>TEXT(CleanedTable[[#This Row],[OrderDate]],"yyyy")</f>
        <v>2025</v>
      </c>
      <c r="D282" s="3" t="str">
        <f>TEXT(CleanedTable[[#This Row],[OrderDate]],"mmm yyyy")</f>
        <v>Feb 2025</v>
      </c>
      <c r="E282" t="s">
        <v>19</v>
      </c>
      <c r="F282" t="s">
        <v>25</v>
      </c>
      <c r="G282" s="12">
        <v>4</v>
      </c>
      <c r="H282" s="8">
        <v>232.66</v>
      </c>
      <c r="I282" t="s">
        <v>31</v>
      </c>
      <c r="J282" t="s">
        <v>35</v>
      </c>
      <c r="K282" s="10">
        <v>0.1</v>
      </c>
      <c r="L282" t="s">
        <v>39</v>
      </c>
      <c r="M282">
        <v>837.57600000000002</v>
      </c>
      <c r="N282">
        <v>558.38400000000001</v>
      </c>
      <c r="O282" s="10">
        <v>267.31200000000001</v>
      </c>
      <c r="P282" s="10">
        <v>0.3191495458322588</v>
      </c>
      <c r="Q282" s="8">
        <v>837.57600000000002</v>
      </c>
      <c r="R282" t="s">
        <v>43</v>
      </c>
      <c r="S282" t="s">
        <v>50</v>
      </c>
      <c r="T282" t="s">
        <v>2931</v>
      </c>
      <c r="U282">
        <v>0</v>
      </c>
      <c r="V282" t="str">
        <f>IF(CleanedTable[[#This Row],[Returned]] = 0,"NO","Yes")</f>
        <v>NO</v>
      </c>
      <c r="W282" t="s">
        <v>331</v>
      </c>
      <c r="X282" t="s">
        <v>1826</v>
      </c>
      <c r="Y282" s="10">
        <v>11.88</v>
      </c>
      <c r="Z282" s="3">
        <v>45708</v>
      </c>
      <c r="AA282" s="3">
        <v>45711</v>
      </c>
      <c r="AB282" t="s">
        <v>2922</v>
      </c>
      <c r="AC282">
        <v>3</v>
      </c>
    </row>
    <row r="283" spans="1:29" x14ac:dyDescent="0.3">
      <c r="A283" s="3">
        <v>45183</v>
      </c>
      <c r="B283" s="3" t="str">
        <f>TEXT(CleanedTable[[#This Row],[OrderDate]],"mmm")</f>
        <v>Sep</v>
      </c>
      <c r="C283" s="3" t="str">
        <f>TEXT(CleanedTable[[#This Row],[OrderDate]],"yyyy")</f>
        <v>2023</v>
      </c>
      <c r="D283" s="3" t="str">
        <f>TEXT(CleanedTable[[#This Row],[OrderDate]],"mmm yyyy")</f>
        <v>Sep 2023</v>
      </c>
      <c r="E283" t="s">
        <v>21</v>
      </c>
      <c r="F283" t="s">
        <v>30</v>
      </c>
      <c r="G283" s="12">
        <v>10</v>
      </c>
      <c r="H283" s="8">
        <v>230.87</v>
      </c>
      <c r="I283" t="s">
        <v>32</v>
      </c>
      <c r="J283" t="s">
        <v>36</v>
      </c>
      <c r="K283" s="10">
        <v>0.15</v>
      </c>
      <c r="L283" t="s">
        <v>42</v>
      </c>
      <c r="M283">
        <v>1962.3949999999998</v>
      </c>
      <c r="N283">
        <v>1385.2199999999998</v>
      </c>
      <c r="O283" s="10">
        <v>548.84499999999991</v>
      </c>
      <c r="P283" s="10">
        <v>0.27968120587343526</v>
      </c>
      <c r="Q283" s="8">
        <v>1962.395</v>
      </c>
      <c r="R283" t="s">
        <v>46</v>
      </c>
      <c r="S283" t="s">
        <v>49</v>
      </c>
      <c r="T283" t="s">
        <v>2931</v>
      </c>
      <c r="U283">
        <v>0</v>
      </c>
      <c r="V283" t="str">
        <f>IF(CleanedTable[[#This Row],[Returned]] = 0,"NO","Yes")</f>
        <v>NO</v>
      </c>
      <c r="W283" t="s">
        <v>332</v>
      </c>
      <c r="X283" t="s">
        <v>1773</v>
      </c>
      <c r="Y283" s="10">
        <v>28.33</v>
      </c>
      <c r="Z283" s="3">
        <v>45183</v>
      </c>
      <c r="AA283" s="3">
        <v>45188</v>
      </c>
      <c r="AB283" t="s">
        <v>2924</v>
      </c>
      <c r="AC283">
        <v>5</v>
      </c>
    </row>
    <row r="284" spans="1:29" x14ac:dyDescent="0.3">
      <c r="A284" s="3">
        <v>45399</v>
      </c>
      <c r="B284" s="3" t="str">
        <f>TEXT(CleanedTable[[#This Row],[OrderDate]],"mmm")</f>
        <v>Apr</v>
      </c>
      <c r="C284" s="3" t="str">
        <f>TEXT(CleanedTable[[#This Row],[OrderDate]],"yyyy")</f>
        <v>2024</v>
      </c>
      <c r="D284" s="3" t="str">
        <f>TEXT(CleanedTable[[#This Row],[OrderDate]],"mmm yyyy")</f>
        <v>Apr 2024</v>
      </c>
      <c r="E284" t="s">
        <v>23</v>
      </c>
      <c r="F284" t="s">
        <v>29</v>
      </c>
      <c r="G284" s="12">
        <v>7</v>
      </c>
      <c r="H284" s="8">
        <v>353.9</v>
      </c>
      <c r="I284" t="s">
        <v>33</v>
      </c>
      <c r="J284" t="s">
        <v>35</v>
      </c>
      <c r="K284" s="10">
        <v>0.15</v>
      </c>
      <c r="L284" t="s">
        <v>38</v>
      </c>
      <c r="M284">
        <v>2105.7049999999999</v>
      </c>
      <c r="N284">
        <v>1486.3799999999999</v>
      </c>
      <c r="O284" s="10">
        <v>603.58500000000004</v>
      </c>
      <c r="P284" s="10">
        <v>0.28664271586000889</v>
      </c>
      <c r="Q284" s="8">
        <v>2105.7049999999999</v>
      </c>
      <c r="R284" t="s">
        <v>46</v>
      </c>
      <c r="S284" t="s">
        <v>49</v>
      </c>
      <c r="T284" t="s">
        <v>2931</v>
      </c>
      <c r="U284">
        <v>1</v>
      </c>
      <c r="V284" t="str">
        <f>IF(CleanedTable[[#This Row],[Returned]] = 0,"NO","Yes")</f>
        <v>Yes</v>
      </c>
      <c r="W284" t="s">
        <v>333</v>
      </c>
      <c r="X284" t="s">
        <v>1827</v>
      </c>
      <c r="Y284" s="10">
        <v>15.74</v>
      </c>
      <c r="Z284" s="3">
        <v>45399</v>
      </c>
      <c r="AA284" s="3">
        <v>45409</v>
      </c>
      <c r="AB284" t="s">
        <v>2926</v>
      </c>
      <c r="AC284">
        <v>10</v>
      </c>
    </row>
    <row r="285" spans="1:29" x14ac:dyDescent="0.3">
      <c r="A285" s="3">
        <v>45610</v>
      </c>
      <c r="B285" s="3" t="str">
        <f>TEXT(CleanedTable[[#This Row],[OrderDate]],"mmm")</f>
        <v>Nov</v>
      </c>
      <c r="C285" s="3" t="str">
        <f>TEXT(CleanedTable[[#This Row],[OrderDate]],"yyyy")</f>
        <v>2024</v>
      </c>
      <c r="D285" s="3" t="str">
        <f>TEXT(CleanedTable[[#This Row],[OrderDate]],"mmm yyyy")</f>
        <v>Nov 2024</v>
      </c>
      <c r="E285" t="s">
        <v>22</v>
      </c>
      <c r="F285" t="s">
        <v>29</v>
      </c>
      <c r="G285" s="12">
        <v>12</v>
      </c>
      <c r="H285" s="8">
        <v>561.07000000000005</v>
      </c>
      <c r="I285" t="s">
        <v>32</v>
      </c>
      <c r="J285" t="s">
        <v>36</v>
      </c>
      <c r="K285" s="10">
        <v>0</v>
      </c>
      <c r="L285" t="s">
        <v>38</v>
      </c>
      <c r="M285">
        <v>6732.84</v>
      </c>
      <c r="N285">
        <v>4039.7039999999997</v>
      </c>
      <c r="O285" s="10">
        <v>2658.1160000000004</v>
      </c>
      <c r="P285" s="10">
        <v>0.39479862881042777</v>
      </c>
      <c r="Q285" s="8">
        <v>6732.84</v>
      </c>
      <c r="R285" t="s">
        <v>44</v>
      </c>
      <c r="T285" t="s">
        <v>2932</v>
      </c>
      <c r="U285">
        <v>0</v>
      </c>
      <c r="V285" t="str">
        <f>IF(CleanedTable[[#This Row],[Returned]] = 0,"NO","Yes")</f>
        <v>NO</v>
      </c>
      <c r="W285" t="s">
        <v>334</v>
      </c>
      <c r="X285" t="s">
        <v>1828</v>
      </c>
      <c r="Y285" s="10">
        <v>35.020000000000003</v>
      </c>
      <c r="Z285" s="3">
        <v>45610</v>
      </c>
      <c r="AA285" s="3">
        <v>45614</v>
      </c>
      <c r="AB285" t="s">
        <v>2925</v>
      </c>
      <c r="AC285">
        <v>4</v>
      </c>
    </row>
    <row r="286" spans="1:29" x14ac:dyDescent="0.3">
      <c r="A286" s="3">
        <v>45498</v>
      </c>
      <c r="B286" s="3" t="str">
        <f>TEXT(CleanedTable[[#This Row],[OrderDate]],"mmm")</f>
        <v>Jul</v>
      </c>
      <c r="C286" s="3" t="str">
        <f>TEXT(CleanedTable[[#This Row],[OrderDate]],"yyyy")</f>
        <v>2024</v>
      </c>
      <c r="D286" s="3" t="str">
        <f>TEXT(CleanedTable[[#This Row],[OrderDate]],"mmm yyyy")</f>
        <v>Jul 2024</v>
      </c>
      <c r="E286" t="s">
        <v>21</v>
      </c>
      <c r="F286" t="s">
        <v>27</v>
      </c>
      <c r="G286" s="12">
        <v>15</v>
      </c>
      <c r="H286" s="8">
        <v>247.21</v>
      </c>
      <c r="I286" t="s">
        <v>34</v>
      </c>
      <c r="J286" t="s">
        <v>35</v>
      </c>
      <c r="K286" s="10">
        <v>0.1</v>
      </c>
      <c r="L286" t="s">
        <v>42</v>
      </c>
      <c r="M286">
        <v>3337.335</v>
      </c>
      <c r="N286">
        <v>2224.89</v>
      </c>
      <c r="O286" s="10">
        <v>1067.0250000000001</v>
      </c>
      <c r="P286" s="10">
        <v>0.31972367173208566</v>
      </c>
      <c r="Q286" s="8">
        <v>3337.335</v>
      </c>
      <c r="R286" t="s">
        <v>44</v>
      </c>
      <c r="T286" t="s">
        <v>2932</v>
      </c>
      <c r="U286">
        <v>0</v>
      </c>
      <c r="V286" t="str">
        <f>IF(CleanedTable[[#This Row],[Returned]] = 0,"NO","Yes")</f>
        <v>NO</v>
      </c>
      <c r="W286" t="s">
        <v>335</v>
      </c>
      <c r="X286" t="s">
        <v>1829</v>
      </c>
      <c r="Y286" s="10">
        <v>45.42</v>
      </c>
      <c r="Z286" s="3">
        <v>45498</v>
      </c>
      <c r="AA286" s="3">
        <v>45500</v>
      </c>
      <c r="AB286" t="s">
        <v>2924</v>
      </c>
      <c r="AC286">
        <v>2</v>
      </c>
    </row>
    <row r="287" spans="1:29" x14ac:dyDescent="0.3">
      <c r="A287" s="3">
        <v>45509</v>
      </c>
      <c r="B287" s="3" t="str">
        <f>TEXT(CleanedTable[[#This Row],[OrderDate]],"mmm")</f>
        <v>Aug</v>
      </c>
      <c r="C287" s="3" t="str">
        <f>TEXT(CleanedTable[[#This Row],[OrderDate]],"yyyy")</f>
        <v>2024</v>
      </c>
      <c r="D287" s="3" t="str">
        <f>TEXT(CleanedTable[[#This Row],[OrderDate]],"mmm yyyy")</f>
        <v>Aug 2024</v>
      </c>
      <c r="E287" t="s">
        <v>19</v>
      </c>
      <c r="F287" t="s">
        <v>25</v>
      </c>
      <c r="G287" s="12">
        <v>19</v>
      </c>
      <c r="H287" s="8">
        <v>271.22000000000003</v>
      </c>
      <c r="I287" t="s">
        <v>32</v>
      </c>
      <c r="J287" t="s">
        <v>35</v>
      </c>
      <c r="K287" s="10">
        <v>0.1</v>
      </c>
      <c r="L287" t="s">
        <v>38</v>
      </c>
      <c r="M287">
        <v>4637.8620000000001</v>
      </c>
      <c r="N287">
        <v>3091.9079999999999</v>
      </c>
      <c r="O287" s="10">
        <v>1510.6240000000003</v>
      </c>
      <c r="P287" s="10">
        <v>0.32571559912735659</v>
      </c>
      <c r="Q287" s="8">
        <v>4637.8620000000001</v>
      </c>
      <c r="R287" t="s">
        <v>45</v>
      </c>
      <c r="S287" t="s">
        <v>50</v>
      </c>
      <c r="T287" t="s">
        <v>2931</v>
      </c>
      <c r="U287">
        <v>0</v>
      </c>
      <c r="V287" t="str">
        <f>IF(CleanedTable[[#This Row],[Returned]] = 0,"NO","Yes")</f>
        <v>NO</v>
      </c>
      <c r="W287" t="s">
        <v>336</v>
      </c>
      <c r="X287" t="s">
        <v>1830</v>
      </c>
      <c r="Y287" s="10">
        <v>35.33</v>
      </c>
      <c r="Z287" s="3">
        <v>45509</v>
      </c>
      <c r="AA287" s="3">
        <v>45519</v>
      </c>
      <c r="AB287" t="s">
        <v>2922</v>
      </c>
      <c r="AC287">
        <v>10</v>
      </c>
    </row>
    <row r="288" spans="1:29" x14ac:dyDescent="0.3">
      <c r="A288" s="3">
        <v>45680</v>
      </c>
      <c r="B288" s="3" t="str">
        <f>TEXT(CleanedTable[[#This Row],[OrderDate]],"mmm")</f>
        <v>Jan</v>
      </c>
      <c r="C288" s="3" t="str">
        <f>TEXT(CleanedTable[[#This Row],[OrderDate]],"yyyy")</f>
        <v>2025</v>
      </c>
      <c r="D288" s="3" t="str">
        <f>TEXT(CleanedTable[[#This Row],[OrderDate]],"mmm yyyy")</f>
        <v>Jan 2025</v>
      </c>
      <c r="E288" t="s">
        <v>23</v>
      </c>
      <c r="F288" t="s">
        <v>24</v>
      </c>
      <c r="G288" s="12">
        <v>6</v>
      </c>
      <c r="H288" s="8">
        <v>532.54</v>
      </c>
      <c r="I288" t="s">
        <v>32</v>
      </c>
      <c r="J288" t="s">
        <v>35</v>
      </c>
      <c r="K288" s="10">
        <v>0</v>
      </c>
      <c r="L288" t="s">
        <v>41</v>
      </c>
      <c r="M288">
        <v>3195.24</v>
      </c>
      <c r="N288">
        <v>1917.1439999999998</v>
      </c>
      <c r="O288" s="10">
        <v>1253.0060000000001</v>
      </c>
      <c r="P288" s="10">
        <v>0.39214769469586014</v>
      </c>
      <c r="Q288" s="8">
        <v>3195.24</v>
      </c>
      <c r="R288" t="s">
        <v>46</v>
      </c>
      <c r="T288" t="s">
        <v>2932</v>
      </c>
      <c r="U288">
        <v>1</v>
      </c>
      <c r="V288" t="str">
        <f>IF(CleanedTable[[#This Row],[Returned]] = 0,"NO","Yes")</f>
        <v>Yes</v>
      </c>
      <c r="W288" t="s">
        <v>337</v>
      </c>
      <c r="X288" t="s">
        <v>1831</v>
      </c>
      <c r="Y288" s="10">
        <v>25.09</v>
      </c>
      <c r="Z288" s="3">
        <v>45680</v>
      </c>
      <c r="AA288" s="3">
        <v>45690</v>
      </c>
      <c r="AB288" t="s">
        <v>2926</v>
      </c>
      <c r="AC288">
        <v>10</v>
      </c>
    </row>
    <row r="289" spans="1:29" x14ac:dyDescent="0.3">
      <c r="A289" s="3">
        <v>45774</v>
      </c>
      <c r="B289" s="3" t="str">
        <f>TEXT(CleanedTable[[#This Row],[OrderDate]],"mmm")</f>
        <v>Apr</v>
      </c>
      <c r="C289" s="3" t="str">
        <f>TEXT(CleanedTable[[#This Row],[OrderDate]],"yyyy")</f>
        <v>2025</v>
      </c>
      <c r="D289" s="3" t="str">
        <f>TEXT(CleanedTable[[#This Row],[OrderDate]],"mmm yyyy")</f>
        <v>Apr 2025</v>
      </c>
      <c r="E289" t="s">
        <v>23</v>
      </c>
      <c r="F289" t="s">
        <v>30</v>
      </c>
      <c r="G289" s="12">
        <v>16</v>
      </c>
      <c r="H289" s="8">
        <v>329.54</v>
      </c>
      <c r="I289" t="s">
        <v>32</v>
      </c>
      <c r="J289" t="s">
        <v>35</v>
      </c>
      <c r="K289" s="10">
        <v>0.15</v>
      </c>
      <c r="L289" t="s">
        <v>42</v>
      </c>
      <c r="M289">
        <v>4481.7440000000006</v>
      </c>
      <c r="N289">
        <v>3163.5840000000003</v>
      </c>
      <c r="O289" s="10">
        <v>1278.7700000000002</v>
      </c>
      <c r="P289" s="10">
        <v>0.28532865777250999</v>
      </c>
      <c r="Q289" s="8">
        <v>4481.7440000000006</v>
      </c>
      <c r="R289" t="s">
        <v>46</v>
      </c>
      <c r="S289" t="s">
        <v>48</v>
      </c>
      <c r="T289" t="s">
        <v>2931</v>
      </c>
      <c r="U289">
        <v>1</v>
      </c>
      <c r="V289" t="str">
        <f>IF(CleanedTable[[#This Row],[Returned]] = 0,"NO","Yes")</f>
        <v>Yes</v>
      </c>
      <c r="W289" t="s">
        <v>338</v>
      </c>
      <c r="X289" t="s">
        <v>1832</v>
      </c>
      <c r="Y289" s="10">
        <v>39.39</v>
      </c>
      <c r="Z289" s="3">
        <v>45774</v>
      </c>
      <c r="AA289" s="3">
        <v>45780</v>
      </c>
      <c r="AB289" t="s">
        <v>2926</v>
      </c>
      <c r="AC289">
        <v>6</v>
      </c>
    </row>
    <row r="290" spans="1:29" x14ac:dyDescent="0.3">
      <c r="A290" s="3">
        <v>45555</v>
      </c>
      <c r="B290" s="3" t="str">
        <f>TEXT(CleanedTable[[#This Row],[OrderDate]],"mmm")</f>
        <v>Sep</v>
      </c>
      <c r="C290" s="3" t="str">
        <f>TEXT(CleanedTable[[#This Row],[OrderDate]],"yyyy")</f>
        <v>2024</v>
      </c>
      <c r="D290" s="3" t="str">
        <f>TEXT(CleanedTable[[#This Row],[OrderDate]],"mmm yyyy")</f>
        <v>Sep 2024</v>
      </c>
      <c r="E290" t="s">
        <v>20</v>
      </c>
      <c r="F290" t="s">
        <v>25</v>
      </c>
      <c r="G290" s="12">
        <v>6</v>
      </c>
      <c r="H290" s="8">
        <v>170.1</v>
      </c>
      <c r="I290" t="s">
        <v>32</v>
      </c>
      <c r="J290" t="s">
        <v>36</v>
      </c>
      <c r="K290" s="10">
        <v>0</v>
      </c>
      <c r="L290" t="s">
        <v>37</v>
      </c>
      <c r="M290">
        <v>1020.5999999999999</v>
      </c>
      <c r="N290">
        <v>612.3599999999999</v>
      </c>
      <c r="O290" s="10">
        <v>369.63</v>
      </c>
      <c r="P290" s="10">
        <v>0.3621693121693122</v>
      </c>
      <c r="Q290" s="8">
        <v>1020.6</v>
      </c>
      <c r="R290" t="s">
        <v>44</v>
      </c>
      <c r="S290" t="s">
        <v>48</v>
      </c>
      <c r="T290" t="s">
        <v>2931</v>
      </c>
      <c r="U290">
        <v>0</v>
      </c>
      <c r="V290" t="str">
        <f>IF(CleanedTable[[#This Row],[Returned]] = 0,"NO","Yes")</f>
        <v>NO</v>
      </c>
      <c r="W290" t="s">
        <v>339</v>
      </c>
      <c r="X290" t="s">
        <v>1833</v>
      </c>
      <c r="Y290" s="10">
        <v>38.61</v>
      </c>
      <c r="Z290" s="3">
        <v>45555</v>
      </c>
      <c r="AA290" s="3">
        <v>45558</v>
      </c>
      <c r="AB290" t="s">
        <v>2923</v>
      </c>
      <c r="AC290">
        <v>3</v>
      </c>
    </row>
    <row r="291" spans="1:29" x14ac:dyDescent="0.3">
      <c r="A291" s="3">
        <v>45177</v>
      </c>
      <c r="B291" s="3" t="str">
        <f>TEXT(CleanedTable[[#This Row],[OrderDate]],"mmm")</f>
        <v>Sep</v>
      </c>
      <c r="C291" s="3" t="str">
        <f>TEXT(CleanedTable[[#This Row],[OrderDate]],"yyyy")</f>
        <v>2023</v>
      </c>
      <c r="D291" s="3" t="str">
        <f>TEXT(CleanedTable[[#This Row],[OrderDate]],"mmm yyyy")</f>
        <v>Sep 2023</v>
      </c>
      <c r="E291" t="s">
        <v>23</v>
      </c>
      <c r="F291" t="s">
        <v>24</v>
      </c>
      <c r="G291" s="12">
        <v>19</v>
      </c>
      <c r="H291" s="8">
        <v>212.83</v>
      </c>
      <c r="I291" t="s">
        <v>34</v>
      </c>
      <c r="J291" t="s">
        <v>35</v>
      </c>
      <c r="K291" s="10">
        <v>0.15</v>
      </c>
      <c r="L291" t="s">
        <v>40</v>
      </c>
      <c r="M291">
        <v>3437.2045000000003</v>
      </c>
      <c r="N291">
        <v>2426.2620000000002</v>
      </c>
      <c r="O291" s="10">
        <v>968.06250000000011</v>
      </c>
      <c r="P291" s="10">
        <v>0.28164239282242298</v>
      </c>
      <c r="Q291" s="8">
        <v>3437.2044999999998</v>
      </c>
      <c r="R291" t="s">
        <v>43</v>
      </c>
      <c r="S291" t="s">
        <v>50</v>
      </c>
      <c r="T291" t="s">
        <v>2931</v>
      </c>
      <c r="U291">
        <v>0</v>
      </c>
      <c r="V291" t="str">
        <f>IF(CleanedTable[[#This Row],[Returned]] = 0,"NO","Yes")</f>
        <v>NO</v>
      </c>
      <c r="W291" t="s">
        <v>340</v>
      </c>
      <c r="X291" t="s">
        <v>1834</v>
      </c>
      <c r="Y291" s="10">
        <v>42.88</v>
      </c>
      <c r="Z291" s="3">
        <v>45177</v>
      </c>
      <c r="AA291" s="3">
        <v>45184</v>
      </c>
      <c r="AB291" t="s">
        <v>2926</v>
      </c>
      <c r="AC291">
        <v>7</v>
      </c>
    </row>
    <row r="292" spans="1:29" x14ac:dyDescent="0.3">
      <c r="A292" s="3">
        <v>45767</v>
      </c>
      <c r="B292" s="3" t="str">
        <f>TEXT(CleanedTable[[#This Row],[OrderDate]],"mmm")</f>
        <v>Apr</v>
      </c>
      <c r="C292" s="3" t="str">
        <f>TEXT(CleanedTable[[#This Row],[OrderDate]],"yyyy")</f>
        <v>2025</v>
      </c>
      <c r="D292" s="3" t="str">
        <f>TEXT(CleanedTable[[#This Row],[OrderDate]],"mmm yyyy")</f>
        <v>Apr 2025</v>
      </c>
      <c r="E292" t="s">
        <v>20</v>
      </c>
      <c r="F292" t="s">
        <v>24</v>
      </c>
      <c r="G292" s="12">
        <v>5</v>
      </c>
      <c r="H292" s="8">
        <v>578.91999999999996</v>
      </c>
      <c r="I292" t="s">
        <v>32</v>
      </c>
      <c r="J292" t="s">
        <v>35</v>
      </c>
      <c r="K292" s="10">
        <v>0</v>
      </c>
      <c r="L292" t="s">
        <v>42</v>
      </c>
      <c r="M292">
        <v>2894.6</v>
      </c>
      <c r="N292">
        <v>1736.7599999999998</v>
      </c>
      <c r="O292" s="10">
        <v>1113.7500000000002</v>
      </c>
      <c r="P292" s="10">
        <v>0.38476818904166388</v>
      </c>
      <c r="Q292" s="8">
        <v>2894.6</v>
      </c>
      <c r="R292" t="s">
        <v>45</v>
      </c>
      <c r="T292" t="s">
        <v>2932</v>
      </c>
      <c r="U292">
        <v>1</v>
      </c>
      <c r="V292" t="str">
        <f>IF(CleanedTable[[#This Row],[Returned]] = 0,"NO","Yes")</f>
        <v>Yes</v>
      </c>
      <c r="W292" t="s">
        <v>341</v>
      </c>
      <c r="X292" t="s">
        <v>1835</v>
      </c>
      <c r="Y292" s="10">
        <v>44.09</v>
      </c>
      <c r="Z292" s="3">
        <v>45767</v>
      </c>
      <c r="AA292" s="3">
        <v>45775</v>
      </c>
      <c r="AB292" t="s">
        <v>2923</v>
      </c>
      <c r="AC292">
        <v>8</v>
      </c>
    </row>
    <row r="293" spans="1:29" x14ac:dyDescent="0.3">
      <c r="A293" s="3">
        <v>45463</v>
      </c>
      <c r="B293" s="3" t="str">
        <f>TEXT(CleanedTable[[#This Row],[OrderDate]],"mmm")</f>
        <v>Jun</v>
      </c>
      <c r="C293" s="3" t="str">
        <f>TEXT(CleanedTable[[#This Row],[OrderDate]],"yyyy")</f>
        <v>2024</v>
      </c>
      <c r="D293" s="3" t="str">
        <f>TEXT(CleanedTable[[#This Row],[OrderDate]],"mmm yyyy")</f>
        <v>Jun 2024</v>
      </c>
      <c r="E293" t="s">
        <v>21</v>
      </c>
      <c r="F293" t="s">
        <v>25</v>
      </c>
      <c r="G293" s="12">
        <v>3</v>
      </c>
      <c r="H293" s="8">
        <v>456.92</v>
      </c>
      <c r="I293" t="s">
        <v>33</v>
      </c>
      <c r="J293" t="s">
        <v>36</v>
      </c>
      <c r="K293" s="10">
        <v>0.1</v>
      </c>
      <c r="L293" t="s">
        <v>39</v>
      </c>
      <c r="M293">
        <v>1233.684</v>
      </c>
      <c r="N293">
        <v>822.4559999999999</v>
      </c>
      <c r="O293" s="10">
        <v>393.65800000000007</v>
      </c>
      <c r="P293" s="10">
        <v>0.31909143670502338</v>
      </c>
      <c r="Q293" s="8">
        <v>1233.684</v>
      </c>
      <c r="R293" t="s">
        <v>44</v>
      </c>
      <c r="S293" t="s">
        <v>48</v>
      </c>
      <c r="T293" t="s">
        <v>2931</v>
      </c>
      <c r="U293">
        <v>0</v>
      </c>
      <c r="V293" t="str">
        <f>IF(CleanedTable[[#This Row],[Returned]] = 0,"NO","Yes")</f>
        <v>NO</v>
      </c>
      <c r="W293" t="s">
        <v>342</v>
      </c>
      <c r="X293" t="s">
        <v>1836</v>
      </c>
      <c r="Y293" s="10">
        <v>17.57</v>
      </c>
      <c r="Z293" s="3">
        <v>45463</v>
      </c>
      <c r="AA293" s="3">
        <v>45470</v>
      </c>
      <c r="AB293" t="s">
        <v>2924</v>
      </c>
      <c r="AC293">
        <v>7</v>
      </c>
    </row>
    <row r="294" spans="1:29" x14ac:dyDescent="0.3">
      <c r="A294" s="3">
        <v>44937</v>
      </c>
      <c r="B294" s="3" t="str">
        <f>TEXT(CleanedTable[[#This Row],[OrderDate]],"mmm")</f>
        <v>Jan</v>
      </c>
      <c r="C294" s="3" t="str">
        <f>TEXT(CleanedTable[[#This Row],[OrderDate]],"yyyy")</f>
        <v>2023</v>
      </c>
      <c r="D294" s="3" t="str">
        <f>TEXT(CleanedTable[[#This Row],[OrderDate]],"mmm yyyy")</f>
        <v>Jan 2023</v>
      </c>
      <c r="E294" t="s">
        <v>19</v>
      </c>
      <c r="F294" t="s">
        <v>29</v>
      </c>
      <c r="G294" s="12">
        <v>12</v>
      </c>
      <c r="H294" s="8">
        <v>521.53</v>
      </c>
      <c r="I294" t="s">
        <v>34</v>
      </c>
      <c r="J294" t="s">
        <v>36</v>
      </c>
      <c r="K294" s="10">
        <v>0</v>
      </c>
      <c r="L294" t="s">
        <v>37</v>
      </c>
      <c r="M294">
        <v>6258.36</v>
      </c>
      <c r="N294">
        <v>3755.0159999999996</v>
      </c>
      <c r="O294" s="10">
        <v>2453.7539999999999</v>
      </c>
      <c r="P294" s="10">
        <v>0.39207619887638295</v>
      </c>
      <c r="Q294" s="8">
        <v>6258.36</v>
      </c>
      <c r="R294" t="s">
        <v>45</v>
      </c>
      <c r="S294" t="s">
        <v>49</v>
      </c>
      <c r="T294" t="s">
        <v>2931</v>
      </c>
      <c r="U294">
        <v>1</v>
      </c>
      <c r="V294" t="str">
        <f>IF(CleanedTable[[#This Row],[Returned]] = 0,"NO","Yes")</f>
        <v>Yes</v>
      </c>
      <c r="W294" t="s">
        <v>343</v>
      </c>
      <c r="X294" t="s">
        <v>1837</v>
      </c>
      <c r="Y294" s="10">
        <v>49.59</v>
      </c>
      <c r="Z294" s="3">
        <v>44937</v>
      </c>
      <c r="AA294" s="3">
        <v>44946</v>
      </c>
      <c r="AB294" t="s">
        <v>2922</v>
      </c>
      <c r="AC294">
        <v>9</v>
      </c>
    </row>
    <row r="295" spans="1:29" x14ac:dyDescent="0.3">
      <c r="A295" s="3">
        <v>45111</v>
      </c>
      <c r="B295" s="3" t="str">
        <f>TEXT(CleanedTable[[#This Row],[OrderDate]],"mmm")</f>
        <v>Jul</v>
      </c>
      <c r="C295" s="3" t="str">
        <f>TEXT(CleanedTable[[#This Row],[OrderDate]],"yyyy")</f>
        <v>2023</v>
      </c>
      <c r="D295" s="3" t="str">
        <f>TEXT(CleanedTable[[#This Row],[OrderDate]],"mmm yyyy")</f>
        <v>Jul 2023</v>
      </c>
      <c r="E295" t="s">
        <v>21</v>
      </c>
      <c r="F295" t="s">
        <v>26</v>
      </c>
      <c r="G295" s="12">
        <v>17</v>
      </c>
      <c r="H295" s="8">
        <v>468.19</v>
      </c>
      <c r="I295" t="s">
        <v>34</v>
      </c>
      <c r="J295" t="s">
        <v>36</v>
      </c>
      <c r="K295" s="10">
        <v>0.05</v>
      </c>
      <c r="L295" t="s">
        <v>41</v>
      </c>
      <c r="M295">
        <v>7561.2684999999992</v>
      </c>
      <c r="N295">
        <v>4775.5379999999996</v>
      </c>
      <c r="O295" s="10">
        <v>2771.8904999999995</v>
      </c>
      <c r="P295" s="10">
        <v>0.36659067192231037</v>
      </c>
      <c r="Q295" s="8">
        <v>7561.2684999999992</v>
      </c>
      <c r="R295" t="s">
        <v>47</v>
      </c>
      <c r="T295" t="s">
        <v>2932</v>
      </c>
      <c r="U295">
        <v>0</v>
      </c>
      <c r="V295" t="str">
        <f>IF(CleanedTable[[#This Row],[Returned]] = 0,"NO","Yes")</f>
        <v>NO</v>
      </c>
      <c r="W295" t="s">
        <v>344</v>
      </c>
      <c r="X295" t="s">
        <v>1838</v>
      </c>
      <c r="Y295" s="10">
        <v>13.84</v>
      </c>
      <c r="Z295" s="3">
        <v>45111</v>
      </c>
      <c r="AA295" s="3">
        <v>45114</v>
      </c>
      <c r="AB295" t="s">
        <v>2924</v>
      </c>
      <c r="AC295">
        <v>3</v>
      </c>
    </row>
    <row r="296" spans="1:29" x14ac:dyDescent="0.3">
      <c r="A296" s="3">
        <v>45724</v>
      </c>
      <c r="B296" s="3" t="str">
        <f>TEXT(CleanedTable[[#This Row],[OrderDate]],"mmm")</f>
        <v>Mar</v>
      </c>
      <c r="C296" s="3" t="str">
        <f>TEXT(CleanedTable[[#This Row],[OrderDate]],"yyyy")</f>
        <v>2025</v>
      </c>
      <c r="D296" s="3" t="str">
        <f>TEXT(CleanedTable[[#This Row],[OrderDate]],"mmm yyyy")</f>
        <v>Mar 2025</v>
      </c>
      <c r="E296" t="s">
        <v>22</v>
      </c>
      <c r="F296" t="s">
        <v>28</v>
      </c>
      <c r="G296" s="12">
        <v>9</v>
      </c>
      <c r="H296" s="8">
        <v>8.81</v>
      </c>
      <c r="I296" t="s">
        <v>34</v>
      </c>
      <c r="J296" t="s">
        <v>36</v>
      </c>
      <c r="K296" s="10">
        <v>0.15</v>
      </c>
      <c r="L296" t="s">
        <v>38</v>
      </c>
      <c r="M296">
        <v>67.396500000000003</v>
      </c>
      <c r="N296">
        <v>47.574000000000005</v>
      </c>
      <c r="O296" s="10">
        <v>-22.877500000000005</v>
      </c>
      <c r="P296" s="10">
        <v>-0.33944641042190626</v>
      </c>
      <c r="Q296" s="8">
        <v>67.396500000000003</v>
      </c>
      <c r="R296" t="s">
        <v>43</v>
      </c>
      <c r="S296" t="s">
        <v>49</v>
      </c>
      <c r="T296" t="s">
        <v>2931</v>
      </c>
      <c r="U296">
        <v>0</v>
      </c>
      <c r="V296" t="str">
        <f>IF(CleanedTable[[#This Row],[Returned]] = 0,"NO","Yes")</f>
        <v>NO</v>
      </c>
      <c r="W296" t="s">
        <v>345</v>
      </c>
      <c r="X296" t="s">
        <v>1839</v>
      </c>
      <c r="Y296" s="10">
        <v>42.7</v>
      </c>
      <c r="Z296" s="3">
        <v>45724</v>
      </c>
      <c r="AA296" s="3">
        <v>45734</v>
      </c>
      <c r="AB296" t="s">
        <v>2925</v>
      </c>
      <c r="AC296">
        <v>10</v>
      </c>
    </row>
    <row r="297" spans="1:29" x14ac:dyDescent="0.3">
      <c r="A297" s="3">
        <v>45698</v>
      </c>
      <c r="B297" s="3" t="str">
        <f>TEXT(CleanedTable[[#This Row],[OrderDate]],"mmm")</f>
        <v>Feb</v>
      </c>
      <c r="C297" s="3" t="str">
        <f>TEXT(CleanedTable[[#This Row],[OrderDate]],"yyyy")</f>
        <v>2025</v>
      </c>
      <c r="D297" s="3" t="str">
        <f>TEXT(CleanedTable[[#This Row],[OrderDate]],"mmm yyyy")</f>
        <v>Feb 2025</v>
      </c>
      <c r="E297" t="s">
        <v>20</v>
      </c>
      <c r="F297" t="s">
        <v>27</v>
      </c>
      <c r="G297" s="12">
        <v>6</v>
      </c>
      <c r="H297" s="8">
        <v>521.1</v>
      </c>
      <c r="I297" t="s">
        <v>32</v>
      </c>
      <c r="J297" t="s">
        <v>35</v>
      </c>
      <c r="K297" s="10">
        <v>0.15</v>
      </c>
      <c r="L297" t="s">
        <v>39</v>
      </c>
      <c r="M297">
        <v>2657.61</v>
      </c>
      <c r="N297">
        <v>1875.96</v>
      </c>
      <c r="O297" s="10">
        <v>750.5100000000001</v>
      </c>
      <c r="P297" s="10">
        <v>0.28240035219614618</v>
      </c>
      <c r="Q297" s="8">
        <v>2657.61</v>
      </c>
      <c r="R297" t="s">
        <v>47</v>
      </c>
      <c r="T297" t="s">
        <v>2932</v>
      </c>
      <c r="U297">
        <v>0</v>
      </c>
      <c r="V297" t="str">
        <f>IF(CleanedTable[[#This Row],[Returned]] = 0,"NO","Yes")</f>
        <v>NO</v>
      </c>
      <c r="W297" t="s">
        <v>346</v>
      </c>
      <c r="X297" t="s">
        <v>1840</v>
      </c>
      <c r="Y297" s="10">
        <v>31.14</v>
      </c>
      <c r="Z297" s="3">
        <v>45698</v>
      </c>
      <c r="AA297" s="3">
        <v>45700</v>
      </c>
      <c r="AB297" t="s">
        <v>2923</v>
      </c>
      <c r="AC297">
        <v>2</v>
      </c>
    </row>
    <row r="298" spans="1:29" x14ac:dyDescent="0.3">
      <c r="A298" s="3">
        <v>45733</v>
      </c>
      <c r="B298" s="3" t="str">
        <f>TEXT(CleanedTable[[#This Row],[OrderDate]],"mmm")</f>
        <v>Mar</v>
      </c>
      <c r="C298" s="3" t="str">
        <f>TEXT(CleanedTable[[#This Row],[OrderDate]],"yyyy")</f>
        <v>2025</v>
      </c>
      <c r="D298" s="3" t="str">
        <f>TEXT(CleanedTable[[#This Row],[OrderDate]],"mmm yyyy")</f>
        <v>Mar 2025</v>
      </c>
      <c r="E298" t="s">
        <v>23</v>
      </c>
      <c r="F298" t="s">
        <v>28</v>
      </c>
      <c r="G298" s="12">
        <v>10</v>
      </c>
      <c r="H298" s="8">
        <v>289.91000000000003</v>
      </c>
      <c r="I298" t="s">
        <v>33</v>
      </c>
      <c r="J298" t="s">
        <v>36</v>
      </c>
      <c r="K298" s="10">
        <v>0.1</v>
      </c>
      <c r="L298" t="s">
        <v>41</v>
      </c>
      <c r="M298">
        <v>2609.1900000000005</v>
      </c>
      <c r="N298">
        <v>1739.46</v>
      </c>
      <c r="O298" s="10">
        <v>836.77000000000044</v>
      </c>
      <c r="P298" s="10">
        <v>0.32070106048237201</v>
      </c>
      <c r="Q298" s="8">
        <v>2609.190000000001</v>
      </c>
      <c r="R298" t="s">
        <v>47</v>
      </c>
      <c r="S298" t="s">
        <v>49</v>
      </c>
      <c r="T298" t="s">
        <v>2931</v>
      </c>
      <c r="U298">
        <v>0</v>
      </c>
      <c r="V298" t="str">
        <f>IF(CleanedTable[[#This Row],[Returned]] = 0,"NO","Yes")</f>
        <v>NO</v>
      </c>
      <c r="W298" t="s">
        <v>347</v>
      </c>
      <c r="X298" t="s">
        <v>1841</v>
      </c>
      <c r="Y298" s="10">
        <v>32.96</v>
      </c>
      <c r="Z298" s="3">
        <v>45733</v>
      </c>
      <c r="AA298" s="3">
        <v>45737</v>
      </c>
      <c r="AB298" t="s">
        <v>2926</v>
      </c>
      <c r="AC298">
        <v>4</v>
      </c>
    </row>
    <row r="299" spans="1:29" x14ac:dyDescent="0.3">
      <c r="A299" s="3">
        <v>45239</v>
      </c>
      <c r="B299" s="3" t="str">
        <f>TEXT(CleanedTable[[#This Row],[OrderDate]],"mmm")</f>
        <v>Nov</v>
      </c>
      <c r="C299" s="3" t="str">
        <f>TEXT(CleanedTable[[#This Row],[OrderDate]],"yyyy")</f>
        <v>2023</v>
      </c>
      <c r="D299" s="3" t="str">
        <f>TEXT(CleanedTable[[#This Row],[OrderDate]],"mmm yyyy")</f>
        <v>Nov 2023</v>
      </c>
      <c r="E299" t="s">
        <v>19</v>
      </c>
      <c r="F299" t="s">
        <v>30</v>
      </c>
      <c r="G299" s="12">
        <v>3</v>
      </c>
      <c r="H299" s="8">
        <v>142.27000000000001</v>
      </c>
      <c r="I299" t="s">
        <v>34</v>
      </c>
      <c r="J299" t="s">
        <v>36</v>
      </c>
      <c r="K299" s="10">
        <v>0.05</v>
      </c>
      <c r="L299" t="s">
        <v>42</v>
      </c>
      <c r="M299">
        <v>405.46950000000004</v>
      </c>
      <c r="N299">
        <v>256.08600000000001</v>
      </c>
      <c r="O299" s="10">
        <v>116.58350000000003</v>
      </c>
      <c r="P299" s="10">
        <v>0.28752717528692051</v>
      </c>
      <c r="Q299" s="8">
        <v>405.46949999999998</v>
      </c>
      <c r="R299" t="s">
        <v>43</v>
      </c>
      <c r="S299" t="s">
        <v>49</v>
      </c>
      <c r="T299" t="s">
        <v>2931</v>
      </c>
      <c r="U299">
        <v>0</v>
      </c>
      <c r="V299" t="str">
        <f>IF(CleanedTable[[#This Row],[Returned]] = 0,"NO","Yes")</f>
        <v>NO</v>
      </c>
      <c r="W299" t="s">
        <v>348</v>
      </c>
      <c r="X299" t="s">
        <v>1842</v>
      </c>
      <c r="Y299" s="10">
        <v>32.799999999999997</v>
      </c>
      <c r="Z299" s="3">
        <v>45239</v>
      </c>
      <c r="AA299" s="3">
        <v>45245</v>
      </c>
      <c r="AB299" t="s">
        <v>2922</v>
      </c>
      <c r="AC299">
        <v>6</v>
      </c>
    </row>
    <row r="300" spans="1:29" x14ac:dyDescent="0.3">
      <c r="A300" s="3">
        <v>45260</v>
      </c>
      <c r="B300" s="3" t="str">
        <f>TEXT(CleanedTable[[#This Row],[OrderDate]],"mmm")</f>
        <v>Nov</v>
      </c>
      <c r="C300" s="3" t="str">
        <f>TEXT(CleanedTable[[#This Row],[OrderDate]],"yyyy")</f>
        <v>2023</v>
      </c>
      <c r="D300" s="3" t="str">
        <f>TEXT(CleanedTable[[#This Row],[OrderDate]],"mmm yyyy")</f>
        <v>Nov 2023</v>
      </c>
      <c r="E300" t="s">
        <v>22</v>
      </c>
      <c r="F300" t="s">
        <v>30</v>
      </c>
      <c r="G300" s="12">
        <v>15</v>
      </c>
      <c r="H300" s="8">
        <v>354.09</v>
      </c>
      <c r="I300" t="s">
        <v>31</v>
      </c>
      <c r="J300" t="s">
        <v>36</v>
      </c>
      <c r="K300" s="10">
        <v>0.05</v>
      </c>
      <c r="L300" t="s">
        <v>40</v>
      </c>
      <c r="M300">
        <v>5045.7824999999993</v>
      </c>
      <c r="N300">
        <v>3186.8099999999995</v>
      </c>
      <c r="O300" s="10">
        <v>1833.6724999999999</v>
      </c>
      <c r="P300" s="10">
        <v>0.36340696413291695</v>
      </c>
      <c r="Q300" s="8">
        <v>5045.7824999999993</v>
      </c>
      <c r="R300" t="s">
        <v>43</v>
      </c>
      <c r="T300" t="s">
        <v>2932</v>
      </c>
      <c r="U300">
        <v>1</v>
      </c>
      <c r="V300" t="str">
        <f>IF(CleanedTable[[#This Row],[Returned]] = 0,"NO","Yes")</f>
        <v>Yes</v>
      </c>
      <c r="W300" t="s">
        <v>349</v>
      </c>
      <c r="X300" t="s">
        <v>1843</v>
      </c>
      <c r="Y300" s="10">
        <v>25.3</v>
      </c>
      <c r="Z300" s="3">
        <v>45260</v>
      </c>
      <c r="AA300" s="3">
        <v>45268</v>
      </c>
      <c r="AB300" t="s">
        <v>2925</v>
      </c>
      <c r="AC300">
        <v>8</v>
      </c>
    </row>
    <row r="301" spans="1:29" x14ac:dyDescent="0.3">
      <c r="A301" s="3">
        <v>45519</v>
      </c>
      <c r="B301" s="3" t="str">
        <f>TEXT(CleanedTable[[#This Row],[OrderDate]],"mmm")</f>
        <v>Aug</v>
      </c>
      <c r="C301" s="3" t="str">
        <f>TEXT(CleanedTable[[#This Row],[OrderDate]],"yyyy")</f>
        <v>2024</v>
      </c>
      <c r="D301" s="3" t="str">
        <f>TEXT(CleanedTable[[#This Row],[OrderDate]],"mmm yyyy")</f>
        <v>Aug 2024</v>
      </c>
      <c r="E301" t="s">
        <v>20</v>
      </c>
      <c r="F301" t="s">
        <v>29</v>
      </c>
      <c r="G301" s="12">
        <v>20</v>
      </c>
      <c r="H301" s="8">
        <v>358.57</v>
      </c>
      <c r="I301" t="s">
        <v>31</v>
      </c>
      <c r="J301" t="s">
        <v>35</v>
      </c>
      <c r="K301" s="10">
        <v>0</v>
      </c>
      <c r="L301" t="s">
        <v>38</v>
      </c>
      <c r="M301">
        <v>7171.4</v>
      </c>
      <c r="N301">
        <v>4302.84</v>
      </c>
      <c r="O301" s="10">
        <v>2847.4499999999994</v>
      </c>
      <c r="P301" s="10">
        <v>0.39705636277435363</v>
      </c>
      <c r="Q301" s="8">
        <v>7171.4</v>
      </c>
      <c r="R301" t="s">
        <v>46</v>
      </c>
      <c r="S301" t="s">
        <v>48</v>
      </c>
      <c r="T301" t="s">
        <v>2931</v>
      </c>
      <c r="U301">
        <v>1</v>
      </c>
      <c r="V301" t="str">
        <f>IF(CleanedTable[[#This Row],[Returned]] = 0,"NO","Yes")</f>
        <v>Yes</v>
      </c>
      <c r="W301" t="s">
        <v>350</v>
      </c>
      <c r="X301" t="s">
        <v>1844</v>
      </c>
      <c r="Y301" s="10">
        <v>21.11</v>
      </c>
      <c r="Z301" s="3">
        <v>45519</v>
      </c>
      <c r="AA301" s="3">
        <v>45524</v>
      </c>
      <c r="AB301" t="s">
        <v>2923</v>
      </c>
      <c r="AC301">
        <v>5</v>
      </c>
    </row>
    <row r="302" spans="1:29" x14ac:dyDescent="0.3">
      <c r="A302" s="3">
        <v>45006</v>
      </c>
      <c r="B302" s="3" t="str">
        <f>TEXT(CleanedTable[[#This Row],[OrderDate]],"mmm")</f>
        <v>Mar</v>
      </c>
      <c r="C302" s="3" t="str">
        <f>TEXT(CleanedTable[[#This Row],[OrderDate]],"yyyy")</f>
        <v>2023</v>
      </c>
      <c r="D302" s="3" t="str">
        <f>TEXT(CleanedTable[[#This Row],[OrderDate]],"mmm yyyy")</f>
        <v>Mar 2023</v>
      </c>
      <c r="E302" t="s">
        <v>23</v>
      </c>
      <c r="F302" t="s">
        <v>29</v>
      </c>
      <c r="G302" s="12">
        <v>16</v>
      </c>
      <c r="H302" s="8">
        <v>33.18</v>
      </c>
      <c r="I302" t="s">
        <v>33</v>
      </c>
      <c r="J302" t="s">
        <v>36</v>
      </c>
      <c r="K302" s="10">
        <v>0.05</v>
      </c>
      <c r="L302" t="s">
        <v>37</v>
      </c>
      <c r="M302">
        <v>504.33599999999996</v>
      </c>
      <c r="N302">
        <v>318.52799999999996</v>
      </c>
      <c r="O302" s="10">
        <v>162.86799999999999</v>
      </c>
      <c r="P302" s="10">
        <v>0.32293550331525017</v>
      </c>
      <c r="Q302" s="8">
        <v>504.33600000000001</v>
      </c>
      <c r="R302" t="s">
        <v>43</v>
      </c>
      <c r="S302" t="s">
        <v>49</v>
      </c>
      <c r="T302" t="s">
        <v>2931</v>
      </c>
      <c r="U302">
        <v>0</v>
      </c>
      <c r="V302" t="str">
        <f>IF(CleanedTable[[#This Row],[Returned]] = 0,"NO","Yes")</f>
        <v>NO</v>
      </c>
      <c r="W302" t="s">
        <v>351</v>
      </c>
      <c r="X302" t="s">
        <v>1845</v>
      </c>
      <c r="Y302" s="10">
        <v>22.94</v>
      </c>
      <c r="Z302" s="3">
        <v>45006</v>
      </c>
      <c r="AA302" s="3">
        <v>45011</v>
      </c>
      <c r="AB302" t="s">
        <v>2926</v>
      </c>
      <c r="AC302">
        <v>5</v>
      </c>
    </row>
    <row r="303" spans="1:29" x14ac:dyDescent="0.3">
      <c r="A303" s="3">
        <v>45225</v>
      </c>
      <c r="B303" s="3" t="str">
        <f>TEXT(CleanedTable[[#This Row],[OrderDate]],"mmm")</f>
        <v>Oct</v>
      </c>
      <c r="C303" s="3" t="str">
        <f>TEXT(CleanedTable[[#This Row],[OrderDate]],"yyyy")</f>
        <v>2023</v>
      </c>
      <c r="D303" s="3" t="str">
        <f>TEXT(CleanedTable[[#This Row],[OrderDate]],"mmm yyyy")</f>
        <v>Oct 2023</v>
      </c>
      <c r="E303" t="s">
        <v>23</v>
      </c>
      <c r="F303" t="s">
        <v>28</v>
      </c>
      <c r="G303" s="12">
        <v>2</v>
      </c>
      <c r="H303" s="8">
        <v>124.4</v>
      </c>
      <c r="I303" t="s">
        <v>31</v>
      </c>
      <c r="J303" t="s">
        <v>36</v>
      </c>
      <c r="K303" s="10">
        <v>0</v>
      </c>
      <c r="L303" t="s">
        <v>37</v>
      </c>
      <c r="M303">
        <v>248.8</v>
      </c>
      <c r="N303">
        <v>149.28</v>
      </c>
      <c r="O303" s="10">
        <v>62.470000000000013</v>
      </c>
      <c r="P303" s="10">
        <v>0.25108520900321546</v>
      </c>
      <c r="Q303" s="8">
        <v>248.8</v>
      </c>
      <c r="R303" t="s">
        <v>43</v>
      </c>
      <c r="T303" t="s">
        <v>2932</v>
      </c>
      <c r="U303">
        <v>0</v>
      </c>
      <c r="V303" t="str">
        <f>IF(CleanedTable[[#This Row],[Returned]] = 0,"NO","Yes")</f>
        <v>NO</v>
      </c>
      <c r="W303" t="s">
        <v>352</v>
      </c>
      <c r="X303" t="s">
        <v>1846</v>
      </c>
      <c r="Y303" s="10">
        <v>37.049999999999997</v>
      </c>
      <c r="Z303" s="3">
        <v>45225</v>
      </c>
      <c r="AA303" s="3">
        <v>45230</v>
      </c>
      <c r="AB303" t="s">
        <v>2926</v>
      </c>
      <c r="AC303">
        <v>5</v>
      </c>
    </row>
    <row r="304" spans="1:29" x14ac:dyDescent="0.3">
      <c r="A304" s="3">
        <v>45233</v>
      </c>
      <c r="B304" s="3" t="str">
        <f>TEXT(CleanedTable[[#This Row],[OrderDate]],"mmm")</f>
        <v>Nov</v>
      </c>
      <c r="C304" s="3" t="str">
        <f>TEXT(CleanedTable[[#This Row],[OrderDate]],"yyyy")</f>
        <v>2023</v>
      </c>
      <c r="D304" s="3" t="str">
        <f>TEXT(CleanedTable[[#This Row],[OrderDate]],"mmm yyyy")</f>
        <v>Nov 2023</v>
      </c>
      <c r="E304" t="s">
        <v>23</v>
      </c>
      <c r="F304" t="s">
        <v>25</v>
      </c>
      <c r="G304" s="12">
        <v>12</v>
      </c>
      <c r="H304" s="8">
        <v>17.760000000000002</v>
      </c>
      <c r="I304" t="s">
        <v>34</v>
      </c>
      <c r="J304" t="s">
        <v>36</v>
      </c>
      <c r="K304" s="10">
        <v>0.1</v>
      </c>
      <c r="L304" t="s">
        <v>40</v>
      </c>
      <c r="M304">
        <v>191.80800000000002</v>
      </c>
      <c r="N304">
        <v>127.87200000000001</v>
      </c>
      <c r="O304" s="10">
        <v>51.756000000000007</v>
      </c>
      <c r="P304" s="10">
        <v>0.26983233233233234</v>
      </c>
      <c r="Q304" s="8">
        <v>191.80799999999999</v>
      </c>
      <c r="R304" t="s">
        <v>43</v>
      </c>
      <c r="S304" t="s">
        <v>48</v>
      </c>
      <c r="T304" t="s">
        <v>2931</v>
      </c>
      <c r="U304">
        <v>0</v>
      </c>
      <c r="V304" t="str">
        <f>IF(CleanedTable[[#This Row],[Returned]] = 0,"NO","Yes")</f>
        <v>NO</v>
      </c>
      <c r="W304" t="s">
        <v>353</v>
      </c>
      <c r="X304" t="s">
        <v>1847</v>
      </c>
      <c r="Y304" s="10">
        <v>12.18</v>
      </c>
      <c r="Z304" s="3">
        <v>45233</v>
      </c>
      <c r="AA304" s="3">
        <v>45241</v>
      </c>
      <c r="AB304" t="s">
        <v>2926</v>
      </c>
      <c r="AC304">
        <v>8</v>
      </c>
    </row>
    <row r="305" spans="1:29" x14ac:dyDescent="0.3">
      <c r="A305" s="3">
        <v>45687</v>
      </c>
      <c r="B305" s="3" t="str">
        <f>TEXT(CleanedTable[[#This Row],[OrderDate]],"mmm")</f>
        <v>Jan</v>
      </c>
      <c r="C305" s="3" t="str">
        <f>TEXT(CleanedTable[[#This Row],[OrderDate]],"yyyy")</f>
        <v>2025</v>
      </c>
      <c r="D305" s="3" t="str">
        <f>TEXT(CleanedTable[[#This Row],[OrderDate]],"mmm yyyy")</f>
        <v>Jan 2025</v>
      </c>
      <c r="E305" t="s">
        <v>21</v>
      </c>
      <c r="F305" t="s">
        <v>27</v>
      </c>
      <c r="G305" s="12">
        <v>16</v>
      </c>
      <c r="H305" s="8">
        <v>345.53</v>
      </c>
      <c r="I305" t="s">
        <v>33</v>
      </c>
      <c r="J305" t="s">
        <v>36</v>
      </c>
      <c r="K305" s="10">
        <v>0.15</v>
      </c>
      <c r="L305" t="s">
        <v>39</v>
      </c>
      <c r="M305">
        <v>4699.2079999999996</v>
      </c>
      <c r="N305">
        <v>3317.0879999999997</v>
      </c>
      <c r="O305" s="10">
        <v>1368.6899999999998</v>
      </c>
      <c r="P305" s="10">
        <v>0.29125971865897399</v>
      </c>
      <c r="Q305" s="8">
        <v>4699.2079999999996</v>
      </c>
      <c r="R305" t="s">
        <v>44</v>
      </c>
      <c r="S305" t="s">
        <v>49</v>
      </c>
      <c r="T305" t="s">
        <v>2931</v>
      </c>
      <c r="U305">
        <v>0</v>
      </c>
      <c r="V305" t="str">
        <f>IF(CleanedTable[[#This Row],[Returned]] = 0,"NO","Yes")</f>
        <v>NO</v>
      </c>
      <c r="W305" t="s">
        <v>354</v>
      </c>
      <c r="X305" t="s">
        <v>1848</v>
      </c>
      <c r="Y305" s="10">
        <v>13.43</v>
      </c>
      <c r="Z305" s="3">
        <v>45687</v>
      </c>
      <c r="AA305" s="3">
        <v>45693</v>
      </c>
      <c r="AB305" t="s">
        <v>2924</v>
      </c>
      <c r="AC305">
        <v>6</v>
      </c>
    </row>
    <row r="306" spans="1:29" x14ac:dyDescent="0.3">
      <c r="A306" s="3">
        <v>45316</v>
      </c>
      <c r="B306" s="3" t="str">
        <f>TEXT(CleanedTable[[#This Row],[OrderDate]],"mmm")</f>
        <v>Jan</v>
      </c>
      <c r="C306" s="3" t="str">
        <f>TEXT(CleanedTable[[#This Row],[OrderDate]],"yyyy")</f>
        <v>2024</v>
      </c>
      <c r="D306" s="3" t="str">
        <f>TEXT(CleanedTable[[#This Row],[OrderDate]],"mmm yyyy")</f>
        <v>Jan 2024</v>
      </c>
      <c r="E306" t="s">
        <v>23</v>
      </c>
      <c r="F306" t="s">
        <v>24</v>
      </c>
      <c r="G306" s="12">
        <v>13</v>
      </c>
      <c r="H306" s="8">
        <v>453.48</v>
      </c>
      <c r="I306" t="s">
        <v>32</v>
      </c>
      <c r="J306" t="s">
        <v>35</v>
      </c>
      <c r="K306" s="10">
        <v>0.05</v>
      </c>
      <c r="L306" t="s">
        <v>38</v>
      </c>
      <c r="M306">
        <v>5600.4779999999992</v>
      </c>
      <c r="N306">
        <v>3537.1440000000002</v>
      </c>
      <c r="O306" s="10">
        <v>2017.053999999999</v>
      </c>
      <c r="P306" s="10">
        <v>0.36015747227290229</v>
      </c>
      <c r="Q306" s="8">
        <v>5600.4779999999992</v>
      </c>
      <c r="R306" t="s">
        <v>44</v>
      </c>
      <c r="S306" t="s">
        <v>49</v>
      </c>
      <c r="T306" t="s">
        <v>2931</v>
      </c>
      <c r="U306">
        <v>0</v>
      </c>
      <c r="V306" t="str">
        <f>IF(CleanedTable[[#This Row],[Returned]] = 0,"NO","Yes")</f>
        <v>NO</v>
      </c>
      <c r="W306" t="s">
        <v>355</v>
      </c>
      <c r="X306" t="s">
        <v>1849</v>
      </c>
      <c r="Y306" s="10">
        <v>46.28</v>
      </c>
      <c r="Z306" s="3">
        <v>45316</v>
      </c>
      <c r="AA306" s="3">
        <v>45325</v>
      </c>
      <c r="AB306" t="s">
        <v>2926</v>
      </c>
      <c r="AC306">
        <v>9</v>
      </c>
    </row>
    <row r="307" spans="1:29" x14ac:dyDescent="0.3">
      <c r="A307" s="3">
        <v>45745</v>
      </c>
      <c r="B307" s="3" t="str">
        <f>TEXT(CleanedTable[[#This Row],[OrderDate]],"mmm")</f>
        <v>Mar</v>
      </c>
      <c r="C307" s="3" t="str">
        <f>TEXT(CleanedTable[[#This Row],[OrderDate]],"yyyy")</f>
        <v>2025</v>
      </c>
      <c r="D307" s="3" t="str">
        <f>TEXT(CleanedTable[[#This Row],[OrderDate]],"mmm yyyy")</f>
        <v>Mar 2025</v>
      </c>
      <c r="E307" t="s">
        <v>20</v>
      </c>
      <c r="F307" t="s">
        <v>24</v>
      </c>
      <c r="G307" s="12">
        <v>10</v>
      </c>
      <c r="H307" s="8">
        <v>277.74</v>
      </c>
      <c r="I307" t="s">
        <v>31</v>
      </c>
      <c r="J307" t="s">
        <v>36</v>
      </c>
      <c r="K307" s="10">
        <v>0.15</v>
      </c>
      <c r="L307" t="s">
        <v>40</v>
      </c>
      <c r="M307">
        <v>2360.79</v>
      </c>
      <c r="N307">
        <v>1666.44</v>
      </c>
      <c r="O307" s="10">
        <v>659.32999999999993</v>
      </c>
      <c r="P307" s="10">
        <v>0.27928362963245351</v>
      </c>
      <c r="Q307" s="8">
        <v>2360.79</v>
      </c>
      <c r="R307" t="s">
        <v>44</v>
      </c>
      <c r="S307" t="s">
        <v>49</v>
      </c>
      <c r="T307" t="s">
        <v>2931</v>
      </c>
      <c r="U307">
        <v>1</v>
      </c>
      <c r="V307" t="str">
        <f>IF(CleanedTable[[#This Row],[Returned]] = 0,"NO","Yes")</f>
        <v>Yes</v>
      </c>
      <c r="W307" t="s">
        <v>356</v>
      </c>
      <c r="X307" t="s">
        <v>1850</v>
      </c>
      <c r="Y307" s="10">
        <v>35.020000000000003</v>
      </c>
      <c r="Z307" s="3">
        <v>45745</v>
      </c>
      <c r="AA307" s="3">
        <v>45749</v>
      </c>
      <c r="AB307" t="s">
        <v>2923</v>
      </c>
      <c r="AC307">
        <v>4</v>
      </c>
    </row>
    <row r="308" spans="1:29" x14ac:dyDescent="0.3">
      <c r="A308" s="3">
        <v>45598</v>
      </c>
      <c r="B308" s="3" t="str">
        <f>TEXT(CleanedTable[[#This Row],[OrderDate]],"mmm")</f>
        <v>Nov</v>
      </c>
      <c r="C308" s="3" t="str">
        <f>TEXT(CleanedTable[[#This Row],[OrderDate]],"yyyy")</f>
        <v>2024</v>
      </c>
      <c r="D308" s="3" t="str">
        <f>TEXT(CleanedTable[[#This Row],[OrderDate]],"mmm yyyy")</f>
        <v>Nov 2024</v>
      </c>
      <c r="E308" t="s">
        <v>22</v>
      </c>
      <c r="F308" t="s">
        <v>27</v>
      </c>
      <c r="G308" s="12">
        <v>16</v>
      </c>
      <c r="H308" s="8">
        <v>89.76</v>
      </c>
      <c r="I308" t="s">
        <v>32</v>
      </c>
      <c r="J308" t="s">
        <v>35</v>
      </c>
      <c r="K308" s="10">
        <v>0</v>
      </c>
      <c r="L308" t="s">
        <v>38</v>
      </c>
      <c r="M308">
        <v>1436.16</v>
      </c>
      <c r="N308">
        <v>861.69600000000003</v>
      </c>
      <c r="O308" s="10">
        <v>529.77400000000011</v>
      </c>
      <c r="P308" s="10">
        <v>0.36888229723707672</v>
      </c>
      <c r="Q308" s="8">
        <v>1436.16</v>
      </c>
      <c r="R308" t="s">
        <v>46</v>
      </c>
      <c r="S308" t="s">
        <v>50</v>
      </c>
      <c r="T308" t="s">
        <v>2931</v>
      </c>
      <c r="U308">
        <v>1</v>
      </c>
      <c r="V308" t="str">
        <f>IF(CleanedTable[[#This Row],[Returned]] = 0,"NO","Yes")</f>
        <v>Yes</v>
      </c>
      <c r="W308" t="s">
        <v>357</v>
      </c>
      <c r="X308" t="s">
        <v>1851</v>
      </c>
      <c r="Y308" s="10">
        <v>44.69</v>
      </c>
      <c r="Z308" s="3">
        <v>45598</v>
      </c>
      <c r="AA308" s="3">
        <v>45605</v>
      </c>
      <c r="AB308" t="s">
        <v>2925</v>
      </c>
      <c r="AC308">
        <v>7</v>
      </c>
    </row>
    <row r="309" spans="1:29" x14ac:dyDescent="0.3">
      <c r="A309" s="3">
        <v>45473</v>
      </c>
      <c r="B309" s="3" t="str">
        <f>TEXT(CleanedTable[[#This Row],[OrderDate]],"mmm")</f>
        <v>Jun</v>
      </c>
      <c r="C309" s="3" t="str">
        <f>TEXT(CleanedTable[[#This Row],[OrderDate]],"yyyy")</f>
        <v>2024</v>
      </c>
      <c r="D309" s="3" t="str">
        <f>TEXT(CleanedTable[[#This Row],[OrderDate]],"mmm yyyy")</f>
        <v>Jun 2024</v>
      </c>
      <c r="E309" t="s">
        <v>22</v>
      </c>
      <c r="F309" t="s">
        <v>27</v>
      </c>
      <c r="G309" s="12">
        <v>11</v>
      </c>
      <c r="H309" s="8">
        <v>535.37</v>
      </c>
      <c r="I309" t="s">
        <v>34</v>
      </c>
      <c r="J309" t="s">
        <v>35</v>
      </c>
      <c r="K309" s="10">
        <v>0</v>
      </c>
      <c r="L309" t="s">
        <v>39</v>
      </c>
      <c r="M309">
        <v>5889.07</v>
      </c>
      <c r="N309">
        <v>3533.442</v>
      </c>
      <c r="O309" s="10">
        <v>2319.6679999999997</v>
      </c>
      <c r="P309" s="10">
        <v>0.39389377270095277</v>
      </c>
      <c r="Q309" s="8">
        <v>5889.07</v>
      </c>
      <c r="R309" t="s">
        <v>47</v>
      </c>
      <c r="T309" t="s">
        <v>2932</v>
      </c>
      <c r="U309">
        <v>0</v>
      </c>
      <c r="V309" t="str">
        <f>IF(CleanedTable[[#This Row],[Returned]] = 0,"NO","Yes")</f>
        <v>NO</v>
      </c>
      <c r="W309" t="s">
        <v>358</v>
      </c>
      <c r="X309" t="s">
        <v>1852</v>
      </c>
      <c r="Y309" s="10">
        <v>35.96</v>
      </c>
      <c r="Z309" s="3">
        <v>45473</v>
      </c>
      <c r="AA309" s="3">
        <v>45482</v>
      </c>
      <c r="AB309" t="s">
        <v>2925</v>
      </c>
      <c r="AC309">
        <v>9</v>
      </c>
    </row>
    <row r="310" spans="1:29" x14ac:dyDescent="0.3">
      <c r="A310" s="3">
        <v>44937</v>
      </c>
      <c r="B310" s="3" t="str">
        <f>TEXT(CleanedTable[[#This Row],[OrderDate]],"mmm")</f>
        <v>Jan</v>
      </c>
      <c r="C310" s="3" t="str">
        <f>TEXT(CleanedTable[[#This Row],[OrderDate]],"yyyy")</f>
        <v>2023</v>
      </c>
      <c r="D310" s="3" t="str">
        <f>TEXT(CleanedTable[[#This Row],[OrderDate]],"mmm yyyy")</f>
        <v>Jan 2023</v>
      </c>
      <c r="E310" t="s">
        <v>20</v>
      </c>
      <c r="F310" t="s">
        <v>29</v>
      </c>
      <c r="G310" s="12">
        <v>9</v>
      </c>
      <c r="H310" s="8">
        <v>15.58</v>
      </c>
      <c r="I310" t="s">
        <v>34</v>
      </c>
      <c r="J310" t="s">
        <v>36</v>
      </c>
      <c r="K310" s="10">
        <v>0.1</v>
      </c>
      <c r="L310" t="s">
        <v>39</v>
      </c>
      <c r="M310">
        <v>126.19800000000001</v>
      </c>
      <c r="N310">
        <v>84.131999999999991</v>
      </c>
      <c r="O310" s="10">
        <v>14.256000000000018</v>
      </c>
      <c r="P310" s="10">
        <v>0.11296534017971772</v>
      </c>
      <c r="Q310" s="8">
        <v>126.19799999999999</v>
      </c>
      <c r="R310" t="s">
        <v>44</v>
      </c>
      <c r="S310" t="s">
        <v>48</v>
      </c>
      <c r="T310" t="s">
        <v>2931</v>
      </c>
      <c r="U310">
        <v>1</v>
      </c>
      <c r="V310" t="str">
        <f>IF(CleanedTable[[#This Row],[Returned]] = 0,"NO","Yes")</f>
        <v>Yes</v>
      </c>
      <c r="W310" t="s">
        <v>359</v>
      </c>
      <c r="X310" t="s">
        <v>1853</v>
      </c>
      <c r="Y310" s="10">
        <v>27.81</v>
      </c>
      <c r="Z310" s="3">
        <v>44937</v>
      </c>
      <c r="AA310" s="3">
        <v>44945</v>
      </c>
      <c r="AB310" t="s">
        <v>2923</v>
      </c>
      <c r="AC310">
        <v>8</v>
      </c>
    </row>
    <row r="311" spans="1:29" x14ac:dyDescent="0.3">
      <c r="A311" s="3">
        <v>45813</v>
      </c>
      <c r="B311" s="3" t="str">
        <f>TEXT(CleanedTable[[#This Row],[OrderDate]],"mmm")</f>
        <v>Jun</v>
      </c>
      <c r="C311" s="3" t="str">
        <f>TEXT(CleanedTable[[#This Row],[OrderDate]],"yyyy")</f>
        <v>2025</v>
      </c>
      <c r="D311" s="3" t="str">
        <f>TEXT(CleanedTable[[#This Row],[OrderDate]],"mmm yyyy")</f>
        <v>Jun 2025</v>
      </c>
      <c r="E311" t="s">
        <v>21</v>
      </c>
      <c r="F311" t="s">
        <v>26</v>
      </c>
      <c r="G311" s="12">
        <v>13</v>
      </c>
      <c r="H311" s="8">
        <v>466.54</v>
      </c>
      <c r="I311" t="s">
        <v>33</v>
      </c>
      <c r="J311" t="s">
        <v>35</v>
      </c>
      <c r="K311" s="10">
        <v>0</v>
      </c>
      <c r="L311" t="s">
        <v>37</v>
      </c>
      <c r="M311">
        <v>6065.02</v>
      </c>
      <c r="N311">
        <v>3639.0119999999997</v>
      </c>
      <c r="O311" s="10">
        <v>2407.3780000000006</v>
      </c>
      <c r="P311" s="10">
        <v>0.39692828712848438</v>
      </c>
      <c r="Q311" s="8">
        <v>6065.02</v>
      </c>
      <c r="R311" t="s">
        <v>47</v>
      </c>
      <c r="S311" t="s">
        <v>48</v>
      </c>
      <c r="T311" t="s">
        <v>2931</v>
      </c>
      <c r="U311">
        <v>0</v>
      </c>
      <c r="V311" t="str">
        <f>IF(CleanedTable[[#This Row],[Returned]] = 0,"NO","Yes")</f>
        <v>NO</v>
      </c>
      <c r="W311" t="s">
        <v>360</v>
      </c>
      <c r="X311" t="s">
        <v>1854</v>
      </c>
      <c r="Y311" s="10">
        <v>18.63</v>
      </c>
      <c r="Z311" s="3">
        <v>45813</v>
      </c>
      <c r="AA311" s="3">
        <v>45822</v>
      </c>
      <c r="AB311" t="s">
        <v>2924</v>
      </c>
      <c r="AC311">
        <v>9</v>
      </c>
    </row>
    <row r="312" spans="1:29" x14ac:dyDescent="0.3">
      <c r="A312" s="3">
        <v>45372</v>
      </c>
      <c r="B312" s="3" t="str">
        <f>TEXT(CleanedTable[[#This Row],[OrderDate]],"mmm")</f>
        <v>Mar</v>
      </c>
      <c r="C312" s="3" t="str">
        <f>TEXT(CleanedTable[[#This Row],[OrderDate]],"yyyy")</f>
        <v>2024</v>
      </c>
      <c r="D312" s="3" t="str">
        <f>TEXT(CleanedTable[[#This Row],[OrderDate]],"mmm yyyy")</f>
        <v>Mar 2024</v>
      </c>
      <c r="E312" t="s">
        <v>21</v>
      </c>
      <c r="F312" t="s">
        <v>28</v>
      </c>
      <c r="G312" s="12">
        <v>16</v>
      </c>
      <c r="H312" s="8">
        <v>593</v>
      </c>
      <c r="I312" t="s">
        <v>34</v>
      </c>
      <c r="J312" t="s">
        <v>36</v>
      </c>
      <c r="K312" s="10">
        <v>0.1</v>
      </c>
      <c r="L312" t="s">
        <v>37</v>
      </c>
      <c r="M312">
        <v>8539.2000000000007</v>
      </c>
      <c r="N312">
        <v>5692.8</v>
      </c>
      <c r="O312" s="10">
        <v>2827.6300000000006</v>
      </c>
      <c r="P312" s="10">
        <v>0.33113523515083382</v>
      </c>
      <c r="Q312" s="8">
        <v>8539.2000000000007</v>
      </c>
      <c r="R312" t="s">
        <v>44</v>
      </c>
      <c r="S312" t="s">
        <v>49</v>
      </c>
      <c r="T312" t="s">
        <v>2931</v>
      </c>
      <c r="U312">
        <v>0</v>
      </c>
      <c r="V312" t="str">
        <f>IF(CleanedTable[[#This Row],[Returned]] = 0,"NO","Yes")</f>
        <v>NO</v>
      </c>
      <c r="W312" t="s">
        <v>361</v>
      </c>
      <c r="X312" t="s">
        <v>1855</v>
      </c>
      <c r="Y312" s="10">
        <v>18.77</v>
      </c>
      <c r="Z312" s="3">
        <v>45372</v>
      </c>
      <c r="AA312" s="3">
        <v>45375</v>
      </c>
      <c r="AB312" t="s">
        <v>2924</v>
      </c>
      <c r="AC312">
        <v>3</v>
      </c>
    </row>
    <row r="313" spans="1:29" x14ac:dyDescent="0.3">
      <c r="A313" s="3">
        <v>45169</v>
      </c>
      <c r="B313" s="3" t="str">
        <f>TEXT(CleanedTable[[#This Row],[OrderDate]],"mmm")</f>
        <v>Aug</v>
      </c>
      <c r="C313" s="3" t="str">
        <f>TEXT(CleanedTable[[#This Row],[OrderDate]],"yyyy")</f>
        <v>2023</v>
      </c>
      <c r="D313" s="3" t="str">
        <f>TEXT(CleanedTable[[#This Row],[OrderDate]],"mmm yyyy")</f>
        <v>Aug 2023</v>
      </c>
      <c r="E313" t="s">
        <v>20</v>
      </c>
      <c r="F313" t="s">
        <v>26</v>
      </c>
      <c r="G313" s="12">
        <v>6</v>
      </c>
      <c r="H313" s="8">
        <v>567.36</v>
      </c>
      <c r="I313" t="s">
        <v>33</v>
      </c>
      <c r="J313" t="s">
        <v>35</v>
      </c>
      <c r="K313" s="10">
        <v>0.05</v>
      </c>
      <c r="L313" t="s">
        <v>38</v>
      </c>
      <c r="M313">
        <v>3233.9519999999998</v>
      </c>
      <c r="N313">
        <v>2042.4960000000001</v>
      </c>
      <c r="O313" s="10">
        <v>1145.4759999999997</v>
      </c>
      <c r="P313" s="10">
        <v>0.35420315453043205</v>
      </c>
      <c r="Q313" s="8">
        <v>3233.9520000000002</v>
      </c>
      <c r="R313" t="s">
        <v>44</v>
      </c>
      <c r="S313" t="s">
        <v>50</v>
      </c>
      <c r="T313" t="s">
        <v>2931</v>
      </c>
      <c r="U313">
        <v>0</v>
      </c>
      <c r="V313" t="str">
        <f>IF(CleanedTable[[#This Row],[Returned]] = 0,"NO","Yes")</f>
        <v>NO</v>
      </c>
      <c r="W313" t="s">
        <v>362</v>
      </c>
      <c r="X313" t="s">
        <v>1856</v>
      </c>
      <c r="Y313" s="10">
        <v>45.98</v>
      </c>
      <c r="Z313" s="3">
        <v>45169</v>
      </c>
      <c r="AA313" s="3">
        <v>45177</v>
      </c>
      <c r="AB313" t="s">
        <v>2923</v>
      </c>
      <c r="AC313">
        <v>8</v>
      </c>
    </row>
    <row r="314" spans="1:29" x14ac:dyDescent="0.3">
      <c r="A314" s="3">
        <v>45572</v>
      </c>
      <c r="B314" s="3" t="str">
        <f>TEXT(CleanedTable[[#This Row],[OrderDate]],"mmm")</f>
        <v>Oct</v>
      </c>
      <c r="C314" s="3" t="str">
        <f>TEXT(CleanedTable[[#This Row],[OrderDate]],"yyyy")</f>
        <v>2024</v>
      </c>
      <c r="D314" s="3" t="str">
        <f>TEXT(CleanedTable[[#This Row],[OrderDate]],"mmm yyyy")</f>
        <v>Oct 2024</v>
      </c>
      <c r="E314" t="s">
        <v>20</v>
      </c>
      <c r="F314" t="s">
        <v>25</v>
      </c>
      <c r="G314" s="12">
        <v>17</v>
      </c>
      <c r="H314" s="8">
        <v>523.04</v>
      </c>
      <c r="I314" t="s">
        <v>32</v>
      </c>
      <c r="J314" t="s">
        <v>36</v>
      </c>
      <c r="K314" s="10">
        <v>0.05</v>
      </c>
      <c r="L314" t="s">
        <v>37</v>
      </c>
      <c r="M314">
        <v>8447.0959999999995</v>
      </c>
      <c r="N314">
        <v>5335.0079999999989</v>
      </c>
      <c r="O314" s="10">
        <v>3074.7080000000005</v>
      </c>
      <c r="P314" s="10">
        <v>0.36399586319369409</v>
      </c>
      <c r="Q314" s="8">
        <v>8447.0959999999995</v>
      </c>
      <c r="R314" t="s">
        <v>46</v>
      </c>
      <c r="S314" t="s">
        <v>48</v>
      </c>
      <c r="T314" t="s">
        <v>2931</v>
      </c>
      <c r="U314">
        <v>0</v>
      </c>
      <c r="V314" t="str">
        <f>IF(CleanedTable[[#This Row],[Returned]] = 0,"NO","Yes")</f>
        <v>NO</v>
      </c>
      <c r="W314" t="s">
        <v>363</v>
      </c>
      <c r="X314" t="s">
        <v>1857</v>
      </c>
      <c r="Y314" s="10">
        <v>37.380000000000003</v>
      </c>
      <c r="Z314" s="3">
        <v>45572</v>
      </c>
      <c r="AA314" s="3">
        <v>45582</v>
      </c>
      <c r="AB314" t="s">
        <v>2923</v>
      </c>
      <c r="AC314">
        <v>10</v>
      </c>
    </row>
    <row r="315" spans="1:29" x14ac:dyDescent="0.3">
      <c r="A315" s="3">
        <v>45028</v>
      </c>
      <c r="B315" s="3" t="str">
        <f>TEXT(CleanedTable[[#This Row],[OrderDate]],"mmm")</f>
        <v>Apr</v>
      </c>
      <c r="C315" s="3" t="str">
        <f>TEXT(CleanedTable[[#This Row],[OrderDate]],"yyyy")</f>
        <v>2023</v>
      </c>
      <c r="D315" s="3" t="str">
        <f>TEXT(CleanedTable[[#This Row],[OrderDate]],"mmm yyyy")</f>
        <v>Apr 2023</v>
      </c>
      <c r="E315" t="s">
        <v>21</v>
      </c>
      <c r="F315" t="s">
        <v>24</v>
      </c>
      <c r="G315" s="12">
        <v>17</v>
      </c>
      <c r="H315" s="8">
        <v>376.4</v>
      </c>
      <c r="I315" t="s">
        <v>33</v>
      </c>
      <c r="J315" t="s">
        <v>35</v>
      </c>
      <c r="K315" s="10">
        <v>0</v>
      </c>
      <c r="L315" t="s">
        <v>38</v>
      </c>
      <c r="M315">
        <v>6398.7999999999993</v>
      </c>
      <c r="N315">
        <v>3839.2799999999997</v>
      </c>
      <c r="O315" s="10">
        <v>2526.1399999999994</v>
      </c>
      <c r="P315" s="10">
        <v>0.39478339688691627</v>
      </c>
      <c r="Q315" s="8">
        <v>6398.7999999999993</v>
      </c>
      <c r="R315" t="s">
        <v>46</v>
      </c>
      <c r="S315" t="s">
        <v>48</v>
      </c>
      <c r="T315" t="s">
        <v>2931</v>
      </c>
      <c r="U315">
        <v>0</v>
      </c>
      <c r="V315" t="str">
        <f>IF(CleanedTable[[#This Row],[Returned]] = 0,"NO","Yes")</f>
        <v>NO</v>
      </c>
      <c r="W315" t="s">
        <v>364</v>
      </c>
      <c r="X315" t="s">
        <v>1858</v>
      </c>
      <c r="Y315" s="10">
        <v>33.380000000000003</v>
      </c>
      <c r="Z315" s="3">
        <v>45028</v>
      </c>
      <c r="AA315" s="3">
        <v>45031</v>
      </c>
      <c r="AB315" t="s">
        <v>2924</v>
      </c>
      <c r="AC315">
        <v>3</v>
      </c>
    </row>
    <row r="316" spans="1:29" x14ac:dyDescent="0.3">
      <c r="A316" s="3">
        <v>45236</v>
      </c>
      <c r="B316" s="3" t="str">
        <f>TEXT(CleanedTable[[#This Row],[OrderDate]],"mmm")</f>
        <v>Nov</v>
      </c>
      <c r="C316" s="3" t="str">
        <f>TEXT(CleanedTable[[#This Row],[OrderDate]],"yyyy")</f>
        <v>2023</v>
      </c>
      <c r="D316" s="3" t="str">
        <f>TEXT(CleanedTable[[#This Row],[OrderDate]],"mmm yyyy")</f>
        <v>Nov 2023</v>
      </c>
      <c r="E316" t="s">
        <v>20</v>
      </c>
      <c r="F316" t="s">
        <v>30</v>
      </c>
      <c r="G316" s="12">
        <v>5</v>
      </c>
      <c r="H316" s="8">
        <v>95.19</v>
      </c>
      <c r="I316" t="s">
        <v>32</v>
      </c>
      <c r="J316" t="s">
        <v>36</v>
      </c>
      <c r="K316" s="10">
        <v>0.15</v>
      </c>
      <c r="L316" t="s">
        <v>39</v>
      </c>
      <c r="M316">
        <v>404.5575</v>
      </c>
      <c r="N316">
        <v>285.57</v>
      </c>
      <c r="O316" s="10">
        <v>70.437500000000014</v>
      </c>
      <c r="P316" s="10">
        <v>0.1741099843656341</v>
      </c>
      <c r="Q316" s="8">
        <v>404.5575</v>
      </c>
      <c r="R316" t="s">
        <v>45</v>
      </c>
      <c r="S316" t="s">
        <v>50</v>
      </c>
      <c r="T316" t="s">
        <v>2931</v>
      </c>
      <c r="U316">
        <v>0</v>
      </c>
      <c r="V316" t="str">
        <f>IF(CleanedTable[[#This Row],[Returned]] = 0,"NO","Yes")</f>
        <v>NO</v>
      </c>
      <c r="W316" t="s">
        <v>365</v>
      </c>
      <c r="X316" t="s">
        <v>1859</v>
      </c>
      <c r="Y316" s="10">
        <v>48.55</v>
      </c>
      <c r="Z316" s="3">
        <v>45236</v>
      </c>
      <c r="AA316" s="3">
        <v>45246</v>
      </c>
      <c r="AB316" t="s">
        <v>2923</v>
      </c>
      <c r="AC316">
        <v>10</v>
      </c>
    </row>
    <row r="317" spans="1:29" x14ac:dyDescent="0.3">
      <c r="A317" s="3">
        <v>45044</v>
      </c>
      <c r="B317" s="3" t="str">
        <f>TEXT(CleanedTable[[#This Row],[OrderDate]],"mmm")</f>
        <v>Apr</v>
      </c>
      <c r="C317" s="3" t="str">
        <f>TEXT(CleanedTable[[#This Row],[OrderDate]],"yyyy")</f>
        <v>2023</v>
      </c>
      <c r="D317" s="3" t="str">
        <f>TEXT(CleanedTable[[#This Row],[OrderDate]],"mmm yyyy")</f>
        <v>Apr 2023</v>
      </c>
      <c r="E317" t="s">
        <v>23</v>
      </c>
      <c r="F317" t="s">
        <v>26</v>
      </c>
      <c r="G317" s="12">
        <v>2</v>
      </c>
      <c r="H317" s="8">
        <v>210.71</v>
      </c>
      <c r="I317" t="s">
        <v>34</v>
      </c>
      <c r="J317" t="s">
        <v>35</v>
      </c>
      <c r="K317" s="10">
        <v>0.15</v>
      </c>
      <c r="L317" t="s">
        <v>41</v>
      </c>
      <c r="M317">
        <v>358.20699999999999</v>
      </c>
      <c r="N317">
        <v>252.852</v>
      </c>
      <c r="O317" s="10">
        <v>97.574999999999989</v>
      </c>
      <c r="P317" s="10">
        <v>0.27239836184105837</v>
      </c>
      <c r="Q317" s="8">
        <v>358.20699999999999</v>
      </c>
      <c r="R317" t="s">
        <v>45</v>
      </c>
      <c r="S317" t="s">
        <v>49</v>
      </c>
      <c r="T317" t="s">
        <v>2931</v>
      </c>
      <c r="U317">
        <v>0</v>
      </c>
      <c r="V317" t="str">
        <f>IF(CleanedTable[[#This Row],[Returned]] = 0,"NO","Yes")</f>
        <v>NO</v>
      </c>
      <c r="W317" t="s">
        <v>366</v>
      </c>
      <c r="X317" t="s">
        <v>1860</v>
      </c>
      <c r="Y317" s="10">
        <v>7.78</v>
      </c>
      <c r="Z317" s="3">
        <v>45044</v>
      </c>
      <c r="AA317" s="3">
        <v>45054</v>
      </c>
      <c r="AB317" t="s">
        <v>2926</v>
      </c>
      <c r="AC317">
        <v>10</v>
      </c>
    </row>
    <row r="318" spans="1:29" x14ac:dyDescent="0.3">
      <c r="A318" s="3">
        <v>45278</v>
      </c>
      <c r="B318" s="3" t="str">
        <f>TEXT(CleanedTable[[#This Row],[OrderDate]],"mmm")</f>
        <v>Dec</v>
      </c>
      <c r="C318" s="3" t="str">
        <f>TEXT(CleanedTable[[#This Row],[OrderDate]],"yyyy")</f>
        <v>2023</v>
      </c>
      <c r="D318" s="3" t="str">
        <f>TEXT(CleanedTable[[#This Row],[OrderDate]],"mmm yyyy")</f>
        <v>Dec 2023</v>
      </c>
      <c r="E318" t="s">
        <v>23</v>
      </c>
      <c r="F318" t="s">
        <v>30</v>
      </c>
      <c r="G318" s="12">
        <v>7</v>
      </c>
      <c r="H318" s="8">
        <v>393.39</v>
      </c>
      <c r="I318" t="s">
        <v>31</v>
      </c>
      <c r="J318" t="s">
        <v>36</v>
      </c>
      <c r="K318" s="10">
        <v>0.1</v>
      </c>
      <c r="L318" t="s">
        <v>38</v>
      </c>
      <c r="M318">
        <v>2478.357</v>
      </c>
      <c r="N318">
        <v>1652.2379999999998</v>
      </c>
      <c r="O318" s="10">
        <v>791.76900000000012</v>
      </c>
      <c r="P318" s="10">
        <v>0.31947334463921062</v>
      </c>
      <c r="Q318" s="8">
        <v>2478.357</v>
      </c>
      <c r="R318" t="s">
        <v>47</v>
      </c>
      <c r="S318" t="s">
        <v>49</v>
      </c>
      <c r="T318" t="s">
        <v>2931</v>
      </c>
      <c r="U318">
        <v>0</v>
      </c>
      <c r="V318" t="str">
        <f>IF(CleanedTable[[#This Row],[Returned]] = 0,"NO","Yes")</f>
        <v>NO</v>
      </c>
      <c r="W318" t="s">
        <v>367</v>
      </c>
      <c r="X318" t="s">
        <v>1861</v>
      </c>
      <c r="Y318" s="10">
        <v>34.35</v>
      </c>
      <c r="Z318" s="3">
        <v>45278</v>
      </c>
      <c r="AA318" s="3">
        <v>45281</v>
      </c>
      <c r="AB318" t="s">
        <v>2926</v>
      </c>
      <c r="AC318">
        <v>3</v>
      </c>
    </row>
    <row r="319" spans="1:29" x14ac:dyDescent="0.3">
      <c r="A319" s="3">
        <v>45575</v>
      </c>
      <c r="B319" s="3" t="str">
        <f>TEXT(CleanedTable[[#This Row],[OrderDate]],"mmm")</f>
        <v>Oct</v>
      </c>
      <c r="C319" s="3" t="str">
        <f>TEXT(CleanedTable[[#This Row],[OrderDate]],"yyyy")</f>
        <v>2024</v>
      </c>
      <c r="D319" s="3" t="str">
        <f>TEXT(CleanedTable[[#This Row],[OrderDate]],"mmm yyyy")</f>
        <v>Oct 2024</v>
      </c>
      <c r="E319" t="s">
        <v>20</v>
      </c>
      <c r="F319" t="s">
        <v>25</v>
      </c>
      <c r="G319" s="12">
        <v>13</v>
      </c>
      <c r="H319" s="8">
        <v>114.03</v>
      </c>
      <c r="I319" t="s">
        <v>32</v>
      </c>
      <c r="J319" t="s">
        <v>36</v>
      </c>
      <c r="K319" s="10">
        <v>0</v>
      </c>
      <c r="L319" t="s">
        <v>42</v>
      </c>
      <c r="M319">
        <v>1482.39</v>
      </c>
      <c r="N319">
        <v>889.43399999999986</v>
      </c>
      <c r="O319" s="10">
        <v>549.14600000000019</v>
      </c>
      <c r="P319" s="10">
        <v>0.37044637376129097</v>
      </c>
      <c r="Q319" s="8">
        <v>1482.39</v>
      </c>
      <c r="R319" t="s">
        <v>47</v>
      </c>
      <c r="T319" t="s">
        <v>2932</v>
      </c>
      <c r="U319">
        <v>0</v>
      </c>
      <c r="V319" t="str">
        <f>IF(CleanedTable[[#This Row],[Returned]] = 0,"NO","Yes")</f>
        <v>NO</v>
      </c>
      <c r="W319" t="s">
        <v>368</v>
      </c>
      <c r="X319" t="s">
        <v>1862</v>
      </c>
      <c r="Y319" s="10">
        <v>43.81</v>
      </c>
      <c r="Z319" s="3">
        <v>45575</v>
      </c>
      <c r="AA319" s="3">
        <v>45581</v>
      </c>
      <c r="AB319" t="s">
        <v>2923</v>
      </c>
      <c r="AC319">
        <v>6</v>
      </c>
    </row>
    <row r="320" spans="1:29" x14ac:dyDescent="0.3">
      <c r="A320" s="3">
        <v>44962</v>
      </c>
      <c r="B320" s="3" t="str">
        <f>TEXT(CleanedTable[[#This Row],[OrderDate]],"mmm")</f>
        <v>Feb</v>
      </c>
      <c r="C320" s="3" t="str">
        <f>TEXT(CleanedTable[[#This Row],[OrderDate]],"yyyy")</f>
        <v>2023</v>
      </c>
      <c r="D320" s="3" t="str">
        <f>TEXT(CleanedTable[[#This Row],[OrderDate]],"mmm yyyy")</f>
        <v>Feb 2023</v>
      </c>
      <c r="E320" t="s">
        <v>21</v>
      </c>
      <c r="F320" t="s">
        <v>29</v>
      </c>
      <c r="G320" s="12">
        <v>18</v>
      </c>
      <c r="H320" s="8">
        <v>336.48</v>
      </c>
      <c r="I320" t="s">
        <v>31</v>
      </c>
      <c r="J320" t="s">
        <v>36</v>
      </c>
      <c r="K320" s="10">
        <v>0</v>
      </c>
      <c r="L320" t="s">
        <v>39</v>
      </c>
      <c r="M320">
        <v>6056.64</v>
      </c>
      <c r="N320">
        <v>3633.9839999999999</v>
      </c>
      <c r="O320" s="10">
        <v>2404.0660000000003</v>
      </c>
      <c r="P320" s="10">
        <v>0.39693064141173984</v>
      </c>
      <c r="Q320" s="8">
        <v>6056.64</v>
      </c>
      <c r="R320" t="s">
        <v>43</v>
      </c>
      <c r="S320" t="s">
        <v>50</v>
      </c>
      <c r="T320" t="s">
        <v>2931</v>
      </c>
      <c r="U320">
        <v>0</v>
      </c>
      <c r="V320" t="str">
        <f>IF(CleanedTable[[#This Row],[Returned]] = 0,"NO","Yes")</f>
        <v>NO</v>
      </c>
      <c r="W320" t="s">
        <v>369</v>
      </c>
      <c r="X320" t="s">
        <v>1863</v>
      </c>
      <c r="Y320" s="10">
        <v>18.59</v>
      </c>
      <c r="Z320" s="3">
        <v>44962</v>
      </c>
      <c r="AA320" s="3">
        <v>44964</v>
      </c>
      <c r="AB320" t="s">
        <v>2924</v>
      </c>
      <c r="AC320">
        <v>2</v>
      </c>
    </row>
    <row r="321" spans="1:29" x14ac:dyDescent="0.3">
      <c r="A321" s="3">
        <v>45508</v>
      </c>
      <c r="B321" s="3" t="str">
        <f>TEXT(CleanedTable[[#This Row],[OrderDate]],"mmm")</f>
        <v>Aug</v>
      </c>
      <c r="C321" s="3" t="str">
        <f>TEXT(CleanedTable[[#This Row],[OrderDate]],"yyyy")</f>
        <v>2024</v>
      </c>
      <c r="D321" s="3" t="str">
        <f>TEXT(CleanedTable[[#This Row],[OrderDate]],"mmm yyyy")</f>
        <v>Aug 2024</v>
      </c>
      <c r="E321" t="s">
        <v>22</v>
      </c>
      <c r="F321" t="s">
        <v>28</v>
      </c>
      <c r="G321" s="12">
        <v>9</v>
      </c>
      <c r="H321" s="8">
        <v>24.44</v>
      </c>
      <c r="I321" t="s">
        <v>33</v>
      </c>
      <c r="J321" t="s">
        <v>35</v>
      </c>
      <c r="K321" s="10">
        <v>0.15</v>
      </c>
      <c r="L321" t="s">
        <v>37</v>
      </c>
      <c r="M321">
        <v>186.96600000000001</v>
      </c>
      <c r="N321">
        <v>131.976</v>
      </c>
      <c r="O321" s="10">
        <v>32.930000000000007</v>
      </c>
      <c r="P321" s="10">
        <v>0.17612828000812986</v>
      </c>
      <c r="Q321" s="8">
        <v>186.96600000000001</v>
      </c>
      <c r="R321" t="s">
        <v>44</v>
      </c>
      <c r="S321" t="s">
        <v>49</v>
      </c>
      <c r="T321" t="s">
        <v>2931</v>
      </c>
      <c r="U321">
        <v>1</v>
      </c>
      <c r="V321" t="str">
        <f>IF(CleanedTable[[#This Row],[Returned]] = 0,"NO","Yes")</f>
        <v>Yes</v>
      </c>
      <c r="W321" t="s">
        <v>370</v>
      </c>
      <c r="X321" t="s">
        <v>1864</v>
      </c>
      <c r="Y321" s="10">
        <v>22.06</v>
      </c>
      <c r="Z321" s="3">
        <v>45508</v>
      </c>
      <c r="AA321" s="3">
        <v>45518</v>
      </c>
      <c r="AB321" t="s">
        <v>2925</v>
      </c>
      <c r="AC321">
        <v>10</v>
      </c>
    </row>
    <row r="322" spans="1:29" x14ac:dyDescent="0.3">
      <c r="A322" s="3">
        <v>45588</v>
      </c>
      <c r="B322" s="3" t="str">
        <f>TEXT(CleanedTable[[#This Row],[OrderDate]],"mmm")</f>
        <v>Oct</v>
      </c>
      <c r="C322" s="3" t="str">
        <f>TEXT(CleanedTable[[#This Row],[OrderDate]],"yyyy")</f>
        <v>2024</v>
      </c>
      <c r="D322" s="3" t="str">
        <f>TEXT(CleanedTable[[#This Row],[OrderDate]],"mmm yyyy")</f>
        <v>Oct 2024</v>
      </c>
      <c r="E322" t="s">
        <v>22</v>
      </c>
      <c r="F322" t="s">
        <v>29</v>
      </c>
      <c r="G322" s="12">
        <v>12</v>
      </c>
      <c r="H322" s="8">
        <v>352.2</v>
      </c>
      <c r="I322" t="s">
        <v>32</v>
      </c>
      <c r="J322" t="s">
        <v>36</v>
      </c>
      <c r="K322" s="10">
        <v>0.05</v>
      </c>
      <c r="L322" t="s">
        <v>37</v>
      </c>
      <c r="M322">
        <v>4015.0799999999995</v>
      </c>
      <c r="N322">
        <v>2535.84</v>
      </c>
      <c r="O322" s="10">
        <v>1460.8499999999992</v>
      </c>
      <c r="P322" s="10">
        <v>0.36384082010819196</v>
      </c>
      <c r="Q322" s="8">
        <v>4015.079999999999</v>
      </c>
      <c r="R322" t="s">
        <v>45</v>
      </c>
      <c r="S322" t="s">
        <v>50</v>
      </c>
      <c r="T322" t="s">
        <v>2931</v>
      </c>
      <c r="U322">
        <v>0</v>
      </c>
      <c r="V322" t="str">
        <f>IF(CleanedTable[[#This Row],[Returned]] = 0,"NO","Yes")</f>
        <v>NO</v>
      </c>
      <c r="W322" t="s">
        <v>371</v>
      </c>
      <c r="X322" t="s">
        <v>1865</v>
      </c>
      <c r="Y322" s="10">
        <v>18.39</v>
      </c>
      <c r="Z322" s="3">
        <v>45588</v>
      </c>
      <c r="AA322" s="3">
        <v>45597</v>
      </c>
      <c r="AB322" t="s">
        <v>2925</v>
      </c>
      <c r="AC322">
        <v>9</v>
      </c>
    </row>
    <row r="323" spans="1:29" x14ac:dyDescent="0.3">
      <c r="A323" s="3">
        <v>45335</v>
      </c>
      <c r="B323" s="3" t="str">
        <f>TEXT(CleanedTable[[#This Row],[OrderDate]],"mmm")</f>
        <v>Feb</v>
      </c>
      <c r="C323" s="3" t="str">
        <f>TEXT(CleanedTable[[#This Row],[OrderDate]],"yyyy")</f>
        <v>2024</v>
      </c>
      <c r="D323" s="3" t="str">
        <f>TEXT(CleanedTable[[#This Row],[OrderDate]],"mmm yyyy")</f>
        <v>Feb 2024</v>
      </c>
      <c r="E323" t="s">
        <v>23</v>
      </c>
      <c r="F323" t="s">
        <v>28</v>
      </c>
      <c r="G323" s="12">
        <v>7</v>
      </c>
      <c r="H323" s="8">
        <v>353.99</v>
      </c>
      <c r="I323" t="s">
        <v>33</v>
      </c>
      <c r="J323" t="s">
        <v>35</v>
      </c>
      <c r="K323" s="10">
        <v>0.05</v>
      </c>
      <c r="L323" t="s">
        <v>40</v>
      </c>
      <c r="M323">
        <v>2354.0335</v>
      </c>
      <c r="N323">
        <v>1486.758</v>
      </c>
      <c r="O323" s="10">
        <v>861.34550000000002</v>
      </c>
      <c r="P323" s="10">
        <v>0.36590197208323499</v>
      </c>
      <c r="Q323" s="8">
        <v>2354.0335</v>
      </c>
      <c r="R323" t="s">
        <v>44</v>
      </c>
      <c r="S323" t="s">
        <v>48</v>
      </c>
      <c r="T323" t="s">
        <v>2931</v>
      </c>
      <c r="U323">
        <v>0</v>
      </c>
      <c r="V323" t="str">
        <f>IF(CleanedTable[[#This Row],[Returned]] = 0,"NO","Yes")</f>
        <v>NO</v>
      </c>
      <c r="W323" t="s">
        <v>372</v>
      </c>
      <c r="X323" t="s">
        <v>1866</v>
      </c>
      <c r="Y323" s="10">
        <v>5.93</v>
      </c>
      <c r="Z323" s="3">
        <v>45335</v>
      </c>
      <c r="AA323" s="3">
        <v>45342</v>
      </c>
      <c r="AB323" t="s">
        <v>2926</v>
      </c>
      <c r="AC323">
        <v>7</v>
      </c>
    </row>
    <row r="324" spans="1:29" x14ac:dyDescent="0.3">
      <c r="A324" s="3">
        <v>45446</v>
      </c>
      <c r="B324" s="3" t="str">
        <f>TEXT(CleanedTable[[#This Row],[OrderDate]],"mmm")</f>
        <v>Jun</v>
      </c>
      <c r="C324" s="3" t="str">
        <f>TEXT(CleanedTable[[#This Row],[OrderDate]],"yyyy")</f>
        <v>2024</v>
      </c>
      <c r="D324" s="3" t="str">
        <f>TEXT(CleanedTable[[#This Row],[OrderDate]],"mmm yyyy")</f>
        <v>Jun 2024</v>
      </c>
      <c r="E324" t="s">
        <v>20</v>
      </c>
      <c r="F324" t="s">
        <v>29</v>
      </c>
      <c r="G324" s="12">
        <v>15</v>
      </c>
      <c r="H324" s="8">
        <v>10.220000000000001</v>
      </c>
      <c r="I324" t="s">
        <v>33</v>
      </c>
      <c r="J324" t="s">
        <v>36</v>
      </c>
      <c r="K324" s="10">
        <v>0</v>
      </c>
      <c r="L324" t="s">
        <v>38</v>
      </c>
      <c r="M324">
        <v>153.30000000000001</v>
      </c>
      <c r="N324">
        <v>91.98</v>
      </c>
      <c r="O324" s="10">
        <v>25.050000000000004</v>
      </c>
      <c r="P324" s="10">
        <v>0.16340508806262233</v>
      </c>
      <c r="Q324" s="8">
        <v>153.30000000000001</v>
      </c>
      <c r="R324" t="s">
        <v>44</v>
      </c>
      <c r="S324" t="s">
        <v>48</v>
      </c>
      <c r="T324" t="s">
        <v>2931</v>
      </c>
      <c r="U324">
        <v>0</v>
      </c>
      <c r="V324" t="str">
        <f>IF(CleanedTable[[#This Row],[Returned]] = 0,"NO","Yes")</f>
        <v>NO</v>
      </c>
      <c r="W324" t="s">
        <v>373</v>
      </c>
      <c r="X324" t="s">
        <v>1867</v>
      </c>
      <c r="Y324" s="10">
        <v>36.270000000000003</v>
      </c>
      <c r="Z324" s="3">
        <v>45446</v>
      </c>
      <c r="AA324" s="3">
        <v>45450</v>
      </c>
      <c r="AB324" t="s">
        <v>2923</v>
      </c>
      <c r="AC324">
        <v>4</v>
      </c>
    </row>
    <row r="325" spans="1:29" x14ac:dyDescent="0.3">
      <c r="A325" s="3">
        <v>45030</v>
      </c>
      <c r="B325" s="3" t="str">
        <f>TEXT(CleanedTable[[#This Row],[OrderDate]],"mmm")</f>
        <v>Apr</v>
      </c>
      <c r="C325" s="3" t="str">
        <f>TEXT(CleanedTable[[#This Row],[OrderDate]],"yyyy")</f>
        <v>2023</v>
      </c>
      <c r="D325" s="3" t="str">
        <f>TEXT(CleanedTable[[#This Row],[OrderDate]],"mmm yyyy")</f>
        <v>Apr 2023</v>
      </c>
      <c r="E325" t="s">
        <v>20</v>
      </c>
      <c r="F325" t="s">
        <v>30</v>
      </c>
      <c r="G325" s="12">
        <v>17</v>
      </c>
      <c r="H325" s="8">
        <v>464.16</v>
      </c>
      <c r="I325" t="s">
        <v>32</v>
      </c>
      <c r="J325" t="s">
        <v>36</v>
      </c>
      <c r="K325" s="10">
        <v>0.15</v>
      </c>
      <c r="L325" t="s">
        <v>40</v>
      </c>
      <c r="M325">
        <v>6707.1120000000001</v>
      </c>
      <c r="N325">
        <v>4734.4319999999998</v>
      </c>
      <c r="O325" s="10">
        <v>1925.8500000000004</v>
      </c>
      <c r="P325" s="10">
        <v>0.28713550631031665</v>
      </c>
      <c r="Q325" s="8">
        <v>6707.1120000000001</v>
      </c>
      <c r="R325" t="s">
        <v>46</v>
      </c>
      <c r="S325" t="s">
        <v>48</v>
      </c>
      <c r="T325" t="s">
        <v>2931</v>
      </c>
      <c r="U325">
        <v>1</v>
      </c>
      <c r="V325" t="str">
        <f>IF(CleanedTable[[#This Row],[Returned]] = 0,"NO","Yes")</f>
        <v>Yes</v>
      </c>
      <c r="W325" t="s">
        <v>374</v>
      </c>
      <c r="X325" t="s">
        <v>1868</v>
      </c>
      <c r="Y325" s="10">
        <v>46.83</v>
      </c>
      <c r="Z325" s="3">
        <v>45030</v>
      </c>
      <c r="AA325" s="3">
        <v>45034</v>
      </c>
      <c r="AB325" t="s">
        <v>2923</v>
      </c>
      <c r="AC325">
        <v>4</v>
      </c>
    </row>
    <row r="326" spans="1:29" x14ac:dyDescent="0.3">
      <c r="A326" s="3">
        <v>45584</v>
      </c>
      <c r="B326" s="3" t="str">
        <f>TEXT(CleanedTable[[#This Row],[OrderDate]],"mmm")</f>
        <v>Oct</v>
      </c>
      <c r="C326" s="3" t="str">
        <f>TEXT(CleanedTable[[#This Row],[OrderDate]],"yyyy")</f>
        <v>2024</v>
      </c>
      <c r="D326" s="3" t="str">
        <f>TEXT(CleanedTable[[#This Row],[OrderDate]],"mmm yyyy")</f>
        <v>Oct 2024</v>
      </c>
      <c r="E326" t="s">
        <v>22</v>
      </c>
      <c r="F326" t="s">
        <v>24</v>
      </c>
      <c r="G326" s="12">
        <v>16</v>
      </c>
      <c r="H326" s="8">
        <v>436.31</v>
      </c>
      <c r="I326" t="s">
        <v>33</v>
      </c>
      <c r="J326" t="s">
        <v>36</v>
      </c>
      <c r="K326" s="10">
        <v>0.05</v>
      </c>
      <c r="L326" t="s">
        <v>41</v>
      </c>
      <c r="M326">
        <v>6631.9119999999994</v>
      </c>
      <c r="N326">
        <v>4188.576</v>
      </c>
      <c r="O326" s="10">
        <v>2395.7259999999992</v>
      </c>
      <c r="P326" s="10">
        <v>0.36124212745886847</v>
      </c>
      <c r="Q326" s="8">
        <v>6631.9119999999994</v>
      </c>
      <c r="R326" t="s">
        <v>43</v>
      </c>
      <c r="T326" t="s">
        <v>2932</v>
      </c>
      <c r="U326">
        <v>0</v>
      </c>
      <c r="V326" t="str">
        <f>IF(CleanedTable[[#This Row],[Returned]] = 0,"NO","Yes")</f>
        <v>NO</v>
      </c>
      <c r="W326" t="s">
        <v>375</v>
      </c>
      <c r="X326" t="s">
        <v>1869</v>
      </c>
      <c r="Y326" s="10">
        <v>47.61</v>
      </c>
      <c r="Z326" s="3">
        <v>45584</v>
      </c>
      <c r="AA326" s="3">
        <v>45588</v>
      </c>
      <c r="AB326" t="s">
        <v>2925</v>
      </c>
      <c r="AC326">
        <v>4</v>
      </c>
    </row>
    <row r="327" spans="1:29" x14ac:dyDescent="0.3">
      <c r="A327" s="3">
        <v>45278</v>
      </c>
      <c r="B327" s="3" t="str">
        <f>TEXT(CleanedTable[[#This Row],[OrderDate]],"mmm")</f>
        <v>Dec</v>
      </c>
      <c r="C327" s="3" t="str">
        <f>TEXT(CleanedTable[[#This Row],[OrderDate]],"yyyy")</f>
        <v>2023</v>
      </c>
      <c r="D327" s="3" t="str">
        <f>TEXT(CleanedTable[[#This Row],[OrderDate]],"mmm yyyy")</f>
        <v>Dec 2023</v>
      </c>
      <c r="E327" t="s">
        <v>20</v>
      </c>
      <c r="F327" t="s">
        <v>24</v>
      </c>
      <c r="G327" s="12">
        <v>9</v>
      </c>
      <c r="H327" s="8">
        <v>219.93</v>
      </c>
      <c r="I327" t="s">
        <v>31</v>
      </c>
      <c r="J327" t="s">
        <v>35</v>
      </c>
      <c r="K327" s="10">
        <v>0.05</v>
      </c>
      <c r="L327" t="s">
        <v>42</v>
      </c>
      <c r="M327">
        <v>1880.4014999999999</v>
      </c>
      <c r="N327">
        <v>1187.6220000000001</v>
      </c>
      <c r="O327" s="10">
        <v>647.9994999999999</v>
      </c>
      <c r="P327" s="10">
        <v>0.34460698951793006</v>
      </c>
      <c r="Q327" s="8">
        <v>1880.4014999999999</v>
      </c>
      <c r="R327" t="s">
        <v>44</v>
      </c>
      <c r="S327" t="s">
        <v>48</v>
      </c>
      <c r="T327" t="s">
        <v>2931</v>
      </c>
      <c r="U327">
        <v>0</v>
      </c>
      <c r="V327" t="str">
        <f>IF(CleanedTable[[#This Row],[Returned]] = 0,"NO","Yes")</f>
        <v>NO</v>
      </c>
      <c r="W327" t="s">
        <v>376</v>
      </c>
      <c r="X327" t="s">
        <v>1870</v>
      </c>
      <c r="Y327" s="10">
        <v>44.78</v>
      </c>
      <c r="Z327" s="3">
        <v>45278</v>
      </c>
      <c r="AA327" s="3">
        <v>45282</v>
      </c>
      <c r="AB327" t="s">
        <v>2923</v>
      </c>
      <c r="AC327">
        <v>4</v>
      </c>
    </row>
    <row r="328" spans="1:29" x14ac:dyDescent="0.3">
      <c r="A328" s="3">
        <v>45169</v>
      </c>
      <c r="B328" s="3" t="str">
        <f>TEXT(CleanedTable[[#This Row],[OrderDate]],"mmm")</f>
        <v>Aug</v>
      </c>
      <c r="C328" s="3" t="str">
        <f>TEXT(CleanedTable[[#This Row],[OrderDate]],"yyyy")</f>
        <v>2023</v>
      </c>
      <c r="D328" s="3" t="str">
        <f>TEXT(CleanedTable[[#This Row],[OrderDate]],"mmm yyyy")</f>
        <v>Aug 2023</v>
      </c>
      <c r="E328" t="s">
        <v>21</v>
      </c>
      <c r="F328" t="s">
        <v>24</v>
      </c>
      <c r="G328" s="12">
        <v>5</v>
      </c>
      <c r="H328" s="8">
        <v>311.22000000000003</v>
      </c>
      <c r="I328" t="s">
        <v>32</v>
      </c>
      <c r="J328" t="s">
        <v>35</v>
      </c>
      <c r="K328" s="10">
        <v>0.15</v>
      </c>
      <c r="L328" t="s">
        <v>41</v>
      </c>
      <c r="M328">
        <v>1322.6850000000002</v>
      </c>
      <c r="N328">
        <v>933.66</v>
      </c>
      <c r="O328" s="10">
        <v>352.04500000000019</v>
      </c>
      <c r="P328" s="10">
        <v>0.26615936523057276</v>
      </c>
      <c r="Q328" s="8">
        <v>1322.6849999999999</v>
      </c>
      <c r="R328" t="s">
        <v>47</v>
      </c>
      <c r="S328" t="s">
        <v>48</v>
      </c>
      <c r="T328" t="s">
        <v>2931</v>
      </c>
      <c r="U328">
        <v>0</v>
      </c>
      <c r="V328" t="str">
        <f>IF(CleanedTable[[#This Row],[Returned]] = 0,"NO","Yes")</f>
        <v>NO</v>
      </c>
      <c r="W328" t="s">
        <v>377</v>
      </c>
      <c r="X328" t="s">
        <v>1871</v>
      </c>
      <c r="Y328" s="10">
        <v>36.979999999999997</v>
      </c>
      <c r="Z328" s="3">
        <v>45169</v>
      </c>
      <c r="AA328" s="3">
        <v>45175</v>
      </c>
      <c r="AB328" t="s">
        <v>2924</v>
      </c>
      <c r="AC328">
        <v>6</v>
      </c>
    </row>
    <row r="329" spans="1:29" x14ac:dyDescent="0.3">
      <c r="A329" s="3">
        <v>45188</v>
      </c>
      <c r="B329" s="3" t="str">
        <f>TEXT(CleanedTable[[#This Row],[OrderDate]],"mmm")</f>
        <v>Sep</v>
      </c>
      <c r="C329" s="3" t="str">
        <f>TEXT(CleanedTable[[#This Row],[OrderDate]],"yyyy")</f>
        <v>2023</v>
      </c>
      <c r="D329" s="3" t="str">
        <f>TEXT(CleanedTable[[#This Row],[OrderDate]],"mmm yyyy")</f>
        <v>Sep 2023</v>
      </c>
      <c r="E329" t="s">
        <v>20</v>
      </c>
      <c r="F329" t="s">
        <v>24</v>
      </c>
      <c r="G329" s="12">
        <v>4</v>
      </c>
      <c r="H329" s="8">
        <v>547.55999999999995</v>
      </c>
      <c r="I329" t="s">
        <v>34</v>
      </c>
      <c r="J329" t="s">
        <v>36</v>
      </c>
      <c r="K329" s="10">
        <v>0.15</v>
      </c>
      <c r="L329" t="s">
        <v>39</v>
      </c>
      <c r="M329">
        <v>1861.7039999999997</v>
      </c>
      <c r="N329">
        <v>1314.1439999999998</v>
      </c>
      <c r="O329" s="10">
        <v>521.67999999999995</v>
      </c>
      <c r="P329" s="10">
        <v>0.28021640389664526</v>
      </c>
      <c r="Q329" s="8">
        <v>1861.704</v>
      </c>
      <c r="R329" t="s">
        <v>44</v>
      </c>
      <c r="T329" t="s">
        <v>2932</v>
      </c>
      <c r="U329">
        <v>0</v>
      </c>
      <c r="V329" t="str">
        <f>IF(CleanedTable[[#This Row],[Returned]] = 0,"NO","Yes")</f>
        <v>NO</v>
      </c>
      <c r="W329" t="s">
        <v>378</v>
      </c>
      <c r="X329" t="s">
        <v>1872</v>
      </c>
      <c r="Y329" s="10">
        <v>25.88</v>
      </c>
      <c r="Z329" s="3">
        <v>45188</v>
      </c>
      <c r="AA329" s="3">
        <v>45195</v>
      </c>
      <c r="AB329" t="s">
        <v>2923</v>
      </c>
      <c r="AC329">
        <v>7</v>
      </c>
    </row>
    <row r="330" spans="1:29" x14ac:dyDescent="0.3">
      <c r="A330" s="3">
        <v>44984</v>
      </c>
      <c r="B330" s="3" t="str">
        <f>TEXT(CleanedTable[[#This Row],[OrderDate]],"mmm")</f>
        <v>Feb</v>
      </c>
      <c r="C330" s="3" t="str">
        <f>TEXT(CleanedTable[[#This Row],[OrderDate]],"yyyy")</f>
        <v>2023</v>
      </c>
      <c r="D330" s="3" t="str">
        <f>TEXT(CleanedTable[[#This Row],[OrderDate]],"mmm yyyy")</f>
        <v>Feb 2023</v>
      </c>
      <c r="E330" t="s">
        <v>22</v>
      </c>
      <c r="F330" t="s">
        <v>24</v>
      </c>
      <c r="G330" s="12">
        <v>9</v>
      </c>
      <c r="H330" s="8">
        <v>52.69</v>
      </c>
      <c r="I330" t="s">
        <v>34</v>
      </c>
      <c r="J330" t="s">
        <v>36</v>
      </c>
      <c r="K330" s="10">
        <v>0.15</v>
      </c>
      <c r="L330" t="s">
        <v>41</v>
      </c>
      <c r="M330">
        <v>403.07849999999996</v>
      </c>
      <c r="N330">
        <v>284.52599999999995</v>
      </c>
      <c r="O330" s="10">
        <v>103.96250000000001</v>
      </c>
      <c r="P330" s="10">
        <v>0.25792122378147186</v>
      </c>
      <c r="Q330" s="8">
        <v>403.07850000000002</v>
      </c>
      <c r="R330" t="s">
        <v>43</v>
      </c>
      <c r="S330" t="s">
        <v>49</v>
      </c>
      <c r="T330" t="s">
        <v>2931</v>
      </c>
      <c r="U330">
        <v>0</v>
      </c>
      <c r="V330" t="str">
        <f>IF(CleanedTable[[#This Row],[Returned]] = 0,"NO","Yes")</f>
        <v>NO</v>
      </c>
      <c r="W330" t="s">
        <v>379</v>
      </c>
      <c r="X330" t="s">
        <v>1873</v>
      </c>
      <c r="Y330" s="10">
        <v>14.59</v>
      </c>
      <c r="Z330" s="3">
        <v>44984</v>
      </c>
      <c r="AA330" s="3">
        <v>44989</v>
      </c>
      <c r="AB330" t="s">
        <v>2925</v>
      </c>
      <c r="AC330">
        <v>5</v>
      </c>
    </row>
    <row r="331" spans="1:29" x14ac:dyDescent="0.3">
      <c r="A331" s="3">
        <v>45319</v>
      </c>
      <c r="B331" s="3" t="str">
        <f>TEXT(CleanedTable[[#This Row],[OrderDate]],"mmm")</f>
        <v>Jan</v>
      </c>
      <c r="C331" s="3" t="str">
        <f>TEXT(CleanedTable[[#This Row],[OrderDate]],"yyyy")</f>
        <v>2024</v>
      </c>
      <c r="D331" s="3" t="str">
        <f>TEXT(CleanedTable[[#This Row],[OrderDate]],"mmm yyyy")</f>
        <v>Jan 2024</v>
      </c>
      <c r="E331" t="s">
        <v>20</v>
      </c>
      <c r="F331" t="s">
        <v>29</v>
      </c>
      <c r="G331" s="12">
        <v>9</v>
      </c>
      <c r="H331" s="8">
        <v>434.74</v>
      </c>
      <c r="I331" t="s">
        <v>34</v>
      </c>
      <c r="J331" t="s">
        <v>35</v>
      </c>
      <c r="K331" s="10">
        <v>0.1</v>
      </c>
      <c r="L331" t="s">
        <v>42</v>
      </c>
      <c r="M331">
        <v>3521.3939999999998</v>
      </c>
      <c r="N331">
        <v>2347.596</v>
      </c>
      <c r="O331" s="10">
        <v>1153.6879999999999</v>
      </c>
      <c r="P331" s="10">
        <v>0.32762252676070897</v>
      </c>
      <c r="Q331" s="8">
        <v>3521.3939999999998</v>
      </c>
      <c r="R331" t="s">
        <v>43</v>
      </c>
      <c r="S331" t="s">
        <v>49</v>
      </c>
      <c r="T331" t="s">
        <v>2931</v>
      </c>
      <c r="U331">
        <v>0</v>
      </c>
      <c r="V331" t="str">
        <f>IF(CleanedTable[[#This Row],[Returned]] = 0,"NO","Yes")</f>
        <v>NO</v>
      </c>
      <c r="W331" t="s">
        <v>380</v>
      </c>
      <c r="X331" t="s">
        <v>1874</v>
      </c>
      <c r="Y331" s="10">
        <v>20.11</v>
      </c>
      <c r="Z331" s="3">
        <v>45319</v>
      </c>
      <c r="AA331" s="3">
        <v>45322</v>
      </c>
      <c r="AB331" t="s">
        <v>2923</v>
      </c>
      <c r="AC331">
        <v>3</v>
      </c>
    </row>
    <row r="332" spans="1:29" x14ac:dyDescent="0.3">
      <c r="A332" s="3">
        <v>45783</v>
      </c>
      <c r="B332" s="3" t="str">
        <f>TEXT(CleanedTable[[#This Row],[OrderDate]],"mmm")</f>
        <v>May</v>
      </c>
      <c r="C332" s="3" t="str">
        <f>TEXT(CleanedTable[[#This Row],[OrderDate]],"yyyy")</f>
        <v>2025</v>
      </c>
      <c r="D332" s="3" t="str">
        <f>TEXT(CleanedTable[[#This Row],[OrderDate]],"mmm yyyy")</f>
        <v>May 2025</v>
      </c>
      <c r="E332" t="s">
        <v>20</v>
      </c>
      <c r="F332" t="s">
        <v>28</v>
      </c>
      <c r="G332" s="12">
        <v>9</v>
      </c>
      <c r="H332" s="8">
        <v>124.17</v>
      </c>
      <c r="I332" t="s">
        <v>33</v>
      </c>
      <c r="J332" t="s">
        <v>35</v>
      </c>
      <c r="K332" s="10">
        <v>0</v>
      </c>
      <c r="L332" t="s">
        <v>37</v>
      </c>
      <c r="M332">
        <v>1117.53</v>
      </c>
      <c r="N332">
        <v>670.51799999999992</v>
      </c>
      <c r="O332" s="10">
        <v>433.70200000000006</v>
      </c>
      <c r="P332" s="10">
        <v>0.38808980519538633</v>
      </c>
      <c r="Q332" s="8">
        <v>1117.53</v>
      </c>
      <c r="R332" t="s">
        <v>46</v>
      </c>
      <c r="S332" t="s">
        <v>50</v>
      </c>
      <c r="T332" t="s">
        <v>2931</v>
      </c>
      <c r="U332">
        <v>0</v>
      </c>
      <c r="V332" t="str">
        <f>IF(CleanedTable[[#This Row],[Returned]] = 0,"NO","Yes")</f>
        <v>NO</v>
      </c>
      <c r="W332" t="s">
        <v>381</v>
      </c>
      <c r="X332" t="s">
        <v>1875</v>
      </c>
      <c r="Y332" s="10">
        <v>13.31</v>
      </c>
      <c r="Z332" s="3">
        <v>45783</v>
      </c>
      <c r="AA332" s="3">
        <v>45787</v>
      </c>
      <c r="AB332" t="s">
        <v>2923</v>
      </c>
      <c r="AC332">
        <v>4</v>
      </c>
    </row>
    <row r="333" spans="1:29" x14ac:dyDescent="0.3">
      <c r="A333" s="3">
        <v>45548</v>
      </c>
      <c r="B333" s="3" t="str">
        <f>TEXT(CleanedTable[[#This Row],[OrderDate]],"mmm")</f>
        <v>Sep</v>
      </c>
      <c r="C333" s="3" t="str">
        <f>TEXT(CleanedTable[[#This Row],[OrderDate]],"yyyy")</f>
        <v>2024</v>
      </c>
      <c r="D333" s="3" t="str">
        <f>TEXT(CleanedTable[[#This Row],[OrderDate]],"mmm yyyy")</f>
        <v>Sep 2024</v>
      </c>
      <c r="E333" t="s">
        <v>19</v>
      </c>
      <c r="F333" t="s">
        <v>28</v>
      </c>
      <c r="G333" s="12">
        <v>2</v>
      </c>
      <c r="H333" s="8">
        <v>375.48</v>
      </c>
      <c r="I333" t="s">
        <v>34</v>
      </c>
      <c r="J333" t="s">
        <v>36</v>
      </c>
      <c r="K333" s="10">
        <v>0.05</v>
      </c>
      <c r="L333" t="s">
        <v>41</v>
      </c>
      <c r="M333">
        <v>713.41200000000003</v>
      </c>
      <c r="N333">
        <v>450.57600000000002</v>
      </c>
      <c r="O333" s="10">
        <v>236.44600000000003</v>
      </c>
      <c r="P333" s="10">
        <v>0.33142980493739943</v>
      </c>
      <c r="Q333" s="8">
        <v>713.41200000000003</v>
      </c>
      <c r="R333" t="s">
        <v>45</v>
      </c>
      <c r="S333" t="s">
        <v>48</v>
      </c>
      <c r="T333" t="s">
        <v>2931</v>
      </c>
      <c r="U333">
        <v>0</v>
      </c>
      <c r="V333" t="str">
        <f>IF(CleanedTable[[#This Row],[Returned]] = 0,"NO","Yes")</f>
        <v>NO</v>
      </c>
      <c r="W333" t="s">
        <v>382</v>
      </c>
      <c r="X333" t="s">
        <v>1876</v>
      </c>
      <c r="Y333" s="10">
        <v>26.39</v>
      </c>
      <c r="Z333" s="3">
        <v>45548</v>
      </c>
      <c r="AA333" s="3">
        <v>45550</v>
      </c>
      <c r="AB333" t="s">
        <v>2922</v>
      </c>
      <c r="AC333">
        <v>2</v>
      </c>
    </row>
    <row r="334" spans="1:29" x14ac:dyDescent="0.3">
      <c r="A334" s="3">
        <v>45071</v>
      </c>
      <c r="B334" s="3" t="str">
        <f>TEXT(CleanedTable[[#This Row],[OrderDate]],"mmm")</f>
        <v>May</v>
      </c>
      <c r="C334" s="3" t="str">
        <f>TEXT(CleanedTable[[#This Row],[OrderDate]],"yyyy")</f>
        <v>2023</v>
      </c>
      <c r="D334" s="3" t="str">
        <f>TEXT(CleanedTable[[#This Row],[OrderDate]],"mmm yyyy")</f>
        <v>May 2023</v>
      </c>
      <c r="E334" t="s">
        <v>19</v>
      </c>
      <c r="F334" t="s">
        <v>30</v>
      </c>
      <c r="G334" s="12">
        <v>13</v>
      </c>
      <c r="H334" s="8">
        <v>211.06</v>
      </c>
      <c r="I334" t="s">
        <v>31</v>
      </c>
      <c r="J334" t="s">
        <v>36</v>
      </c>
      <c r="K334" s="10">
        <v>0.1</v>
      </c>
      <c r="L334" t="s">
        <v>42</v>
      </c>
      <c r="M334">
        <v>2469.402</v>
      </c>
      <c r="N334">
        <v>1646.268</v>
      </c>
      <c r="O334" s="10">
        <v>803.55399999999997</v>
      </c>
      <c r="P334" s="10">
        <v>0.32540428816369305</v>
      </c>
      <c r="Q334" s="8">
        <v>2469.402</v>
      </c>
      <c r="R334" t="s">
        <v>44</v>
      </c>
      <c r="T334" t="s">
        <v>2932</v>
      </c>
      <c r="U334">
        <v>1</v>
      </c>
      <c r="V334" t="str">
        <f>IF(CleanedTable[[#This Row],[Returned]] = 0,"NO","Yes")</f>
        <v>Yes</v>
      </c>
      <c r="W334" t="s">
        <v>383</v>
      </c>
      <c r="X334" t="s">
        <v>1877</v>
      </c>
      <c r="Y334" s="10">
        <v>19.579999999999998</v>
      </c>
      <c r="Z334" s="3">
        <v>45071</v>
      </c>
      <c r="AA334" s="3">
        <v>45075</v>
      </c>
      <c r="AB334" t="s">
        <v>2922</v>
      </c>
      <c r="AC334">
        <v>4</v>
      </c>
    </row>
    <row r="335" spans="1:29" x14ac:dyDescent="0.3">
      <c r="A335" s="3">
        <v>45561</v>
      </c>
      <c r="B335" s="3" t="str">
        <f>TEXT(CleanedTable[[#This Row],[OrderDate]],"mmm")</f>
        <v>Sep</v>
      </c>
      <c r="C335" s="3" t="str">
        <f>TEXT(CleanedTable[[#This Row],[OrderDate]],"yyyy")</f>
        <v>2024</v>
      </c>
      <c r="D335" s="3" t="str">
        <f>TEXT(CleanedTable[[#This Row],[OrderDate]],"mmm yyyy")</f>
        <v>Sep 2024</v>
      </c>
      <c r="E335" t="s">
        <v>20</v>
      </c>
      <c r="F335" t="s">
        <v>29</v>
      </c>
      <c r="G335" s="12">
        <v>7</v>
      </c>
      <c r="H335" s="8">
        <v>88.87</v>
      </c>
      <c r="I335" t="s">
        <v>33</v>
      </c>
      <c r="J335" t="s">
        <v>36</v>
      </c>
      <c r="K335" s="10">
        <v>0</v>
      </c>
      <c r="L335" t="s">
        <v>38</v>
      </c>
      <c r="M335">
        <v>622.09</v>
      </c>
      <c r="N335">
        <v>373.25400000000002</v>
      </c>
      <c r="O335" s="10">
        <v>240.476</v>
      </c>
      <c r="P335" s="10">
        <v>0.38656143001816456</v>
      </c>
      <c r="Q335" s="8">
        <v>622.09</v>
      </c>
      <c r="R335" t="s">
        <v>43</v>
      </c>
      <c r="S335" t="s">
        <v>49</v>
      </c>
      <c r="T335" t="s">
        <v>2931</v>
      </c>
      <c r="U335">
        <v>0</v>
      </c>
      <c r="V335" t="str">
        <f>IF(CleanedTable[[#This Row],[Returned]] = 0,"NO","Yes")</f>
        <v>NO</v>
      </c>
      <c r="W335" t="s">
        <v>384</v>
      </c>
      <c r="X335" t="s">
        <v>1878</v>
      </c>
      <c r="Y335" s="10">
        <v>8.36</v>
      </c>
      <c r="Z335" s="3">
        <v>45561</v>
      </c>
      <c r="AA335" s="3">
        <v>45566</v>
      </c>
      <c r="AB335" t="s">
        <v>2923</v>
      </c>
      <c r="AC335">
        <v>5</v>
      </c>
    </row>
    <row r="336" spans="1:29" x14ac:dyDescent="0.3">
      <c r="A336" s="3">
        <v>44970</v>
      </c>
      <c r="B336" s="3" t="str">
        <f>TEXT(CleanedTable[[#This Row],[OrderDate]],"mmm")</f>
        <v>Feb</v>
      </c>
      <c r="C336" s="3" t="str">
        <f>TEXT(CleanedTable[[#This Row],[OrderDate]],"yyyy")</f>
        <v>2023</v>
      </c>
      <c r="D336" s="3" t="str">
        <f>TEXT(CleanedTable[[#This Row],[OrderDate]],"mmm yyyy")</f>
        <v>Feb 2023</v>
      </c>
      <c r="E336" t="s">
        <v>20</v>
      </c>
      <c r="F336" t="s">
        <v>25</v>
      </c>
      <c r="G336" s="12">
        <v>5</v>
      </c>
      <c r="H336" s="8">
        <v>254.24</v>
      </c>
      <c r="I336" t="s">
        <v>31</v>
      </c>
      <c r="J336" t="s">
        <v>35</v>
      </c>
      <c r="K336" s="10">
        <v>0.05</v>
      </c>
      <c r="L336" t="s">
        <v>42</v>
      </c>
      <c r="M336">
        <v>1207.6400000000001</v>
      </c>
      <c r="N336">
        <v>762.72</v>
      </c>
      <c r="O336" s="10">
        <v>434.95000000000005</v>
      </c>
      <c r="P336" s="10">
        <v>0.36016528104401974</v>
      </c>
      <c r="Q336" s="8">
        <v>1207.6400000000001</v>
      </c>
      <c r="R336" t="s">
        <v>43</v>
      </c>
      <c r="T336" t="s">
        <v>2932</v>
      </c>
      <c r="U336">
        <v>0</v>
      </c>
      <c r="V336" t="str">
        <f>IF(CleanedTable[[#This Row],[Returned]] = 0,"NO","Yes")</f>
        <v>NO</v>
      </c>
      <c r="W336" t="s">
        <v>385</v>
      </c>
      <c r="X336" t="s">
        <v>1879</v>
      </c>
      <c r="Y336" s="10">
        <v>9.9700000000000006</v>
      </c>
      <c r="Z336" s="3">
        <v>44970</v>
      </c>
      <c r="AA336" s="3">
        <v>44975</v>
      </c>
      <c r="AB336" t="s">
        <v>2923</v>
      </c>
      <c r="AC336">
        <v>5</v>
      </c>
    </row>
    <row r="337" spans="1:29" x14ac:dyDescent="0.3">
      <c r="A337" s="3">
        <v>45463</v>
      </c>
      <c r="B337" s="3" t="str">
        <f>TEXT(CleanedTable[[#This Row],[OrderDate]],"mmm")</f>
        <v>Jun</v>
      </c>
      <c r="C337" s="3" t="str">
        <f>TEXT(CleanedTable[[#This Row],[OrderDate]],"yyyy")</f>
        <v>2024</v>
      </c>
      <c r="D337" s="3" t="str">
        <f>TEXT(CleanedTable[[#This Row],[OrderDate]],"mmm yyyy")</f>
        <v>Jun 2024</v>
      </c>
      <c r="E337" t="s">
        <v>22</v>
      </c>
      <c r="F337" t="s">
        <v>27</v>
      </c>
      <c r="G337" s="12">
        <v>5</v>
      </c>
      <c r="H337" s="8">
        <v>432.35</v>
      </c>
      <c r="I337" t="s">
        <v>33</v>
      </c>
      <c r="J337" t="s">
        <v>35</v>
      </c>
      <c r="K337" s="10">
        <v>0.1</v>
      </c>
      <c r="L337" t="s">
        <v>42</v>
      </c>
      <c r="M337">
        <v>1945.575</v>
      </c>
      <c r="N337">
        <v>1297.0500000000002</v>
      </c>
      <c r="O337" s="10">
        <v>607.04499999999985</v>
      </c>
      <c r="P337" s="10">
        <v>0.31201315806381136</v>
      </c>
      <c r="Q337" s="8">
        <v>1945.575</v>
      </c>
      <c r="R337" t="s">
        <v>44</v>
      </c>
      <c r="T337" t="s">
        <v>2932</v>
      </c>
      <c r="U337">
        <v>1</v>
      </c>
      <c r="V337" t="str">
        <f>IF(CleanedTable[[#This Row],[Returned]] = 0,"NO","Yes")</f>
        <v>Yes</v>
      </c>
      <c r="W337" t="s">
        <v>386</v>
      </c>
      <c r="X337" t="s">
        <v>1880</v>
      </c>
      <c r="Y337" s="10">
        <v>41.48</v>
      </c>
      <c r="Z337" s="3">
        <v>45463</v>
      </c>
      <c r="AA337" s="3">
        <v>45470</v>
      </c>
      <c r="AB337" t="s">
        <v>2925</v>
      </c>
      <c r="AC337">
        <v>7</v>
      </c>
    </row>
    <row r="338" spans="1:29" x14ac:dyDescent="0.3">
      <c r="A338" s="3">
        <v>45373</v>
      </c>
      <c r="B338" s="3" t="str">
        <f>TEXT(CleanedTable[[#This Row],[OrderDate]],"mmm")</f>
        <v>Mar</v>
      </c>
      <c r="C338" s="3" t="str">
        <f>TEXT(CleanedTable[[#This Row],[OrderDate]],"yyyy")</f>
        <v>2024</v>
      </c>
      <c r="D338" s="3" t="str">
        <f>TEXT(CleanedTable[[#This Row],[OrderDate]],"mmm yyyy")</f>
        <v>Mar 2024</v>
      </c>
      <c r="E338" t="s">
        <v>23</v>
      </c>
      <c r="F338" t="s">
        <v>24</v>
      </c>
      <c r="G338" s="12">
        <v>19</v>
      </c>
      <c r="H338" s="8">
        <v>590</v>
      </c>
      <c r="I338" t="s">
        <v>34</v>
      </c>
      <c r="J338" t="s">
        <v>36</v>
      </c>
      <c r="K338" s="10">
        <v>0.05</v>
      </c>
      <c r="L338" t="s">
        <v>38</v>
      </c>
      <c r="M338">
        <v>10649.5</v>
      </c>
      <c r="N338">
        <v>6726</v>
      </c>
      <c r="O338" s="10">
        <v>3917.59</v>
      </c>
      <c r="P338" s="10">
        <v>0.36786609699985917</v>
      </c>
      <c r="Q338" s="8">
        <v>10649.5</v>
      </c>
      <c r="R338" t="s">
        <v>43</v>
      </c>
      <c r="S338" t="s">
        <v>48</v>
      </c>
      <c r="T338" t="s">
        <v>2931</v>
      </c>
      <c r="U338">
        <v>0</v>
      </c>
      <c r="V338" t="str">
        <f>IF(CleanedTable[[#This Row],[Returned]] = 0,"NO","Yes")</f>
        <v>NO</v>
      </c>
      <c r="W338" t="s">
        <v>387</v>
      </c>
      <c r="X338" t="s">
        <v>1881</v>
      </c>
      <c r="Y338" s="10">
        <v>5.91</v>
      </c>
      <c r="Z338" s="3">
        <v>45373</v>
      </c>
      <c r="AA338" s="3">
        <v>45376</v>
      </c>
      <c r="AB338" t="s">
        <v>2926</v>
      </c>
      <c r="AC338">
        <v>3</v>
      </c>
    </row>
    <row r="339" spans="1:29" x14ac:dyDescent="0.3">
      <c r="A339" s="3">
        <v>45330</v>
      </c>
      <c r="B339" s="3" t="str">
        <f>TEXT(CleanedTable[[#This Row],[OrderDate]],"mmm")</f>
        <v>Feb</v>
      </c>
      <c r="C339" s="3" t="str">
        <f>TEXT(CleanedTable[[#This Row],[OrderDate]],"yyyy")</f>
        <v>2024</v>
      </c>
      <c r="D339" s="3" t="str">
        <f>TEXT(CleanedTable[[#This Row],[OrderDate]],"mmm yyyy")</f>
        <v>Feb 2024</v>
      </c>
      <c r="E339" t="s">
        <v>23</v>
      </c>
      <c r="F339" t="s">
        <v>28</v>
      </c>
      <c r="G339" s="12">
        <v>11</v>
      </c>
      <c r="H339" s="8">
        <v>151.25</v>
      </c>
      <c r="I339" t="s">
        <v>31</v>
      </c>
      <c r="J339" t="s">
        <v>35</v>
      </c>
      <c r="K339" s="10">
        <v>0.1</v>
      </c>
      <c r="L339" t="s">
        <v>39</v>
      </c>
      <c r="M339">
        <v>1497.375</v>
      </c>
      <c r="N339">
        <v>998.25</v>
      </c>
      <c r="O339" s="10">
        <v>476.47500000000002</v>
      </c>
      <c r="P339" s="10">
        <v>0.31820686200851489</v>
      </c>
      <c r="Q339" s="8">
        <v>1497.375</v>
      </c>
      <c r="R339" t="s">
        <v>45</v>
      </c>
      <c r="T339" t="s">
        <v>2932</v>
      </c>
      <c r="U339">
        <v>1</v>
      </c>
      <c r="V339" t="str">
        <f>IF(CleanedTable[[#This Row],[Returned]] = 0,"NO","Yes")</f>
        <v>Yes</v>
      </c>
      <c r="W339" t="s">
        <v>388</v>
      </c>
      <c r="X339" t="s">
        <v>1882</v>
      </c>
      <c r="Y339" s="10">
        <v>22.65</v>
      </c>
      <c r="Z339" s="3">
        <v>45330</v>
      </c>
      <c r="AA339" s="3">
        <v>45333</v>
      </c>
      <c r="AB339" t="s">
        <v>2926</v>
      </c>
      <c r="AC339">
        <v>3</v>
      </c>
    </row>
    <row r="340" spans="1:29" x14ac:dyDescent="0.3">
      <c r="A340" s="3">
        <v>45444</v>
      </c>
      <c r="B340" s="3" t="str">
        <f>TEXT(CleanedTable[[#This Row],[OrderDate]],"mmm")</f>
        <v>Jun</v>
      </c>
      <c r="C340" s="3" t="str">
        <f>TEXT(CleanedTable[[#This Row],[OrderDate]],"yyyy")</f>
        <v>2024</v>
      </c>
      <c r="D340" s="3" t="str">
        <f>TEXT(CleanedTable[[#This Row],[OrderDate]],"mmm yyyy")</f>
        <v>Jun 2024</v>
      </c>
      <c r="E340" t="s">
        <v>19</v>
      </c>
      <c r="F340" t="s">
        <v>26</v>
      </c>
      <c r="G340" s="12">
        <v>3</v>
      </c>
      <c r="H340" s="8">
        <v>204.79</v>
      </c>
      <c r="I340" t="s">
        <v>31</v>
      </c>
      <c r="J340" t="s">
        <v>36</v>
      </c>
      <c r="K340" s="10">
        <v>0.1</v>
      </c>
      <c r="L340" t="s">
        <v>39</v>
      </c>
      <c r="M340">
        <v>552.93299999999999</v>
      </c>
      <c r="N340">
        <v>368.62199999999996</v>
      </c>
      <c r="O340" s="10">
        <v>176.59100000000004</v>
      </c>
      <c r="P340" s="10">
        <v>0.31937142474766389</v>
      </c>
      <c r="Q340" s="8">
        <v>552.93299999999999</v>
      </c>
      <c r="R340" t="s">
        <v>43</v>
      </c>
      <c r="S340" t="s">
        <v>48</v>
      </c>
      <c r="T340" t="s">
        <v>2931</v>
      </c>
      <c r="U340">
        <v>1</v>
      </c>
      <c r="V340" t="str">
        <f>IF(CleanedTable[[#This Row],[Returned]] = 0,"NO","Yes")</f>
        <v>Yes</v>
      </c>
      <c r="W340" t="s">
        <v>389</v>
      </c>
      <c r="X340" t="s">
        <v>1883</v>
      </c>
      <c r="Y340" s="10">
        <v>7.72</v>
      </c>
      <c r="Z340" s="3">
        <v>45444</v>
      </c>
      <c r="AA340" s="3">
        <v>45447</v>
      </c>
      <c r="AB340" t="s">
        <v>2922</v>
      </c>
      <c r="AC340">
        <v>3</v>
      </c>
    </row>
    <row r="341" spans="1:29" x14ac:dyDescent="0.3">
      <c r="A341" s="3">
        <v>45438</v>
      </c>
      <c r="B341" s="3" t="str">
        <f>TEXT(CleanedTable[[#This Row],[OrderDate]],"mmm")</f>
        <v>May</v>
      </c>
      <c r="C341" s="3" t="str">
        <f>TEXT(CleanedTable[[#This Row],[OrderDate]],"yyyy")</f>
        <v>2024</v>
      </c>
      <c r="D341" s="3" t="str">
        <f>TEXT(CleanedTable[[#This Row],[OrderDate]],"mmm yyyy")</f>
        <v>May 2024</v>
      </c>
      <c r="E341" t="s">
        <v>21</v>
      </c>
      <c r="F341" t="s">
        <v>24</v>
      </c>
      <c r="G341" s="12">
        <v>16</v>
      </c>
      <c r="H341" s="8">
        <v>586.52</v>
      </c>
      <c r="I341" t="s">
        <v>33</v>
      </c>
      <c r="J341" t="s">
        <v>35</v>
      </c>
      <c r="K341" s="10">
        <v>0</v>
      </c>
      <c r="L341" t="s">
        <v>41</v>
      </c>
      <c r="M341">
        <v>9384.32</v>
      </c>
      <c r="N341">
        <v>5630.5919999999996</v>
      </c>
      <c r="O341" s="10">
        <v>3736.6680000000001</v>
      </c>
      <c r="P341" s="10">
        <v>0.39818207392757282</v>
      </c>
      <c r="Q341" s="8">
        <v>9384.32</v>
      </c>
      <c r="R341" t="s">
        <v>45</v>
      </c>
      <c r="S341" t="s">
        <v>50</v>
      </c>
      <c r="T341" t="s">
        <v>2931</v>
      </c>
      <c r="U341">
        <v>1</v>
      </c>
      <c r="V341" t="str">
        <f>IF(CleanedTable[[#This Row],[Returned]] = 0,"NO","Yes")</f>
        <v>Yes</v>
      </c>
      <c r="W341" t="s">
        <v>390</v>
      </c>
      <c r="X341" t="s">
        <v>1884</v>
      </c>
      <c r="Y341" s="10">
        <v>17.059999999999999</v>
      </c>
      <c r="Z341" s="3">
        <v>45438</v>
      </c>
      <c r="AA341" s="3">
        <v>45444</v>
      </c>
      <c r="AB341" t="s">
        <v>2924</v>
      </c>
      <c r="AC341">
        <v>6</v>
      </c>
    </row>
    <row r="342" spans="1:29" x14ac:dyDescent="0.3">
      <c r="A342" s="3">
        <v>45468</v>
      </c>
      <c r="B342" s="3" t="str">
        <f>TEXT(CleanedTable[[#This Row],[OrderDate]],"mmm")</f>
        <v>Jun</v>
      </c>
      <c r="C342" s="3" t="str">
        <f>TEXT(CleanedTable[[#This Row],[OrderDate]],"yyyy")</f>
        <v>2024</v>
      </c>
      <c r="D342" s="3" t="str">
        <f>TEXT(CleanedTable[[#This Row],[OrderDate]],"mmm yyyy")</f>
        <v>Jun 2024</v>
      </c>
      <c r="E342" t="s">
        <v>19</v>
      </c>
      <c r="F342" t="s">
        <v>30</v>
      </c>
      <c r="G342" s="12">
        <v>16</v>
      </c>
      <c r="H342" s="8">
        <v>104.83</v>
      </c>
      <c r="I342" t="s">
        <v>32</v>
      </c>
      <c r="J342" t="s">
        <v>35</v>
      </c>
      <c r="K342" s="10">
        <v>0</v>
      </c>
      <c r="L342" t="s">
        <v>40</v>
      </c>
      <c r="M342">
        <v>1677.28</v>
      </c>
      <c r="N342">
        <v>1006.3679999999999</v>
      </c>
      <c r="O342" s="10">
        <v>636.92200000000003</v>
      </c>
      <c r="P342" s="10">
        <v>0.37973504721930745</v>
      </c>
      <c r="Q342" s="8">
        <v>1677.28</v>
      </c>
      <c r="R342" t="s">
        <v>44</v>
      </c>
      <c r="S342" t="s">
        <v>48</v>
      </c>
      <c r="T342" t="s">
        <v>2931</v>
      </c>
      <c r="U342">
        <v>0</v>
      </c>
      <c r="V342" t="str">
        <f>IF(CleanedTable[[#This Row],[Returned]] = 0,"NO","Yes")</f>
        <v>NO</v>
      </c>
      <c r="W342" t="s">
        <v>391</v>
      </c>
      <c r="X342" t="s">
        <v>1812</v>
      </c>
      <c r="Y342" s="10">
        <v>33.99</v>
      </c>
      <c r="Z342" s="3">
        <v>45468</v>
      </c>
      <c r="AA342" s="3">
        <v>45473</v>
      </c>
      <c r="AB342" t="s">
        <v>2922</v>
      </c>
      <c r="AC342">
        <v>5</v>
      </c>
    </row>
    <row r="343" spans="1:29" x14ac:dyDescent="0.3">
      <c r="A343" s="3">
        <v>45320</v>
      </c>
      <c r="B343" s="3" t="str">
        <f>TEXT(CleanedTable[[#This Row],[OrderDate]],"mmm")</f>
        <v>Jan</v>
      </c>
      <c r="C343" s="3" t="str">
        <f>TEXT(CleanedTable[[#This Row],[OrderDate]],"yyyy")</f>
        <v>2024</v>
      </c>
      <c r="D343" s="3" t="str">
        <f>TEXT(CleanedTable[[#This Row],[OrderDate]],"mmm yyyy")</f>
        <v>Jan 2024</v>
      </c>
      <c r="E343" t="s">
        <v>22</v>
      </c>
      <c r="F343" t="s">
        <v>30</v>
      </c>
      <c r="G343" s="12">
        <v>16</v>
      </c>
      <c r="H343" s="8">
        <v>598.48</v>
      </c>
      <c r="I343" t="s">
        <v>32</v>
      </c>
      <c r="J343" t="s">
        <v>36</v>
      </c>
      <c r="K343" s="10">
        <v>0.1</v>
      </c>
      <c r="L343" t="s">
        <v>39</v>
      </c>
      <c r="M343">
        <v>8618.112000000001</v>
      </c>
      <c r="N343">
        <v>5745.4080000000004</v>
      </c>
      <c r="O343" s="10">
        <v>2824.8440000000005</v>
      </c>
      <c r="P343" s="10">
        <v>0.32777991281617136</v>
      </c>
      <c r="Q343" s="8">
        <v>8618.112000000001</v>
      </c>
      <c r="R343" t="s">
        <v>47</v>
      </c>
      <c r="T343" t="s">
        <v>2932</v>
      </c>
      <c r="U343">
        <v>0</v>
      </c>
      <c r="V343" t="str">
        <f>IF(CleanedTable[[#This Row],[Returned]] = 0,"NO","Yes")</f>
        <v>NO</v>
      </c>
      <c r="W343" t="s">
        <v>392</v>
      </c>
      <c r="X343" t="s">
        <v>1885</v>
      </c>
      <c r="Y343" s="10">
        <v>47.86</v>
      </c>
      <c r="Z343" s="3">
        <v>45320</v>
      </c>
      <c r="AA343" s="3">
        <v>45329</v>
      </c>
      <c r="AB343" t="s">
        <v>2925</v>
      </c>
      <c r="AC343">
        <v>9</v>
      </c>
    </row>
    <row r="344" spans="1:29" x14ac:dyDescent="0.3">
      <c r="A344" s="3">
        <v>45633</v>
      </c>
      <c r="B344" s="3" t="str">
        <f>TEXT(CleanedTable[[#This Row],[OrderDate]],"mmm")</f>
        <v>Dec</v>
      </c>
      <c r="C344" s="3" t="str">
        <f>TEXT(CleanedTable[[#This Row],[OrderDate]],"yyyy")</f>
        <v>2024</v>
      </c>
      <c r="D344" s="3" t="str">
        <f>TEXT(CleanedTable[[#This Row],[OrderDate]],"mmm yyyy")</f>
        <v>Dec 2024</v>
      </c>
      <c r="E344" t="s">
        <v>20</v>
      </c>
      <c r="F344" t="s">
        <v>27</v>
      </c>
      <c r="G344" s="12">
        <v>8</v>
      </c>
      <c r="H344" s="8">
        <v>367.89</v>
      </c>
      <c r="I344" t="s">
        <v>31</v>
      </c>
      <c r="J344" t="s">
        <v>36</v>
      </c>
      <c r="K344" s="10">
        <v>0.05</v>
      </c>
      <c r="L344" t="s">
        <v>38</v>
      </c>
      <c r="M344">
        <v>2795.9639999999999</v>
      </c>
      <c r="N344">
        <v>1765.8719999999998</v>
      </c>
      <c r="O344" s="10">
        <v>1011.9920000000001</v>
      </c>
      <c r="P344" s="10">
        <v>0.36194743566083115</v>
      </c>
      <c r="Q344" s="8">
        <v>2795.9639999999999</v>
      </c>
      <c r="R344" t="s">
        <v>47</v>
      </c>
      <c r="S344" t="s">
        <v>48</v>
      </c>
      <c r="T344" t="s">
        <v>2931</v>
      </c>
      <c r="U344">
        <v>0</v>
      </c>
      <c r="V344" t="str">
        <f>IF(CleanedTable[[#This Row],[Returned]] = 0,"NO","Yes")</f>
        <v>NO</v>
      </c>
      <c r="W344" t="s">
        <v>393</v>
      </c>
      <c r="X344" t="s">
        <v>1886</v>
      </c>
      <c r="Y344" s="10">
        <v>18.100000000000001</v>
      </c>
      <c r="Z344" s="3">
        <v>45633</v>
      </c>
      <c r="AA344" s="3">
        <v>45635</v>
      </c>
      <c r="AB344" t="s">
        <v>2923</v>
      </c>
      <c r="AC344">
        <v>2</v>
      </c>
    </row>
    <row r="345" spans="1:29" x14ac:dyDescent="0.3">
      <c r="A345" s="3">
        <v>45251</v>
      </c>
      <c r="B345" s="3" t="str">
        <f>TEXT(CleanedTable[[#This Row],[OrderDate]],"mmm")</f>
        <v>Nov</v>
      </c>
      <c r="C345" s="3" t="str">
        <f>TEXT(CleanedTable[[#This Row],[OrderDate]],"yyyy")</f>
        <v>2023</v>
      </c>
      <c r="D345" s="3" t="str">
        <f>TEXT(CleanedTable[[#This Row],[OrderDate]],"mmm yyyy")</f>
        <v>Nov 2023</v>
      </c>
      <c r="E345" t="s">
        <v>23</v>
      </c>
      <c r="F345" t="s">
        <v>27</v>
      </c>
      <c r="G345" s="12">
        <v>10</v>
      </c>
      <c r="H345" s="8">
        <v>333.35</v>
      </c>
      <c r="I345" t="s">
        <v>32</v>
      </c>
      <c r="J345" t="s">
        <v>36</v>
      </c>
      <c r="K345" s="10">
        <v>0.15</v>
      </c>
      <c r="L345" t="s">
        <v>38</v>
      </c>
      <c r="M345">
        <v>2833.4749999999999</v>
      </c>
      <c r="N345">
        <v>2000.1000000000001</v>
      </c>
      <c r="O345" s="10">
        <v>794.02499999999975</v>
      </c>
      <c r="P345" s="10">
        <v>0.28023010614175164</v>
      </c>
      <c r="Q345" s="8">
        <v>2833.4749999999999</v>
      </c>
      <c r="R345" t="s">
        <v>46</v>
      </c>
      <c r="S345" t="s">
        <v>48</v>
      </c>
      <c r="T345" t="s">
        <v>2931</v>
      </c>
      <c r="U345">
        <v>0</v>
      </c>
      <c r="V345" t="str">
        <f>IF(CleanedTable[[#This Row],[Returned]] = 0,"NO","Yes")</f>
        <v>NO</v>
      </c>
      <c r="W345" t="s">
        <v>394</v>
      </c>
      <c r="X345" t="s">
        <v>1887</v>
      </c>
      <c r="Y345" s="10">
        <v>39.35</v>
      </c>
      <c r="Z345" s="3">
        <v>45251</v>
      </c>
      <c r="AA345" s="3">
        <v>45256</v>
      </c>
      <c r="AB345" t="s">
        <v>2926</v>
      </c>
      <c r="AC345">
        <v>5</v>
      </c>
    </row>
    <row r="346" spans="1:29" x14ac:dyDescent="0.3">
      <c r="A346" s="3">
        <v>45642</v>
      </c>
      <c r="B346" s="3" t="str">
        <f>TEXT(CleanedTable[[#This Row],[OrderDate]],"mmm")</f>
        <v>Dec</v>
      </c>
      <c r="C346" s="3" t="str">
        <f>TEXT(CleanedTable[[#This Row],[OrderDate]],"yyyy")</f>
        <v>2024</v>
      </c>
      <c r="D346" s="3" t="str">
        <f>TEXT(CleanedTable[[#This Row],[OrderDate]],"mmm yyyy")</f>
        <v>Dec 2024</v>
      </c>
      <c r="E346" t="s">
        <v>21</v>
      </c>
      <c r="F346" t="s">
        <v>27</v>
      </c>
      <c r="G346" s="12">
        <v>8</v>
      </c>
      <c r="H346" s="8">
        <v>378.88</v>
      </c>
      <c r="I346" t="s">
        <v>32</v>
      </c>
      <c r="J346" t="s">
        <v>35</v>
      </c>
      <c r="K346" s="10">
        <v>0.1</v>
      </c>
      <c r="L346" t="s">
        <v>39</v>
      </c>
      <c r="M346">
        <v>2727.9360000000001</v>
      </c>
      <c r="N346">
        <v>1818.624</v>
      </c>
      <c r="O346" s="10">
        <v>904.0920000000001</v>
      </c>
      <c r="P346" s="10">
        <v>0.33141979870495497</v>
      </c>
      <c r="Q346" s="8">
        <v>2727.9360000000001</v>
      </c>
      <c r="R346" t="s">
        <v>46</v>
      </c>
      <c r="S346" t="s">
        <v>50</v>
      </c>
      <c r="T346" t="s">
        <v>2931</v>
      </c>
      <c r="U346">
        <v>1</v>
      </c>
      <c r="V346" t="str">
        <f>IF(CleanedTable[[#This Row],[Returned]] = 0,"NO","Yes")</f>
        <v>Yes</v>
      </c>
      <c r="W346" t="s">
        <v>395</v>
      </c>
      <c r="X346" t="s">
        <v>1888</v>
      </c>
      <c r="Y346" s="10">
        <v>5.22</v>
      </c>
      <c r="Z346" s="3">
        <v>45642</v>
      </c>
      <c r="AA346" s="3">
        <v>45650</v>
      </c>
      <c r="AB346" t="s">
        <v>2924</v>
      </c>
      <c r="AC346">
        <v>8</v>
      </c>
    </row>
    <row r="347" spans="1:29" x14ac:dyDescent="0.3">
      <c r="A347" s="3">
        <v>45143</v>
      </c>
      <c r="B347" s="3" t="str">
        <f>TEXT(CleanedTable[[#This Row],[OrderDate]],"mmm")</f>
        <v>Aug</v>
      </c>
      <c r="C347" s="3" t="str">
        <f>TEXT(CleanedTable[[#This Row],[OrderDate]],"yyyy")</f>
        <v>2023</v>
      </c>
      <c r="D347" s="3" t="str">
        <f>TEXT(CleanedTable[[#This Row],[OrderDate]],"mmm yyyy")</f>
        <v>Aug 2023</v>
      </c>
      <c r="E347" t="s">
        <v>22</v>
      </c>
      <c r="F347" t="s">
        <v>28</v>
      </c>
      <c r="G347" s="12">
        <v>12</v>
      </c>
      <c r="H347" s="8">
        <v>169.2</v>
      </c>
      <c r="I347" t="s">
        <v>33</v>
      </c>
      <c r="J347" t="s">
        <v>36</v>
      </c>
      <c r="K347" s="10">
        <v>0.05</v>
      </c>
      <c r="L347" t="s">
        <v>41</v>
      </c>
      <c r="M347">
        <v>1928.8799999999999</v>
      </c>
      <c r="N347">
        <v>1218.24</v>
      </c>
      <c r="O347" s="10">
        <v>681.9899999999999</v>
      </c>
      <c r="P347" s="10">
        <v>0.35356787358467084</v>
      </c>
      <c r="Q347" s="8">
        <v>1928.88</v>
      </c>
      <c r="R347" t="s">
        <v>44</v>
      </c>
      <c r="S347" t="s">
        <v>49</v>
      </c>
      <c r="T347" t="s">
        <v>2931</v>
      </c>
      <c r="U347">
        <v>0</v>
      </c>
      <c r="V347" t="str">
        <f>IF(CleanedTable[[#This Row],[Returned]] = 0,"NO","Yes")</f>
        <v>NO</v>
      </c>
      <c r="W347" t="s">
        <v>396</v>
      </c>
      <c r="X347" t="s">
        <v>1889</v>
      </c>
      <c r="Y347" s="10">
        <v>28.65</v>
      </c>
      <c r="Z347" s="3">
        <v>45143</v>
      </c>
      <c r="AA347" s="3">
        <v>45153</v>
      </c>
      <c r="AB347" t="s">
        <v>2925</v>
      </c>
      <c r="AC347">
        <v>10</v>
      </c>
    </row>
    <row r="348" spans="1:29" x14ac:dyDescent="0.3">
      <c r="A348" s="3">
        <v>45168</v>
      </c>
      <c r="B348" s="3" t="str">
        <f>TEXT(CleanedTable[[#This Row],[OrderDate]],"mmm")</f>
        <v>Aug</v>
      </c>
      <c r="C348" s="3" t="str">
        <f>TEXT(CleanedTable[[#This Row],[OrderDate]],"yyyy")</f>
        <v>2023</v>
      </c>
      <c r="D348" s="3" t="str">
        <f>TEXT(CleanedTable[[#This Row],[OrderDate]],"mmm yyyy")</f>
        <v>Aug 2023</v>
      </c>
      <c r="E348" t="s">
        <v>22</v>
      </c>
      <c r="F348" t="s">
        <v>27</v>
      </c>
      <c r="G348" s="12">
        <v>7</v>
      </c>
      <c r="H348" s="8">
        <v>103.03</v>
      </c>
      <c r="I348" t="s">
        <v>34</v>
      </c>
      <c r="J348" t="s">
        <v>36</v>
      </c>
      <c r="K348" s="10">
        <v>0.1</v>
      </c>
      <c r="L348" t="s">
        <v>42</v>
      </c>
      <c r="M348">
        <v>649.08900000000006</v>
      </c>
      <c r="N348">
        <v>432.726</v>
      </c>
      <c r="O348" s="10">
        <v>211.07300000000006</v>
      </c>
      <c r="P348" s="10">
        <v>0.32518344941910898</v>
      </c>
      <c r="Q348" s="8">
        <v>649.08900000000006</v>
      </c>
      <c r="R348" t="s">
        <v>43</v>
      </c>
      <c r="S348" t="s">
        <v>48</v>
      </c>
      <c r="T348" t="s">
        <v>2931</v>
      </c>
      <c r="U348">
        <v>1</v>
      </c>
      <c r="V348" t="str">
        <f>IF(CleanedTable[[#This Row],[Returned]] = 0,"NO","Yes")</f>
        <v>Yes</v>
      </c>
      <c r="W348" t="s">
        <v>397</v>
      </c>
      <c r="X348" t="s">
        <v>1890</v>
      </c>
      <c r="Y348" s="10">
        <v>5.29</v>
      </c>
      <c r="Z348" s="3">
        <v>45168</v>
      </c>
      <c r="AA348" s="3">
        <v>45175</v>
      </c>
      <c r="AB348" t="s">
        <v>2925</v>
      </c>
      <c r="AC348">
        <v>7</v>
      </c>
    </row>
    <row r="349" spans="1:29" x14ac:dyDescent="0.3">
      <c r="A349" s="3">
        <v>45741</v>
      </c>
      <c r="B349" s="3" t="str">
        <f>TEXT(CleanedTable[[#This Row],[OrderDate]],"mmm")</f>
        <v>Mar</v>
      </c>
      <c r="C349" s="3" t="str">
        <f>TEXT(CleanedTable[[#This Row],[OrderDate]],"yyyy")</f>
        <v>2025</v>
      </c>
      <c r="D349" s="3" t="str">
        <f>TEXT(CleanedTable[[#This Row],[OrderDate]],"mmm yyyy")</f>
        <v>Mar 2025</v>
      </c>
      <c r="E349" t="s">
        <v>19</v>
      </c>
      <c r="F349" t="s">
        <v>30</v>
      </c>
      <c r="G349" s="12">
        <v>3</v>
      </c>
      <c r="H349" s="8">
        <v>378.74</v>
      </c>
      <c r="I349" t="s">
        <v>34</v>
      </c>
      <c r="J349" t="s">
        <v>35</v>
      </c>
      <c r="K349" s="10">
        <v>0.15</v>
      </c>
      <c r="L349" t="s">
        <v>39</v>
      </c>
      <c r="M349">
        <v>965.78700000000003</v>
      </c>
      <c r="N349">
        <v>681.73199999999997</v>
      </c>
      <c r="O349" s="10">
        <v>275.83500000000004</v>
      </c>
      <c r="P349" s="10">
        <v>0.28560645359691117</v>
      </c>
      <c r="Q349" s="8">
        <v>965.78700000000003</v>
      </c>
      <c r="R349" t="s">
        <v>43</v>
      </c>
      <c r="S349" t="s">
        <v>49</v>
      </c>
      <c r="T349" t="s">
        <v>2931</v>
      </c>
      <c r="U349">
        <v>0</v>
      </c>
      <c r="V349" t="str">
        <f>IF(CleanedTable[[#This Row],[Returned]] = 0,"NO","Yes")</f>
        <v>NO</v>
      </c>
      <c r="W349" t="s">
        <v>398</v>
      </c>
      <c r="X349" t="s">
        <v>1891</v>
      </c>
      <c r="Y349" s="10">
        <v>8.2200000000000006</v>
      </c>
      <c r="Z349" s="3">
        <v>45741</v>
      </c>
      <c r="AA349" s="3">
        <v>45743</v>
      </c>
      <c r="AB349" t="s">
        <v>2922</v>
      </c>
      <c r="AC349">
        <v>2</v>
      </c>
    </row>
    <row r="350" spans="1:29" x14ac:dyDescent="0.3">
      <c r="A350" s="3">
        <v>45639</v>
      </c>
      <c r="B350" s="3" t="str">
        <f>TEXT(CleanedTable[[#This Row],[OrderDate]],"mmm")</f>
        <v>Dec</v>
      </c>
      <c r="C350" s="3" t="str">
        <f>TEXT(CleanedTable[[#This Row],[OrderDate]],"yyyy")</f>
        <v>2024</v>
      </c>
      <c r="D350" s="3" t="str">
        <f>TEXT(CleanedTable[[#This Row],[OrderDate]],"mmm yyyy")</f>
        <v>Dec 2024</v>
      </c>
      <c r="E350" t="s">
        <v>21</v>
      </c>
      <c r="F350" t="s">
        <v>25</v>
      </c>
      <c r="G350" s="12">
        <v>15</v>
      </c>
      <c r="H350" s="8">
        <v>27.21</v>
      </c>
      <c r="I350" t="s">
        <v>33</v>
      </c>
      <c r="J350" t="s">
        <v>35</v>
      </c>
      <c r="K350" s="10">
        <v>0</v>
      </c>
      <c r="L350" t="s">
        <v>38</v>
      </c>
      <c r="M350">
        <v>408.15000000000003</v>
      </c>
      <c r="N350">
        <v>244.89000000000001</v>
      </c>
      <c r="O350" s="10">
        <v>119.57000000000002</v>
      </c>
      <c r="P350" s="10">
        <v>0.2929560210706848</v>
      </c>
      <c r="Q350" s="8">
        <v>408.15</v>
      </c>
      <c r="R350" t="s">
        <v>43</v>
      </c>
      <c r="S350" t="s">
        <v>50</v>
      </c>
      <c r="T350" t="s">
        <v>2931</v>
      </c>
      <c r="U350">
        <v>0</v>
      </c>
      <c r="V350" t="str">
        <f>IF(CleanedTable[[#This Row],[Returned]] = 0,"NO","Yes")</f>
        <v>NO</v>
      </c>
      <c r="W350" t="s">
        <v>399</v>
      </c>
      <c r="X350" t="s">
        <v>1892</v>
      </c>
      <c r="Y350" s="10">
        <v>43.69</v>
      </c>
      <c r="Z350" s="3">
        <v>45639</v>
      </c>
      <c r="AA350" s="3">
        <v>45648</v>
      </c>
      <c r="AB350" t="s">
        <v>2924</v>
      </c>
      <c r="AC350">
        <v>9</v>
      </c>
    </row>
    <row r="351" spans="1:29" x14ac:dyDescent="0.3">
      <c r="A351" s="3">
        <v>45176</v>
      </c>
      <c r="B351" s="3" t="str">
        <f>TEXT(CleanedTable[[#This Row],[OrderDate]],"mmm")</f>
        <v>Sep</v>
      </c>
      <c r="C351" s="3" t="str">
        <f>TEXT(CleanedTable[[#This Row],[OrderDate]],"yyyy")</f>
        <v>2023</v>
      </c>
      <c r="D351" s="3" t="str">
        <f>TEXT(CleanedTable[[#This Row],[OrderDate]],"mmm yyyy")</f>
        <v>Sep 2023</v>
      </c>
      <c r="E351" t="s">
        <v>22</v>
      </c>
      <c r="F351" t="s">
        <v>25</v>
      </c>
      <c r="G351" s="12">
        <v>14</v>
      </c>
      <c r="H351" s="8">
        <v>52.09</v>
      </c>
      <c r="I351" t="s">
        <v>32</v>
      </c>
      <c r="J351" t="s">
        <v>36</v>
      </c>
      <c r="K351" s="10">
        <v>0</v>
      </c>
      <c r="L351" t="s">
        <v>42</v>
      </c>
      <c r="M351">
        <v>729.26</v>
      </c>
      <c r="N351">
        <v>437.55600000000004</v>
      </c>
      <c r="O351" s="10">
        <v>243.68399999999994</v>
      </c>
      <c r="P351" s="10">
        <v>0.33415242848915333</v>
      </c>
      <c r="Q351" s="8">
        <v>729.26</v>
      </c>
      <c r="R351" t="s">
        <v>44</v>
      </c>
      <c r="T351" t="s">
        <v>2932</v>
      </c>
      <c r="U351">
        <v>1</v>
      </c>
      <c r="V351" t="str">
        <f>IF(CleanedTable[[#This Row],[Returned]] = 0,"NO","Yes")</f>
        <v>Yes</v>
      </c>
      <c r="W351" t="s">
        <v>400</v>
      </c>
      <c r="X351" t="s">
        <v>1893</v>
      </c>
      <c r="Y351" s="10">
        <v>48.02</v>
      </c>
      <c r="Z351" s="3">
        <v>45176</v>
      </c>
      <c r="AA351" s="3">
        <v>45183</v>
      </c>
      <c r="AB351" t="s">
        <v>2925</v>
      </c>
      <c r="AC351">
        <v>7</v>
      </c>
    </row>
    <row r="352" spans="1:29" x14ac:dyDescent="0.3">
      <c r="A352" s="3">
        <v>45272</v>
      </c>
      <c r="B352" s="3" t="str">
        <f>TEXT(CleanedTable[[#This Row],[OrderDate]],"mmm")</f>
        <v>Dec</v>
      </c>
      <c r="C352" s="3" t="str">
        <f>TEXT(CleanedTable[[#This Row],[OrderDate]],"yyyy")</f>
        <v>2023</v>
      </c>
      <c r="D352" s="3" t="str">
        <f>TEXT(CleanedTable[[#This Row],[OrderDate]],"mmm yyyy")</f>
        <v>Dec 2023</v>
      </c>
      <c r="E352" t="s">
        <v>21</v>
      </c>
      <c r="F352" t="s">
        <v>28</v>
      </c>
      <c r="G352" s="12">
        <v>7</v>
      </c>
      <c r="H352" s="8">
        <v>570.01</v>
      </c>
      <c r="I352" t="s">
        <v>33</v>
      </c>
      <c r="J352" t="s">
        <v>35</v>
      </c>
      <c r="K352" s="10">
        <v>0</v>
      </c>
      <c r="L352" t="s">
        <v>40</v>
      </c>
      <c r="M352">
        <v>3990.0699999999997</v>
      </c>
      <c r="N352">
        <v>2394.0419999999999</v>
      </c>
      <c r="O352" s="10">
        <v>1553.6979999999999</v>
      </c>
      <c r="P352" s="10">
        <v>0.38939116356354647</v>
      </c>
      <c r="Q352" s="8">
        <v>3990.07</v>
      </c>
      <c r="R352" t="s">
        <v>45</v>
      </c>
      <c r="S352" t="s">
        <v>50</v>
      </c>
      <c r="T352" t="s">
        <v>2931</v>
      </c>
      <c r="U352">
        <v>0</v>
      </c>
      <c r="V352" t="str">
        <f>IF(CleanedTable[[#This Row],[Returned]] = 0,"NO","Yes")</f>
        <v>NO</v>
      </c>
      <c r="W352" t="s">
        <v>401</v>
      </c>
      <c r="X352" t="s">
        <v>1894</v>
      </c>
      <c r="Y352" s="10">
        <v>42.33</v>
      </c>
      <c r="Z352" s="3">
        <v>45272</v>
      </c>
      <c r="AA352" s="3">
        <v>45281</v>
      </c>
      <c r="AB352" t="s">
        <v>2924</v>
      </c>
      <c r="AC352">
        <v>9</v>
      </c>
    </row>
    <row r="353" spans="1:29" x14ac:dyDescent="0.3">
      <c r="A353" s="3">
        <v>45407</v>
      </c>
      <c r="B353" s="3" t="str">
        <f>TEXT(CleanedTable[[#This Row],[OrderDate]],"mmm")</f>
        <v>Apr</v>
      </c>
      <c r="C353" s="3" t="str">
        <f>TEXT(CleanedTable[[#This Row],[OrderDate]],"yyyy")</f>
        <v>2024</v>
      </c>
      <c r="D353" s="3" t="str">
        <f>TEXT(CleanedTable[[#This Row],[OrderDate]],"mmm yyyy")</f>
        <v>Apr 2024</v>
      </c>
      <c r="E353" t="s">
        <v>19</v>
      </c>
      <c r="F353" t="s">
        <v>28</v>
      </c>
      <c r="G353" s="12">
        <v>19</v>
      </c>
      <c r="H353" s="8">
        <v>526.23</v>
      </c>
      <c r="I353" t="s">
        <v>31</v>
      </c>
      <c r="J353" t="s">
        <v>36</v>
      </c>
      <c r="K353" s="10">
        <v>0</v>
      </c>
      <c r="L353" t="s">
        <v>42</v>
      </c>
      <c r="M353">
        <v>9998.3700000000008</v>
      </c>
      <c r="N353">
        <v>5999.0219999999999</v>
      </c>
      <c r="O353" s="10">
        <v>3966.5780000000009</v>
      </c>
      <c r="P353" s="10">
        <v>0.39672246576191927</v>
      </c>
      <c r="Q353" s="8">
        <v>9998.3700000000008</v>
      </c>
      <c r="R353" t="s">
        <v>45</v>
      </c>
      <c r="S353" t="s">
        <v>50</v>
      </c>
      <c r="T353" t="s">
        <v>2931</v>
      </c>
      <c r="U353">
        <v>0</v>
      </c>
      <c r="V353" t="str">
        <f>IF(CleanedTable[[#This Row],[Returned]] = 0,"NO","Yes")</f>
        <v>NO</v>
      </c>
      <c r="W353" t="s">
        <v>402</v>
      </c>
      <c r="X353" t="s">
        <v>1895</v>
      </c>
      <c r="Y353" s="10">
        <v>32.770000000000003</v>
      </c>
      <c r="Z353" s="3">
        <v>45407</v>
      </c>
      <c r="AA353" s="3">
        <v>45417</v>
      </c>
      <c r="AB353" t="s">
        <v>2922</v>
      </c>
      <c r="AC353">
        <v>10</v>
      </c>
    </row>
    <row r="354" spans="1:29" x14ac:dyDescent="0.3">
      <c r="A354" s="3">
        <v>45781</v>
      </c>
      <c r="B354" s="3" t="str">
        <f>TEXT(CleanedTable[[#This Row],[OrderDate]],"mmm")</f>
        <v>May</v>
      </c>
      <c r="C354" s="3" t="str">
        <f>TEXT(CleanedTable[[#This Row],[OrderDate]],"yyyy")</f>
        <v>2025</v>
      </c>
      <c r="D354" s="3" t="str">
        <f>TEXT(CleanedTable[[#This Row],[OrderDate]],"mmm yyyy")</f>
        <v>May 2025</v>
      </c>
      <c r="E354" t="s">
        <v>21</v>
      </c>
      <c r="F354" t="s">
        <v>24</v>
      </c>
      <c r="G354" s="12">
        <v>8</v>
      </c>
      <c r="H354" s="8">
        <v>294.51</v>
      </c>
      <c r="I354" t="s">
        <v>32</v>
      </c>
      <c r="J354" t="s">
        <v>35</v>
      </c>
      <c r="K354" s="10">
        <v>0.15</v>
      </c>
      <c r="L354" t="s">
        <v>41</v>
      </c>
      <c r="M354">
        <v>2002.6679999999999</v>
      </c>
      <c r="N354">
        <v>1413.6479999999999</v>
      </c>
      <c r="O354" s="10">
        <v>578.55999999999995</v>
      </c>
      <c r="P354" s="10">
        <v>0.28889461458414473</v>
      </c>
      <c r="Q354" s="8">
        <v>2002.6679999999999</v>
      </c>
      <c r="R354" t="s">
        <v>44</v>
      </c>
      <c r="T354" t="s">
        <v>2932</v>
      </c>
      <c r="U354">
        <v>0</v>
      </c>
      <c r="V354" t="str">
        <f>IF(CleanedTable[[#This Row],[Returned]] = 0,"NO","Yes")</f>
        <v>NO</v>
      </c>
      <c r="W354" t="s">
        <v>403</v>
      </c>
      <c r="X354" t="s">
        <v>1896</v>
      </c>
      <c r="Y354" s="10">
        <v>10.46</v>
      </c>
      <c r="Z354" s="3">
        <v>45781</v>
      </c>
      <c r="AA354" s="3">
        <v>45784</v>
      </c>
      <c r="AB354" t="s">
        <v>2924</v>
      </c>
      <c r="AC354">
        <v>3</v>
      </c>
    </row>
    <row r="355" spans="1:29" x14ac:dyDescent="0.3">
      <c r="A355" s="3">
        <v>45185</v>
      </c>
      <c r="B355" s="3" t="str">
        <f>TEXT(CleanedTable[[#This Row],[OrderDate]],"mmm")</f>
        <v>Sep</v>
      </c>
      <c r="C355" s="3" t="str">
        <f>TEXT(CleanedTable[[#This Row],[OrderDate]],"yyyy")</f>
        <v>2023</v>
      </c>
      <c r="D355" s="3" t="str">
        <f>TEXT(CleanedTable[[#This Row],[OrderDate]],"mmm yyyy")</f>
        <v>Sep 2023</v>
      </c>
      <c r="E355" t="s">
        <v>20</v>
      </c>
      <c r="F355" t="s">
        <v>28</v>
      </c>
      <c r="G355" s="12">
        <v>18</v>
      </c>
      <c r="H355" s="8">
        <v>448.27</v>
      </c>
      <c r="I355" t="s">
        <v>33</v>
      </c>
      <c r="J355" t="s">
        <v>35</v>
      </c>
      <c r="K355" s="10">
        <v>0.05</v>
      </c>
      <c r="L355" t="s">
        <v>41</v>
      </c>
      <c r="M355">
        <v>7665.4169999999995</v>
      </c>
      <c r="N355">
        <v>4841.3159999999998</v>
      </c>
      <c r="O355" s="10">
        <v>2776.5409999999997</v>
      </c>
      <c r="P355" s="10">
        <v>0.36221656303890576</v>
      </c>
      <c r="Q355" s="8">
        <v>7665.4169999999986</v>
      </c>
      <c r="R355" t="s">
        <v>45</v>
      </c>
      <c r="S355" t="s">
        <v>49</v>
      </c>
      <c r="T355" t="s">
        <v>2931</v>
      </c>
      <c r="U355">
        <v>0</v>
      </c>
      <c r="V355" t="str">
        <f>IF(CleanedTable[[#This Row],[Returned]] = 0,"NO","Yes")</f>
        <v>NO</v>
      </c>
      <c r="W355" t="s">
        <v>404</v>
      </c>
      <c r="X355" t="s">
        <v>1897</v>
      </c>
      <c r="Y355" s="10">
        <v>47.56</v>
      </c>
      <c r="Z355" s="3">
        <v>45185</v>
      </c>
      <c r="AA355" s="3">
        <v>45189</v>
      </c>
      <c r="AB355" t="s">
        <v>2923</v>
      </c>
      <c r="AC355">
        <v>4</v>
      </c>
    </row>
    <row r="356" spans="1:29" x14ac:dyDescent="0.3">
      <c r="A356" s="3">
        <v>45588</v>
      </c>
      <c r="B356" s="3" t="str">
        <f>TEXT(CleanedTable[[#This Row],[OrderDate]],"mmm")</f>
        <v>Oct</v>
      </c>
      <c r="C356" s="3" t="str">
        <f>TEXT(CleanedTable[[#This Row],[OrderDate]],"yyyy")</f>
        <v>2024</v>
      </c>
      <c r="D356" s="3" t="str">
        <f>TEXT(CleanedTable[[#This Row],[OrderDate]],"mmm yyyy")</f>
        <v>Oct 2024</v>
      </c>
      <c r="E356" t="s">
        <v>23</v>
      </c>
      <c r="F356" t="s">
        <v>26</v>
      </c>
      <c r="G356" s="12">
        <v>17</v>
      </c>
      <c r="H356" s="8">
        <v>583.88</v>
      </c>
      <c r="I356" t="s">
        <v>34</v>
      </c>
      <c r="J356" t="s">
        <v>36</v>
      </c>
      <c r="K356" s="10">
        <v>0.1</v>
      </c>
      <c r="L356" t="s">
        <v>38</v>
      </c>
      <c r="M356">
        <v>8933.3639999999996</v>
      </c>
      <c r="N356">
        <v>5955.5759999999991</v>
      </c>
      <c r="O356" s="10">
        <v>2940.2580000000003</v>
      </c>
      <c r="P356" s="10">
        <v>0.32913222835205197</v>
      </c>
      <c r="Q356" s="8">
        <v>8933.3639999999996</v>
      </c>
      <c r="R356" t="s">
        <v>45</v>
      </c>
      <c r="S356" t="s">
        <v>50</v>
      </c>
      <c r="T356" t="s">
        <v>2931</v>
      </c>
      <c r="U356">
        <v>0</v>
      </c>
      <c r="V356" t="str">
        <f>IF(CleanedTable[[#This Row],[Returned]] = 0,"NO","Yes")</f>
        <v>NO</v>
      </c>
      <c r="W356" t="s">
        <v>405</v>
      </c>
      <c r="X356" t="s">
        <v>1898</v>
      </c>
      <c r="Y356" s="10">
        <v>37.53</v>
      </c>
      <c r="Z356" s="3">
        <v>45588</v>
      </c>
      <c r="AA356" s="3">
        <v>45591</v>
      </c>
      <c r="AB356" t="s">
        <v>2926</v>
      </c>
      <c r="AC356">
        <v>3</v>
      </c>
    </row>
    <row r="357" spans="1:29" x14ac:dyDescent="0.3">
      <c r="A357" s="3">
        <v>45049</v>
      </c>
      <c r="B357" s="3" t="str">
        <f>TEXT(CleanedTable[[#This Row],[OrderDate]],"mmm")</f>
        <v>May</v>
      </c>
      <c r="C357" s="3" t="str">
        <f>TEXT(CleanedTable[[#This Row],[OrderDate]],"yyyy")</f>
        <v>2023</v>
      </c>
      <c r="D357" s="3" t="str">
        <f>TEXT(CleanedTable[[#This Row],[OrderDate]],"mmm yyyy")</f>
        <v>May 2023</v>
      </c>
      <c r="E357" t="s">
        <v>21</v>
      </c>
      <c r="F357" t="s">
        <v>26</v>
      </c>
      <c r="G357" s="12">
        <v>2</v>
      </c>
      <c r="H357" s="8">
        <v>97.5</v>
      </c>
      <c r="I357" t="s">
        <v>34</v>
      </c>
      <c r="J357" t="s">
        <v>36</v>
      </c>
      <c r="K357" s="10">
        <v>0.1</v>
      </c>
      <c r="L357" t="s">
        <v>38</v>
      </c>
      <c r="M357">
        <v>175.5</v>
      </c>
      <c r="N357">
        <v>117</v>
      </c>
      <c r="O357" s="10">
        <v>12.130000000000003</v>
      </c>
      <c r="P357" s="10">
        <v>6.9116809116809133E-2</v>
      </c>
      <c r="Q357" s="8">
        <v>175.5</v>
      </c>
      <c r="R357" t="s">
        <v>47</v>
      </c>
      <c r="T357" t="s">
        <v>2932</v>
      </c>
      <c r="U357">
        <v>1</v>
      </c>
      <c r="V357" t="str">
        <f>IF(CleanedTable[[#This Row],[Returned]] = 0,"NO","Yes")</f>
        <v>Yes</v>
      </c>
      <c r="W357" t="s">
        <v>406</v>
      </c>
      <c r="X357" t="s">
        <v>1899</v>
      </c>
      <c r="Y357" s="10">
        <v>46.37</v>
      </c>
      <c r="Z357" s="3">
        <v>45049</v>
      </c>
      <c r="AA357" s="3">
        <v>45052</v>
      </c>
      <c r="AB357" t="s">
        <v>2924</v>
      </c>
      <c r="AC357">
        <v>3</v>
      </c>
    </row>
    <row r="358" spans="1:29" x14ac:dyDescent="0.3">
      <c r="A358" s="3">
        <v>45734</v>
      </c>
      <c r="B358" s="3" t="str">
        <f>TEXT(CleanedTable[[#This Row],[OrderDate]],"mmm")</f>
        <v>Mar</v>
      </c>
      <c r="C358" s="3" t="str">
        <f>TEXT(CleanedTable[[#This Row],[OrderDate]],"yyyy")</f>
        <v>2025</v>
      </c>
      <c r="D358" s="3" t="str">
        <f>TEXT(CleanedTable[[#This Row],[OrderDate]],"mmm yyyy")</f>
        <v>Mar 2025</v>
      </c>
      <c r="E358" t="s">
        <v>21</v>
      </c>
      <c r="F358" t="s">
        <v>30</v>
      </c>
      <c r="G358" s="12">
        <v>16</v>
      </c>
      <c r="H358" s="8">
        <v>420.79</v>
      </c>
      <c r="I358" t="s">
        <v>31</v>
      </c>
      <c r="J358" t="s">
        <v>35</v>
      </c>
      <c r="K358" s="10">
        <v>0.15</v>
      </c>
      <c r="L358" t="s">
        <v>40</v>
      </c>
      <c r="M358">
        <v>5722.7439999999997</v>
      </c>
      <c r="N358">
        <v>4039.5839999999998</v>
      </c>
      <c r="O358" s="10">
        <v>1661.0299999999997</v>
      </c>
      <c r="P358" s="10">
        <v>0.29025062103075028</v>
      </c>
      <c r="Q358" s="8">
        <v>5722.7439999999997</v>
      </c>
      <c r="R358" t="s">
        <v>47</v>
      </c>
      <c r="S358" t="s">
        <v>48</v>
      </c>
      <c r="T358" t="s">
        <v>2931</v>
      </c>
      <c r="U358">
        <v>1</v>
      </c>
      <c r="V358" t="str">
        <f>IF(CleanedTable[[#This Row],[Returned]] = 0,"NO","Yes")</f>
        <v>Yes</v>
      </c>
      <c r="W358" t="s">
        <v>407</v>
      </c>
      <c r="X358" t="s">
        <v>1597</v>
      </c>
      <c r="Y358" s="10">
        <v>22.13</v>
      </c>
      <c r="Z358" s="3">
        <v>45734</v>
      </c>
      <c r="AA358" s="3">
        <v>45741</v>
      </c>
      <c r="AB358" t="s">
        <v>2924</v>
      </c>
      <c r="AC358">
        <v>7</v>
      </c>
    </row>
    <row r="359" spans="1:29" x14ac:dyDescent="0.3">
      <c r="A359" s="3">
        <v>45163</v>
      </c>
      <c r="B359" s="3" t="str">
        <f>TEXT(CleanedTable[[#This Row],[OrderDate]],"mmm")</f>
        <v>Aug</v>
      </c>
      <c r="C359" s="3" t="str">
        <f>TEXT(CleanedTable[[#This Row],[OrderDate]],"yyyy")</f>
        <v>2023</v>
      </c>
      <c r="D359" s="3" t="str">
        <f>TEXT(CleanedTable[[#This Row],[OrderDate]],"mmm yyyy")</f>
        <v>Aug 2023</v>
      </c>
      <c r="E359" t="s">
        <v>23</v>
      </c>
      <c r="F359" t="s">
        <v>27</v>
      </c>
      <c r="G359" s="12">
        <v>13</v>
      </c>
      <c r="H359" s="8">
        <v>513.17999999999995</v>
      </c>
      <c r="I359" t="s">
        <v>31</v>
      </c>
      <c r="J359" t="s">
        <v>36</v>
      </c>
      <c r="K359" s="10">
        <v>0</v>
      </c>
      <c r="L359" t="s">
        <v>37</v>
      </c>
      <c r="M359">
        <v>6671.3399999999992</v>
      </c>
      <c r="N359">
        <v>4002.8039999999996</v>
      </c>
      <c r="O359" s="10">
        <v>2657.9659999999994</v>
      </c>
      <c r="P359" s="10">
        <v>0.39841561065692943</v>
      </c>
      <c r="Q359" s="8">
        <v>6671.3399999999992</v>
      </c>
      <c r="R359" t="s">
        <v>45</v>
      </c>
      <c r="S359" t="s">
        <v>48</v>
      </c>
      <c r="T359" t="s">
        <v>2931</v>
      </c>
      <c r="U359">
        <v>0</v>
      </c>
      <c r="V359" t="str">
        <f>IF(CleanedTable[[#This Row],[Returned]] = 0,"NO","Yes")</f>
        <v>NO</v>
      </c>
      <c r="W359" t="s">
        <v>408</v>
      </c>
      <c r="X359" t="s">
        <v>1900</v>
      </c>
      <c r="Y359" s="10">
        <v>10.57</v>
      </c>
      <c r="Z359" s="3">
        <v>45163</v>
      </c>
      <c r="AA359" s="3">
        <v>45165</v>
      </c>
      <c r="AB359" t="s">
        <v>2926</v>
      </c>
      <c r="AC359">
        <v>2</v>
      </c>
    </row>
    <row r="360" spans="1:29" x14ac:dyDescent="0.3">
      <c r="A360" s="3">
        <v>45120</v>
      </c>
      <c r="B360" s="3" t="str">
        <f>TEXT(CleanedTable[[#This Row],[OrderDate]],"mmm")</f>
        <v>Jul</v>
      </c>
      <c r="C360" s="3" t="str">
        <f>TEXT(CleanedTable[[#This Row],[OrderDate]],"yyyy")</f>
        <v>2023</v>
      </c>
      <c r="D360" s="3" t="str">
        <f>TEXT(CleanedTable[[#This Row],[OrderDate]],"mmm yyyy")</f>
        <v>Jul 2023</v>
      </c>
      <c r="E360" t="s">
        <v>21</v>
      </c>
      <c r="F360" t="s">
        <v>28</v>
      </c>
      <c r="G360" s="12">
        <v>19</v>
      </c>
      <c r="H360" s="8">
        <v>475.64</v>
      </c>
      <c r="I360" t="s">
        <v>33</v>
      </c>
      <c r="J360" t="s">
        <v>36</v>
      </c>
      <c r="K360" s="10">
        <v>0.1</v>
      </c>
      <c r="L360" t="s">
        <v>39</v>
      </c>
      <c r="M360">
        <v>8133.4440000000004</v>
      </c>
      <c r="N360">
        <v>5422.2959999999994</v>
      </c>
      <c r="O360" s="10">
        <v>2699.978000000001</v>
      </c>
      <c r="P360" s="10">
        <v>0.33195999136405202</v>
      </c>
      <c r="Q360" s="8">
        <v>8133.4440000000004</v>
      </c>
      <c r="R360" t="s">
        <v>47</v>
      </c>
      <c r="S360" t="s">
        <v>50</v>
      </c>
      <c r="T360" t="s">
        <v>2931</v>
      </c>
      <c r="U360">
        <v>1</v>
      </c>
      <c r="V360" t="str">
        <f>IF(CleanedTable[[#This Row],[Returned]] = 0,"NO","Yes")</f>
        <v>Yes</v>
      </c>
      <c r="W360" t="s">
        <v>409</v>
      </c>
      <c r="X360" t="s">
        <v>1901</v>
      </c>
      <c r="Y360" s="10">
        <v>11.17</v>
      </c>
      <c r="Z360" s="3">
        <v>45120</v>
      </c>
      <c r="AA360" s="3">
        <v>45124</v>
      </c>
      <c r="AB360" t="s">
        <v>2924</v>
      </c>
      <c r="AC360">
        <v>4</v>
      </c>
    </row>
    <row r="361" spans="1:29" x14ac:dyDescent="0.3">
      <c r="A361" s="3">
        <v>45713</v>
      </c>
      <c r="B361" s="3" t="str">
        <f>TEXT(CleanedTable[[#This Row],[OrderDate]],"mmm")</f>
        <v>Feb</v>
      </c>
      <c r="C361" s="3" t="str">
        <f>TEXT(CleanedTable[[#This Row],[OrderDate]],"yyyy")</f>
        <v>2025</v>
      </c>
      <c r="D361" s="3" t="str">
        <f>TEXT(CleanedTable[[#This Row],[OrderDate]],"mmm yyyy")</f>
        <v>Feb 2025</v>
      </c>
      <c r="E361" t="s">
        <v>21</v>
      </c>
      <c r="F361" t="s">
        <v>29</v>
      </c>
      <c r="G361" s="12">
        <v>13</v>
      </c>
      <c r="H361" s="8">
        <v>238.34</v>
      </c>
      <c r="I361" t="s">
        <v>33</v>
      </c>
      <c r="J361" t="s">
        <v>36</v>
      </c>
      <c r="K361" s="10">
        <v>0.1</v>
      </c>
      <c r="L361" t="s">
        <v>40</v>
      </c>
      <c r="M361">
        <v>2788.578</v>
      </c>
      <c r="N361">
        <v>1859.0519999999999</v>
      </c>
      <c r="O361" s="10">
        <v>921.62600000000009</v>
      </c>
      <c r="P361" s="10">
        <v>0.33050034820614665</v>
      </c>
      <c r="Q361" s="8">
        <v>2788.578</v>
      </c>
      <c r="R361" t="s">
        <v>45</v>
      </c>
      <c r="S361" t="s">
        <v>49</v>
      </c>
      <c r="T361" t="s">
        <v>2931</v>
      </c>
      <c r="U361">
        <v>1</v>
      </c>
      <c r="V361" t="str">
        <f>IF(CleanedTable[[#This Row],[Returned]] = 0,"NO","Yes")</f>
        <v>Yes</v>
      </c>
      <c r="W361" t="s">
        <v>410</v>
      </c>
      <c r="X361" t="s">
        <v>1902</v>
      </c>
      <c r="Y361" s="10">
        <v>7.9</v>
      </c>
      <c r="Z361" s="3">
        <v>45713</v>
      </c>
      <c r="AA361" s="3">
        <v>45722</v>
      </c>
      <c r="AB361" t="s">
        <v>2924</v>
      </c>
      <c r="AC361">
        <v>9</v>
      </c>
    </row>
    <row r="362" spans="1:29" x14ac:dyDescent="0.3">
      <c r="A362" s="3">
        <v>45761</v>
      </c>
      <c r="B362" s="3" t="str">
        <f>TEXT(CleanedTable[[#This Row],[OrderDate]],"mmm")</f>
        <v>Apr</v>
      </c>
      <c r="C362" s="3" t="str">
        <f>TEXT(CleanedTable[[#This Row],[OrderDate]],"yyyy")</f>
        <v>2025</v>
      </c>
      <c r="D362" s="3" t="str">
        <f>TEXT(CleanedTable[[#This Row],[OrderDate]],"mmm yyyy")</f>
        <v>Apr 2025</v>
      </c>
      <c r="E362" t="s">
        <v>22</v>
      </c>
      <c r="F362" t="s">
        <v>24</v>
      </c>
      <c r="G362" s="12">
        <v>14</v>
      </c>
      <c r="H362" s="8">
        <v>285.02999999999997</v>
      </c>
      <c r="I362" t="s">
        <v>31</v>
      </c>
      <c r="J362" t="s">
        <v>35</v>
      </c>
      <c r="K362" s="10">
        <v>0.1</v>
      </c>
      <c r="L362" t="s">
        <v>37</v>
      </c>
      <c r="M362">
        <v>3591.3779999999997</v>
      </c>
      <c r="N362">
        <v>2394.2519999999995</v>
      </c>
      <c r="O362" s="10">
        <v>1155.6260000000002</v>
      </c>
      <c r="P362" s="10">
        <v>0.32177788024541004</v>
      </c>
      <c r="Q362" s="8">
        <v>3591.3780000000002</v>
      </c>
      <c r="R362" t="s">
        <v>45</v>
      </c>
      <c r="S362" t="s">
        <v>49</v>
      </c>
      <c r="T362" t="s">
        <v>2931</v>
      </c>
      <c r="U362">
        <v>0</v>
      </c>
      <c r="V362" t="str">
        <f>IF(CleanedTable[[#This Row],[Returned]] = 0,"NO","Yes")</f>
        <v>NO</v>
      </c>
      <c r="W362" t="s">
        <v>411</v>
      </c>
      <c r="X362" t="s">
        <v>1903</v>
      </c>
      <c r="Y362" s="10">
        <v>41.5</v>
      </c>
      <c r="Z362" s="3">
        <v>45761</v>
      </c>
      <c r="AA362" s="3">
        <v>45764</v>
      </c>
      <c r="AB362" t="s">
        <v>2925</v>
      </c>
      <c r="AC362">
        <v>3</v>
      </c>
    </row>
    <row r="363" spans="1:29" x14ac:dyDescent="0.3">
      <c r="A363" s="3">
        <v>45823</v>
      </c>
      <c r="B363" s="3" t="str">
        <f>TEXT(CleanedTable[[#This Row],[OrderDate]],"mmm")</f>
        <v>Jun</v>
      </c>
      <c r="C363" s="3" t="str">
        <f>TEXT(CleanedTable[[#This Row],[OrderDate]],"yyyy")</f>
        <v>2025</v>
      </c>
      <c r="D363" s="3" t="str">
        <f>TEXT(CleanedTable[[#This Row],[OrderDate]],"mmm yyyy")</f>
        <v>Jun 2025</v>
      </c>
      <c r="E363" t="s">
        <v>22</v>
      </c>
      <c r="F363" t="s">
        <v>26</v>
      </c>
      <c r="G363" s="12">
        <v>5</v>
      </c>
      <c r="H363" s="8">
        <v>5.52</v>
      </c>
      <c r="I363" t="s">
        <v>33</v>
      </c>
      <c r="J363" t="s">
        <v>36</v>
      </c>
      <c r="K363" s="10">
        <v>0.05</v>
      </c>
      <c r="L363" t="s">
        <v>38</v>
      </c>
      <c r="M363">
        <v>26.219999999999995</v>
      </c>
      <c r="N363">
        <v>16.559999999999999</v>
      </c>
      <c r="O363" s="10">
        <v>-0.92000000000000348</v>
      </c>
      <c r="P363" s="10">
        <v>-3.5087719298245751E-2</v>
      </c>
      <c r="Q363" s="8">
        <v>26.22</v>
      </c>
      <c r="R363" t="s">
        <v>45</v>
      </c>
      <c r="S363" t="s">
        <v>48</v>
      </c>
      <c r="T363" t="s">
        <v>2931</v>
      </c>
      <c r="U363">
        <v>0</v>
      </c>
      <c r="V363" t="str">
        <f>IF(CleanedTable[[#This Row],[Returned]] = 0,"NO","Yes")</f>
        <v>NO</v>
      </c>
      <c r="W363" t="s">
        <v>412</v>
      </c>
      <c r="X363" t="s">
        <v>1904</v>
      </c>
      <c r="Y363" s="10">
        <v>10.58</v>
      </c>
      <c r="Z363" s="3">
        <v>45823</v>
      </c>
      <c r="AA363" s="3">
        <v>45826</v>
      </c>
      <c r="AB363" t="s">
        <v>2925</v>
      </c>
      <c r="AC363">
        <v>3</v>
      </c>
    </row>
    <row r="364" spans="1:29" x14ac:dyDescent="0.3">
      <c r="A364" s="3">
        <v>45587</v>
      </c>
      <c r="B364" s="3" t="str">
        <f>TEXT(CleanedTable[[#This Row],[OrderDate]],"mmm")</f>
        <v>Oct</v>
      </c>
      <c r="C364" s="3" t="str">
        <f>TEXT(CleanedTable[[#This Row],[OrderDate]],"yyyy")</f>
        <v>2024</v>
      </c>
      <c r="D364" s="3" t="str">
        <f>TEXT(CleanedTable[[#This Row],[OrderDate]],"mmm yyyy")</f>
        <v>Oct 2024</v>
      </c>
      <c r="E364" t="s">
        <v>21</v>
      </c>
      <c r="F364" t="s">
        <v>28</v>
      </c>
      <c r="G364" s="12">
        <v>18</v>
      </c>
      <c r="H364" s="8">
        <v>396.25</v>
      </c>
      <c r="I364" t="s">
        <v>34</v>
      </c>
      <c r="J364" t="s">
        <v>36</v>
      </c>
      <c r="K364" s="10">
        <v>0.1</v>
      </c>
      <c r="L364" t="s">
        <v>39</v>
      </c>
      <c r="M364">
        <v>6419.25</v>
      </c>
      <c r="N364">
        <v>4279.5</v>
      </c>
      <c r="O364" s="10">
        <v>2119.36</v>
      </c>
      <c r="P364" s="10">
        <v>0.33015694979943144</v>
      </c>
      <c r="Q364" s="8">
        <v>6419.25</v>
      </c>
      <c r="R364" t="s">
        <v>45</v>
      </c>
      <c r="S364" t="s">
        <v>48</v>
      </c>
      <c r="T364" t="s">
        <v>2931</v>
      </c>
      <c r="U364">
        <v>0</v>
      </c>
      <c r="V364" t="str">
        <f>IF(CleanedTable[[#This Row],[Returned]] = 0,"NO","Yes")</f>
        <v>NO</v>
      </c>
      <c r="W364" t="s">
        <v>413</v>
      </c>
      <c r="X364" t="s">
        <v>1905</v>
      </c>
      <c r="Y364" s="10">
        <v>20.39</v>
      </c>
      <c r="Z364" s="3">
        <v>45587</v>
      </c>
      <c r="AA364" s="3">
        <v>45592</v>
      </c>
      <c r="AB364" t="s">
        <v>2924</v>
      </c>
      <c r="AC364">
        <v>5</v>
      </c>
    </row>
    <row r="365" spans="1:29" x14ac:dyDescent="0.3">
      <c r="A365" s="3">
        <v>45097</v>
      </c>
      <c r="B365" s="3" t="str">
        <f>TEXT(CleanedTable[[#This Row],[OrderDate]],"mmm")</f>
        <v>Jun</v>
      </c>
      <c r="C365" s="3" t="str">
        <f>TEXT(CleanedTable[[#This Row],[OrderDate]],"yyyy")</f>
        <v>2023</v>
      </c>
      <c r="D365" s="3" t="str">
        <f>TEXT(CleanedTable[[#This Row],[OrderDate]],"mmm yyyy")</f>
        <v>Jun 2023</v>
      </c>
      <c r="E365" t="s">
        <v>20</v>
      </c>
      <c r="F365" t="s">
        <v>24</v>
      </c>
      <c r="G365" s="12">
        <v>9</v>
      </c>
      <c r="H365" s="8">
        <v>282.8</v>
      </c>
      <c r="I365" t="s">
        <v>34</v>
      </c>
      <c r="J365" t="s">
        <v>35</v>
      </c>
      <c r="K365" s="10">
        <v>0.05</v>
      </c>
      <c r="L365" t="s">
        <v>37</v>
      </c>
      <c r="M365">
        <v>2417.94</v>
      </c>
      <c r="N365">
        <v>1527.1200000000001</v>
      </c>
      <c r="O365" s="10">
        <v>841.03</v>
      </c>
      <c r="P365" s="10">
        <v>0.34782914381663727</v>
      </c>
      <c r="Q365" s="8">
        <v>2417.94</v>
      </c>
      <c r="R365" t="s">
        <v>43</v>
      </c>
      <c r="T365" t="s">
        <v>2932</v>
      </c>
      <c r="U365">
        <v>0</v>
      </c>
      <c r="V365" t="str">
        <f>IF(CleanedTable[[#This Row],[Returned]] = 0,"NO","Yes")</f>
        <v>NO</v>
      </c>
      <c r="W365" t="s">
        <v>414</v>
      </c>
      <c r="X365" t="s">
        <v>1906</v>
      </c>
      <c r="Y365" s="10">
        <v>49.79</v>
      </c>
      <c r="Z365" s="3">
        <v>45097</v>
      </c>
      <c r="AA365" s="3">
        <v>45102</v>
      </c>
      <c r="AB365" t="s">
        <v>2923</v>
      </c>
      <c r="AC365">
        <v>5</v>
      </c>
    </row>
    <row r="366" spans="1:29" x14ac:dyDescent="0.3">
      <c r="A366" s="3">
        <v>45721</v>
      </c>
      <c r="B366" s="3" t="str">
        <f>TEXT(CleanedTable[[#This Row],[OrderDate]],"mmm")</f>
        <v>Mar</v>
      </c>
      <c r="C366" s="3" t="str">
        <f>TEXT(CleanedTable[[#This Row],[OrderDate]],"yyyy")</f>
        <v>2025</v>
      </c>
      <c r="D366" s="3" t="str">
        <f>TEXT(CleanedTable[[#This Row],[OrderDate]],"mmm yyyy")</f>
        <v>Mar 2025</v>
      </c>
      <c r="E366" t="s">
        <v>20</v>
      </c>
      <c r="F366" t="s">
        <v>25</v>
      </c>
      <c r="G366" s="12">
        <v>6</v>
      </c>
      <c r="H366" s="8">
        <v>525.42999999999995</v>
      </c>
      <c r="I366" t="s">
        <v>33</v>
      </c>
      <c r="J366" t="s">
        <v>35</v>
      </c>
      <c r="K366" s="10">
        <v>0.05</v>
      </c>
      <c r="L366" t="s">
        <v>38</v>
      </c>
      <c r="M366">
        <v>2994.9509999999996</v>
      </c>
      <c r="N366">
        <v>1891.5479999999998</v>
      </c>
      <c r="O366" s="10">
        <v>1064.1229999999998</v>
      </c>
      <c r="P366" s="10">
        <v>0.35530564606900078</v>
      </c>
      <c r="Q366" s="8">
        <v>2994.951</v>
      </c>
      <c r="R366" t="s">
        <v>45</v>
      </c>
      <c r="T366" t="s">
        <v>2932</v>
      </c>
      <c r="U366">
        <v>0</v>
      </c>
      <c r="V366" t="str">
        <f>IF(CleanedTable[[#This Row],[Returned]] = 0,"NO","Yes")</f>
        <v>NO</v>
      </c>
      <c r="W366" t="s">
        <v>415</v>
      </c>
      <c r="X366" t="s">
        <v>1907</v>
      </c>
      <c r="Y366" s="10">
        <v>39.28</v>
      </c>
      <c r="Z366" s="3">
        <v>45721</v>
      </c>
      <c r="AA366" s="3">
        <v>45727</v>
      </c>
      <c r="AB366" t="s">
        <v>2923</v>
      </c>
      <c r="AC366">
        <v>6</v>
      </c>
    </row>
    <row r="367" spans="1:29" x14ac:dyDescent="0.3">
      <c r="A367" s="3">
        <v>45227</v>
      </c>
      <c r="B367" s="3" t="str">
        <f>TEXT(CleanedTable[[#This Row],[OrderDate]],"mmm")</f>
        <v>Oct</v>
      </c>
      <c r="C367" s="3" t="str">
        <f>TEXT(CleanedTable[[#This Row],[OrderDate]],"yyyy")</f>
        <v>2023</v>
      </c>
      <c r="D367" s="3" t="str">
        <f>TEXT(CleanedTable[[#This Row],[OrderDate]],"mmm yyyy")</f>
        <v>Oct 2023</v>
      </c>
      <c r="E367" t="s">
        <v>23</v>
      </c>
      <c r="F367" t="s">
        <v>29</v>
      </c>
      <c r="G367" s="12">
        <v>15</v>
      </c>
      <c r="H367" s="8">
        <v>127.67</v>
      </c>
      <c r="I367" t="s">
        <v>34</v>
      </c>
      <c r="J367" t="s">
        <v>36</v>
      </c>
      <c r="K367" s="10">
        <v>0.1</v>
      </c>
      <c r="L367" t="s">
        <v>38</v>
      </c>
      <c r="M367">
        <v>1723.5450000000001</v>
      </c>
      <c r="N367">
        <v>1149.03</v>
      </c>
      <c r="O367" s="10">
        <v>525.74500000000012</v>
      </c>
      <c r="P367" s="10">
        <v>0.30503700222506525</v>
      </c>
      <c r="Q367" s="8">
        <v>1723.5450000000001</v>
      </c>
      <c r="R367" t="s">
        <v>46</v>
      </c>
      <c r="T367" t="s">
        <v>2932</v>
      </c>
      <c r="U367">
        <v>0</v>
      </c>
      <c r="V367" t="str">
        <f>IF(CleanedTable[[#This Row],[Returned]] = 0,"NO","Yes")</f>
        <v>NO</v>
      </c>
      <c r="W367" t="s">
        <v>416</v>
      </c>
      <c r="X367" t="s">
        <v>1908</v>
      </c>
      <c r="Y367" s="10">
        <v>48.77</v>
      </c>
      <c r="Z367" s="3">
        <v>45227</v>
      </c>
      <c r="AA367" s="3">
        <v>45229</v>
      </c>
      <c r="AB367" t="s">
        <v>2926</v>
      </c>
      <c r="AC367">
        <v>2</v>
      </c>
    </row>
    <row r="368" spans="1:29" x14ac:dyDescent="0.3">
      <c r="A368" s="3">
        <v>45735</v>
      </c>
      <c r="B368" s="3" t="str">
        <f>TEXT(CleanedTable[[#This Row],[OrderDate]],"mmm")</f>
        <v>Mar</v>
      </c>
      <c r="C368" s="3" t="str">
        <f>TEXT(CleanedTable[[#This Row],[OrderDate]],"yyyy")</f>
        <v>2025</v>
      </c>
      <c r="D368" s="3" t="str">
        <f>TEXT(CleanedTable[[#This Row],[OrderDate]],"mmm yyyy")</f>
        <v>Mar 2025</v>
      </c>
      <c r="E368" t="s">
        <v>22</v>
      </c>
      <c r="F368" t="s">
        <v>24</v>
      </c>
      <c r="G368" s="12">
        <v>17</v>
      </c>
      <c r="H368" s="8">
        <v>511.8</v>
      </c>
      <c r="I368" t="s">
        <v>31</v>
      </c>
      <c r="J368" t="s">
        <v>36</v>
      </c>
      <c r="K368" s="10">
        <v>0.05</v>
      </c>
      <c r="L368" t="s">
        <v>40</v>
      </c>
      <c r="M368">
        <v>8265.57</v>
      </c>
      <c r="N368">
        <v>5220.3599999999997</v>
      </c>
      <c r="O368" s="10">
        <v>3031.88</v>
      </c>
      <c r="P368" s="10">
        <v>0.36680833868686613</v>
      </c>
      <c r="Q368" s="8">
        <v>8265.57</v>
      </c>
      <c r="R368" t="s">
        <v>45</v>
      </c>
      <c r="S368" t="s">
        <v>50</v>
      </c>
      <c r="T368" t="s">
        <v>2931</v>
      </c>
      <c r="U368">
        <v>1</v>
      </c>
      <c r="V368" t="str">
        <f>IF(CleanedTable[[#This Row],[Returned]] = 0,"NO","Yes")</f>
        <v>Yes</v>
      </c>
      <c r="W368" t="s">
        <v>417</v>
      </c>
      <c r="X368" t="s">
        <v>1909</v>
      </c>
      <c r="Y368" s="10">
        <v>13.33</v>
      </c>
      <c r="Z368" s="3">
        <v>45735</v>
      </c>
      <c r="AA368" s="3">
        <v>45742</v>
      </c>
      <c r="AB368" t="s">
        <v>2925</v>
      </c>
      <c r="AC368">
        <v>7</v>
      </c>
    </row>
    <row r="369" spans="1:29" x14ac:dyDescent="0.3">
      <c r="A369" s="3">
        <v>45144</v>
      </c>
      <c r="B369" s="3" t="str">
        <f>TEXT(CleanedTable[[#This Row],[OrderDate]],"mmm")</f>
        <v>Aug</v>
      </c>
      <c r="C369" s="3" t="str">
        <f>TEXT(CleanedTable[[#This Row],[OrderDate]],"yyyy")</f>
        <v>2023</v>
      </c>
      <c r="D369" s="3" t="str">
        <f>TEXT(CleanedTable[[#This Row],[OrderDate]],"mmm yyyy")</f>
        <v>Aug 2023</v>
      </c>
      <c r="E369" t="s">
        <v>23</v>
      </c>
      <c r="F369" t="s">
        <v>29</v>
      </c>
      <c r="G369" s="12">
        <v>4</v>
      </c>
      <c r="H369" s="8">
        <v>555.86</v>
      </c>
      <c r="I369" t="s">
        <v>33</v>
      </c>
      <c r="J369" t="s">
        <v>36</v>
      </c>
      <c r="K369" s="10">
        <v>0.05</v>
      </c>
      <c r="L369" t="s">
        <v>42</v>
      </c>
      <c r="M369">
        <v>2112.268</v>
      </c>
      <c r="N369">
        <v>1334.0640000000001</v>
      </c>
      <c r="O369" s="10">
        <v>749.28399999999999</v>
      </c>
      <c r="P369" s="10">
        <v>0.35472960817472027</v>
      </c>
      <c r="Q369" s="8">
        <v>2112.268</v>
      </c>
      <c r="R369" t="s">
        <v>47</v>
      </c>
      <c r="S369" t="s">
        <v>48</v>
      </c>
      <c r="T369" t="s">
        <v>2931</v>
      </c>
      <c r="U369">
        <v>0</v>
      </c>
      <c r="V369" t="str">
        <f>IF(CleanedTable[[#This Row],[Returned]] = 0,"NO","Yes")</f>
        <v>NO</v>
      </c>
      <c r="W369" t="s">
        <v>418</v>
      </c>
      <c r="X369" t="s">
        <v>1910</v>
      </c>
      <c r="Y369" s="10">
        <v>28.92</v>
      </c>
      <c r="Z369" s="3">
        <v>45144</v>
      </c>
      <c r="AA369" s="3">
        <v>45146</v>
      </c>
      <c r="AB369" t="s">
        <v>2926</v>
      </c>
      <c r="AC369">
        <v>2</v>
      </c>
    </row>
    <row r="370" spans="1:29" x14ac:dyDescent="0.3">
      <c r="A370" s="3">
        <v>45546</v>
      </c>
      <c r="B370" s="3" t="str">
        <f>TEXT(CleanedTable[[#This Row],[OrderDate]],"mmm")</f>
        <v>Sep</v>
      </c>
      <c r="C370" s="3" t="str">
        <f>TEXT(CleanedTable[[#This Row],[OrderDate]],"yyyy")</f>
        <v>2024</v>
      </c>
      <c r="D370" s="3" t="str">
        <f>TEXT(CleanedTable[[#This Row],[OrderDate]],"mmm yyyy")</f>
        <v>Sep 2024</v>
      </c>
      <c r="E370" t="s">
        <v>22</v>
      </c>
      <c r="F370" t="s">
        <v>28</v>
      </c>
      <c r="G370" s="12">
        <v>15</v>
      </c>
      <c r="H370" s="8">
        <v>202.72</v>
      </c>
      <c r="I370" t="s">
        <v>34</v>
      </c>
      <c r="J370" t="s">
        <v>36</v>
      </c>
      <c r="K370" s="10">
        <v>0.05</v>
      </c>
      <c r="L370" t="s">
        <v>37</v>
      </c>
      <c r="M370">
        <v>2888.76</v>
      </c>
      <c r="N370">
        <v>1824.4799999999998</v>
      </c>
      <c r="O370" s="10">
        <v>1022.6700000000004</v>
      </c>
      <c r="P370" s="10">
        <v>0.35401694844846937</v>
      </c>
      <c r="Q370" s="8">
        <v>2888.76</v>
      </c>
      <c r="R370" t="s">
        <v>46</v>
      </c>
      <c r="S370" t="s">
        <v>50</v>
      </c>
      <c r="T370" t="s">
        <v>2931</v>
      </c>
      <c r="U370">
        <v>1</v>
      </c>
      <c r="V370" t="str">
        <f>IF(CleanedTable[[#This Row],[Returned]] = 0,"NO","Yes")</f>
        <v>Yes</v>
      </c>
      <c r="W370" t="s">
        <v>419</v>
      </c>
      <c r="X370" t="s">
        <v>1911</v>
      </c>
      <c r="Y370" s="10">
        <v>41.61</v>
      </c>
      <c r="Z370" s="3">
        <v>45546</v>
      </c>
      <c r="AA370" s="3">
        <v>45554</v>
      </c>
      <c r="AB370" t="s">
        <v>2925</v>
      </c>
      <c r="AC370">
        <v>8</v>
      </c>
    </row>
    <row r="371" spans="1:29" x14ac:dyDescent="0.3">
      <c r="A371" s="3">
        <v>45665</v>
      </c>
      <c r="B371" s="3" t="str">
        <f>TEXT(CleanedTable[[#This Row],[OrderDate]],"mmm")</f>
        <v>Jan</v>
      </c>
      <c r="C371" s="3" t="str">
        <f>TEXT(CleanedTable[[#This Row],[OrderDate]],"yyyy")</f>
        <v>2025</v>
      </c>
      <c r="D371" s="3" t="str">
        <f>TEXT(CleanedTable[[#This Row],[OrderDate]],"mmm yyyy")</f>
        <v>Jan 2025</v>
      </c>
      <c r="E371" t="s">
        <v>22</v>
      </c>
      <c r="F371" t="s">
        <v>27</v>
      </c>
      <c r="G371" s="12">
        <v>4</v>
      </c>
      <c r="H371" s="8">
        <v>353.7</v>
      </c>
      <c r="I371" t="s">
        <v>32</v>
      </c>
      <c r="J371" t="s">
        <v>35</v>
      </c>
      <c r="K371" s="10">
        <v>0</v>
      </c>
      <c r="L371" t="s">
        <v>39</v>
      </c>
      <c r="M371">
        <v>1414.8</v>
      </c>
      <c r="N371">
        <v>848.88</v>
      </c>
      <c r="O371" s="10">
        <v>523.93999999999994</v>
      </c>
      <c r="P371" s="10">
        <v>0.37032796154933556</v>
      </c>
      <c r="Q371" s="8">
        <v>1414.8</v>
      </c>
      <c r="R371" t="s">
        <v>45</v>
      </c>
      <c r="S371" t="s">
        <v>48</v>
      </c>
      <c r="T371" t="s">
        <v>2931</v>
      </c>
      <c r="U371">
        <v>0</v>
      </c>
      <c r="V371" t="str">
        <f>IF(CleanedTable[[#This Row],[Returned]] = 0,"NO","Yes")</f>
        <v>NO</v>
      </c>
      <c r="W371" t="s">
        <v>420</v>
      </c>
      <c r="X371" t="s">
        <v>1912</v>
      </c>
      <c r="Y371" s="10">
        <v>41.98</v>
      </c>
      <c r="Z371" s="3">
        <v>45665</v>
      </c>
      <c r="AA371" s="3">
        <v>45669</v>
      </c>
      <c r="AB371" t="s">
        <v>2925</v>
      </c>
      <c r="AC371">
        <v>4</v>
      </c>
    </row>
    <row r="372" spans="1:29" x14ac:dyDescent="0.3">
      <c r="A372" s="3">
        <v>45516</v>
      </c>
      <c r="B372" s="3" t="str">
        <f>TEXT(CleanedTable[[#This Row],[OrderDate]],"mmm")</f>
        <v>Aug</v>
      </c>
      <c r="C372" s="3" t="str">
        <f>TEXT(CleanedTable[[#This Row],[OrderDate]],"yyyy")</f>
        <v>2024</v>
      </c>
      <c r="D372" s="3" t="str">
        <f>TEXT(CleanedTable[[#This Row],[OrderDate]],"mmm yyyy")</f>
        <v>Aug 2024</v>
      </c>
      <c r="E372" t="s">
        <v>22</v>
      </c>
      <c r="F372" t="s">
        <v>27</v>
      </c>
      <c r="G372" s="12">
        <v>3</v>
      </c>
      <c r="H372" s="8">
        <v>149.25</v>
      </c>
      <c r="I372" t="s">
        <v>34</v>
      </c>
      <c r="J372" t="s">
        <v>35</v>
      </c>
      <c r="K372" s="10">
        <v>0</v>
      </c>
      <c r="L372" t="s">
        <v>40</v>
      </c>
      <c r="M372">
        <v>447.75</v>
      </c>
      <c r="N372">
        <v>268.64999999999998</v>
      </c>
      <c r="O372" s="10">
        <v>165.93000000000004</v>
      </c>
      <c r="P372" s="10">
        <v>0.37058626465661648</v>
      </c>
      <c r="Q372" s="8">
        <v>447.75</v>
      </c>
      <c r="R372" t="s">
        <v>46</v>
      </c>
      <c r="T372" t="s">
        <v>2932</v>
      </c>
      <c r="U372">
        <v>1</v>
      </c>
      <c r="V372" t="str">
        <f>IF(CleanedTable[[#This Row],[Returned]] = 0,"NO","Yes")</f>
        <v>Yes</v>
      </c>
      <c r="W372" t="s">
        <v>421</v>
      </c>
      <c r="X372" t="s">
        <v>1913</v>
      </c>
      <c r="Y372" s="10">
        <v>13.17</v>
      </c>
      <c r="Z372" s="3">
        <v>45516</v>
      </c>
      <c r="AA372" s="3">
        <v>45518</v>
      </c>
      <c r="AB372" t="s">
        <v>2925</v>
      </c>
      <c r="AC372">
        <v>2</v>
      </c>
    </row>
    <row r="373" spans="1:29" x14ac:dyDescent="0.3">
      <c r="A373" s="3">
        <v>45015</v>
      </c>
      <c r="B373" s="3" t="str">
        <f>TEXT(CleanedTable[[#This Row],[OrderDate]],"mmm")</f>
        <v>Mar</v>
      </c>
      <c r="C373" s="3" t="str">
        <f>TEXT(CleanedTable[[#This Row],[OrderDate]],"yyyy")</f>
        <v>2023</v>
      </c>
      <c r="D373" s="3" t="str">
        <f>TEXT(CleanedTable[[#This Row],[OrderDate]],"mmm yyyy")</f>
        <v>Mar 2023</v>
      </c>
      <c r="E373" t="s">
        <v>21</v>
      </c>
      <c r="F373" t="s">
        <v>28</v>
      </c>
      <c r="G373" s="12">
        <v>19</v>
      </c>
      <c r="H373" s="8">
        <v>156.44</v>
      </c>
      <c r="I373" t="s">
        <v>33</v>
      </c>
      <c r="J373" t="s">
        <v>35</v>
      </c>
      <c r="K373" s="10">
        <v>0.1</v>
      </c>
      <c r="L373" t="s">
        <v>38</v>
      </c>
      <c r="M373">
        <v>2675.1240000000003</v>
      </c>
      <c r="N373">
        <v>1783.4159999999997</v>
      </c>
      <c r="O373" s="10">
        <v>872.26800000000048</v>
      </c>
      <c r="P373" s="10">
        <v>0.32606638047432585</v>
      </c>
      <c r="Q373" s="8">
        <v>2675.1239999999998</v>
      </c>
      <c r="R373" t="s">
        <v>43</v>
      </c>
      <c r="S373" t="s">
        <v>50</v>
      </c>
      <c r="T373" t="s">
        <v>2931</v>
      </c>
      <c r="U373">
        <v>0</v>
      </c>
      <c r="V373" t="str">
        <f>IF(CleanedTable[[#This Row],[Returned]] = 0,"NO","Yes")</f>
        <v>NO</v>
      </c>
      <c r="W373" t="s">
        <v>422</v>
      </c>
      <c r="X373" t="s">
        <v>1914</v>
      </c>
      <c r="Y373" s="10">
        <v>19.440000000000001</v>
      </c>
      <c r="Z373" s="3">
        <v>45015</v>
      </c>
      <c r="AA373" s="3">
        <v>45020</v>
      </c>
      <c r="AB373" t="s">
        <v>2924</v>
      </c>
      <c r="AC373">
        <v>5</v>
      </c>
    </row>
    <row r="374" spans="1:29" x14ac:dyDescent="0.3">
      <c r="A374" s="3">
        <v>44958</v>
      </c>
      <c r="B374" s="3" t="str">
        <f>TEXT(CleanedTable[[#This Row],[OrderDate]],"mmm")</f>
        <v>Feb</v>
      </c>
      <c r="C374" s="3" t="str">
        <f>TEXT(CleanedTable[[#This Row],[OrderDate]],"yyyy")</f>
        <v>2023</v>
      </c>
      <c r="D374" s="3" t="str">
        <f>TEXT(CleanedTable[[#This Row],[OrderDate]],"mmm yyyy")</f>
        <v>Feb 2023</v>
      </c>
      <c r="E374" t="s">
        <v>22</v>
      </c>
      <c r="F374" t="s">
        <v>25</v>
      </c>
      <c r="G374" s="12">
        <v>7</v>
      </c>
      <c r="H374" s="8">
        <v>241.76</v>
      </c>
      <c r="I374" t="s">
        <v>34</v>
      </c>
      <c r="J374" t="s">
        <v>35</v>
      </c>
      <c r="K374" s="10">
        <v>0</v>
      </c>
      <c r="L374" t="s">
        <v>40</v>
      </c>
      <c r="M374">
        <v>1692.32</v>
      </c>
      <c r="N374">
        <v>1015.3919999999998</v>
      </c>
      <c r="O374" s="10">
        <v>628.79800000000012</v>
      </c>
      <c r="P374" s="10">
        <v>0.37155975229271065</v>
      </c>
      <c r="Q374" s="8">
        <v>1692.32</v>
      </c>
      <c r="R374" t="s">
        <v>43</v>
      </c>
      <c r="S374" t="s">
        <v>49</v>
      </c>
      <c r="T374" t="s">
        <v>2931</v>
      </c>
      <c r="U374">
        <v>0</v>
      </c>
      <c r="V374" t="str">
        <f>IF(CleanedTable[[#This Row],[Returned]] = 0,"NO","Yes")</f>
        <v>NO</v>
      </c>
      <c r="W374" t="s">
        <v>423</v>
      </c>
      <c r="X374" t="s">
        <v>1915</v>
      </c>
      <c r="Y374" s="10">
        <v>48.13</v>
      </c>
      <c r="Z374" s="3">
        <v>44958</v>
      </c>
      <c r="AA374" s="3">
        <v>44966</v>
      </c>
      <c r="AB374" t="s">
        <v>2925</v>
      </c>
      <c r="AC374">
        <v>8</v>
      </c>
    </row>
    <row r="375" spans="1:29" x14ac:dyDescent="0.3">
      <c r="A375" s="3">
        <v>45765</v>
      </c>
      <c r="B375" s="3" t="str">
        <f>TEXT(CleanedTable[[#This Row],[OrderDate]],"mmm")</f>
        <v>Apr</v>
      </c>
      <c r="C375" s="3" t="str">
        <f>TEXT(CleanedTable[[#This Row],[OrderDate]],"yyyy")</f>
        <v>2025</v>
      </c>
      <c r="D375" s="3" t="str">
        <f>TEXT(CleanedTable[[#This Row],[OrderDate]],"mmm yyyy")</f>
        <v>Apr 2025</v>
      </c>
      <c r="E375" t="s">
        <v>21</v>
      </c>
      <c r="F375" t="s">
        <v>24</v>
      </c>
      <c r="G375" s="12">
        <v>20</v>
      </c>
      <c r="H375" s="8">
        <v>170.49</v>
      </c>
      <c r="I375" t="s">
        <v>32</v>
      </c>
      <c r="J375" t="s">
        <v>35</v>
      </c>
      <c r="K375" s="10">
        <v>0</v>
      </c>
      <c r="L375" t="s">
        <v>41</v>
      </c>
      <c r="M375">
        <v>3409.8</v>
      </c>
      <c r="N375">
        <v>2045.8799999999999</v>
      </c>
      <c r="O375" s="10">
        <v>1344.1800000000003</v>
      </c>
      <c r="P375" s="10">
        <v>0.39421080415273629</v>
      </c>
      <c r="Q375" s="8">
        <v>3409.8</v>
      </c>
      <c r="R375" t="s">
        <v>43</v>
      </c>
      <c r="S375" t="s">
        <v>48</v>
      </c>
      <c r="T375" t="s">
        <v>2931</v>
      </c>
      <c r="U375">
        <v>0</v>
      </c>
      <c r="V375" t="str">
        <f>IF(CleanedTable[[#This Row],[Returned]] = 0,"NO","Yes")</f>
        <v>NO</v>
      </c>
      <c r="W375" t="s">
        <v>424</v>
      </c>
      <c r="X375" t="s">
        <v>1651</v>
      </c>
      <c r="Y375" s="10">
        <v>19.739999999999998</v>
      </c>
      <c r="Z375" s="3">
        <v>45765</v>
      </c>
      <c r="AA375" s="3">
        <v>45774</v>
      </c>
      <c r="AB375" t="s">
        <v>2924</v>
      </c>
      <c r="AC375">
        <v>9</v>
      </c>
    </row>
    <row r="376" spans="1:29" x14ac:dyDescent="0.3">
      <c r="A376" s="3">
        <v>45745</v>
      </c>
      <c r="B376" s="3" t="str">
        <f>TEXT(CleanedTable[[#This Row],[OrderDate]],"mmm")</f>
        <v>Mar</v>
      </c>
      <c r="C376" s="3" t="str">
        <f>TEXT(CleanedTable[[#This Row],[OrderDate]],"yyyy")</f>
        <v>2025</v>
      </c>
      <c r="D376" s="3" t="str">
        <f>TEXT(CleanedTable[[#This Row],[OrderDate]],"mmm yyyy")</f>
        <v>Mar 2025</v>
      </c>
      <c r="E376" t="s">
        <v>22</v>
      </c>
      <c r="F376" t="s">
        <v>28</v>
      </c>
      <c r="G376" s="12">
        <v>11</v>
      </c>
      <c r="H376" s="8">
        <v>149.66999999999999</v>
      </c>
      <c r="I376" t="s">
        <v>33</v>
      </c>
      <c r="J376" t="s">
        <v>36</v>
      </c>
      <c r="K376" s="10">
        <v>0.1</v>
      </c>
      <c r="L376" t="s">
        <v>37</v>
      </c>
      <c r="M376">
        <v>1481.7329999999999</v>
      </c>
      <c r="N376">
        <v>987.82199999999989</v>
      </c>
      <c r="O376" s="10">
        <v>459.78100000000006</v>
      </c>
      <c r="P376" s="10">
        <v>0.3102994939034226</v>
      </c>
      <c r="Q376" s="8">
        <v>1481.7329999999999</v>
      </c>
      <c r="R376" t="s">
        <v>45</v>
      </c>
      <c r="T376" t="s">
        <v>2932</v>
      </c>
      <c r="U376">
        <v>0</v>
      </c>
      <c r="V376" t="str">
        <f>IF(CleanedTable[[#This Row],[Returned]] = 0,"NO","Yes")</f>
        <v>NO</v>
      </c>
      <c r="W376" t="s">
        <v>425</v>
      </c>
      <c r="X376" t="s">
        <v>1916</v>
      </c>
      <c r="Y376" s="10">
        <v>34.130000000000003</v>
      </c>
      <c r="Z376" s="3">
        <v>45745</v>
      </c>
      <c r="AA376" s="3">
        <v>45749</v>
      </c>
      <c r="AB376" t="s">
        <v>2925</v>
      </c>
      <c r="AC376">
        <v>4</v>
      </c>
    </row>
    <row r="377" spans="1:29" x14ac:dyDescent="0.3">
      <c r="A377" s="3">
        <v>45407</v>
      </c>
      <c r="B377" s="3" t="str">
        <f>TEXT(CleanedTable[[#This Row],[OrderDate]],"mmm")</f>
        <v>Apr</v>
      </c>
      <c r="C377" s="3" t="str">
        <f>TEXT(CleanedTable[[#This Row],[OrderDate]],"yyyy")</f>
        <v>2024</v>
      </c>
      <c r="D377" s="3" t="str">
        <f>TEXT(CleanedTable[[#This Row],[OrderDate]],"mmm yyyy")</f>
        <v>Apr 2024</v>
      </c>
      <c r="E377" t="s">
        <v>19</v>
      </c>
      <c r="F377" t="s">
        <v>29</v>
      </c>
      <c r="G377" s="12">
        <v>1</v>
      </c>
      <c r="H377" s="8">
        <v>173.56</v>
      </c>
      <c r="I377" t="s">
        <v>34</v>
      </c>
      <c r="J377" t="s">
        <v>36</v>
      </c>
      <c r="K377" s="10">
        <v>0.1</v>
      </c>
      <c r="L377" t="s">
        <v>37</v>
      </c>
      <c r="M377">
        <v>156.20400000000001</v>
      </c>
      <c r="N377">
        <v>104.136</v>
      </c>
      <c r="O377" s="10">
        <v>12.968000000000011</v>
      </c>
      <c r="P377" s="10">
        <v>8.3019640982305257E-2</v>
      </c>
      <c r="Q377" s="8">
        <v>156.20400000000001</v>
      </c>
      <c r="R377" t="s">
        <v>46</v>
      </c>
      <c r="S377" t="s">
        <v>48</v>
      </c>
      <c r="T377" t="s">
        <v>2931</v>
      </c>
      <c r="U377">
        <v>0</v>
      </c>
      <c r="V377" t="str">
        <f>IF(CleanedTable[[#This Row],[Returned]] = 0,"NO","Yes")</f>
        <v>NO</v>
      </c>
      <c r="W377" t="s">
        <v>426</v>
      </c>
      <c r="X377" t="s">
        <v>1917</v>
      </c>
      <c r="Y377" s="10">
        <v>39.1</v>
      </c>
      <c r="Z377" s="3">
        <v>45407</v>
      </c>
      <c r="AA377" s="3">
        <v>45410</v>
      </c>
      <c r="AB377" t="s">
        <v>2922</v>
      </c>
      <c r="AC377">
        <v>3</v>
      </c>
    </row>
    <row r="378" spans="1:29" x14ac:dyDescent="0.3">
      <c r="A378" s="3">
        <v>45557</v>
      </c>
      <c r="B378" s="3" t="str">
        <f>TEXT(CleanedTable[[#This Row],[OrderDate]],"mmm")</f>
        <v>Sep</v>
      </c>
      <c r="C378" s="3" t="str">
        <f>TEXT(CleanedTable[[#This Row],[OrderDate]],"yyyy")</f>
        <v>2024</v>
      </c>
      <c r="D378" s="3" t="str">
        <f>TEXT(CleanedTable[[#This Row],[OrderDate]],"mmm yyyy")</f>
        <v>Sep 2024</v>
      </c>
      <c r="E378" t="s">
        <v>20</v>
      </c>
      <c r="F378" t="s">
        <v>28</v>
      </c>
      <c r="G378" s="12">
        <v>7</v>
      </c>
      <c r="H378" s="8">
        <v>349.55</v>
      </c>
      <c r="I378" t="s">
        <v>32</v>
      </c>
      <c r="J378" t="s">
        <v>36</v>
      </c>
      <c r="K378" s="10">
        <v>0.05</v>
      </c>
      <c r="L378" t="s">
        <v>40</v>
      </c>
      <c r="M378">
        <v>2324.5074999999997</v>
      </c>
      <c r="N378">
        <v>1468.11</v>
      </c>
      <c r="O378" s="10">
        <v>832.69749999999976</v>
      </c>
      <c r="P378" s="10">
        <v>0.35822534450846033</v>
      </c>
      <c r="Q378" s="8">
        <v>2324.5075000000002</v>
      </c>
      <c r="R378" t="s">
        <v>45</v>
      </c>
      <c r="S378" t="s">
        <v>48</v>
      </c>
      <c r="T378" t="s">
        <v>2931</v>
      </c>
      <c r="U378">
        <v>0</v>
      </c>
      <c r="V378" t="str">
        <f>IF(CleanedTable[[#This Row],[Returned]] = 0,"NO","Yes")</f>
        <v>NO</v>
      </c>
      <c r="W378" t="s">
        <v>427</v>
      </c>
      <c r="X378" t="s">
        <v>1918</v>
      </c>
      <c r="Y378" s="10">
        <v>23.7</v>
      </c>
      <c r="Z378" s="3">
        <v>45557</v>
      </c>
      <c r="AA378" s="3">
        <v>45562</v>
      </c>
      <c r="AB378" t="s">
        <v>2923</v>
      </c>
      <c r="AC378">
        <v>5</v>
      </c>
    </row>
    <row r="379" spans="1:29" x14ac:dyDescent="0.3">
      <c r="A379" s="3">
        <v>45143</v>
      </c>
      <c r="B379" s="3" t="str">
        <f>TEXT(CleanedTable[[#This Row],[OrderDate]],"mmm")</f>
        <v>Aug</v>
      </c>
      <c r="C379" s="3" t="str">
        <f>TEXT(CleanedTable[[#This Row],[OrderDate]],"yyyy")</f>
        <v>2023</v>
      </c>
      <c r="D379" s="3" t="str">
        <f>TEXT(CleanedTable[[#This Row],[OrderDate]],"mmm yyyy")</f>
        <v>Aug 2023</v>
      </c>
      <c r="E379" t="s">
        <v>22</v>
      </c>
      <c r="F379" t="s">
        <v>29</v>
      </c>
      <c r="G379" s="12">
        <v>9</v>
      </c>
      <c r="H379" s="8">
        <v>245.14</v>
      </c>
      <c r="I379" t="s">
        <v>31</v>
      </c>
      <c r="J379" t="s">
        <v>35</v>
      </c>
      <c r="K379" s="10">
        <v>0</v>
      </c>
      <c r="L379" t="s">
        <v>38</v>
      </c>
      <c r="M379">
        <v>2206.2599999999998</v>
      </c>
      <c r="N379">
        <v>1323.7559999999999</v>
      </c>
      <c r="O379" s="10">
        <v>837.90399999999988</v>
      </c>
      <c r="P379" s="10">
        <v>0.3797847941765703</v>
      </c>
      <c r="Q379" s="8">
        <v>2206.2600000000002</v>
      </c>
      <c r="R379" t="s">
        <v>43</v>
      </c>
      <c r="S379" t="s">
        <v>49</v>
      </c>
      <c r="T379" t="s">
        <v>2931</v>
      </c>
      <c r="U379">
        <v>1</v>
      </c>
      <c r="V379" t="str">
        <f>IF(CleanedTable[[#This Row],[Returned]] = 0,"NO","Yes")</f>
        <v>Yes</v>
      </c>
      <c r="W379" t="s">
        <v>428</v>
      </c>
      <c r="X379" t="s">
        <v>1919</v>
      </c>
      <c r="Y379" s="10">
        <v>44.6</v>
      </c>
      <c r="Z379" s="3">
        <v>45143</v>
      </c>
      <c r="AA379" s="3">
        <v>45152</v>
      </c>
      <c r="AB379" t="s">
        <v>2925</v>
      </c>
      <c r="AC379">
        <v>9</v>
      </c>
    </row>
    <row r="380" spans="1:29" x14ac:dyDescent="0.3">
      <c r="A380" s="3">
        <v>45450</v>
      </c>
      <c r="B380" s="3" t="str">
        <f>TEXT(CleanedTable[[#This Row],[OrderDate]],"mmm")</f>
        <v>Jun</v>
      </c>
      <c r="C380" s="3" t="str">
        <f>TEXT(CleanedTable[[#This Row],[OrderDate]],"yyyy")</f>
        <v>2024</v>
      </c>
      <c r="D380" s="3" t="str">
        <f>TEXT(CleanedTable[[#This Row],[OrderDate]],"mmm yyyy")</f>
        <v>Jun 2024</v>
      </c>
      <c r="E380" t="s">
        <v>20</v>
      </c>
      <c r="F380" t="s">
        <v>26</v>
      </c>
      <c r="G380" s="12">
        <v>1</v>
      </c>
      <c r="H380" s="8">
        <v>423.08</v>
      </c>
      <c r="I380" t="s">
        <v>31</v>
      </c>
      <c r="J380" t="s">
        <v>35</v>
      </c>
      <c r="K380" s="10">
        <v>0.05</v>
      </c>
      <c r="L380" t="s">
        <v>42</v>
      </c>
      <c r="M380">
        <v>401.92599999999999</v>
      </c>
      <c r="N380">
        <v>253.84799999999998</v>
      </c>
      <c r="O380" s="10">
        <v>116.328</v>
      </c>
      <c r="P380" s="10">
        <v>0.28942641182705275</v>
      </c>
      <c r="Q380" s="8">
        <v>401.92599999999999</v>
      </c>
      <c r="R380" t="s">
        <v>44</v>
      </c>
      <c r="S380" t="s">
        <v>50</v>
      </c>
      <c r="T380" t="s">
        <v>2931</v>
      </c>
      <c r="U380">
        <v>0</v>
      </c>
      <c r="V380" t="str">
        <f>IF(CleanedTable[[#This Row],[Returned]] = 0,"NO","Yes")</f>
        <v>NO</v>
      </c>
      <c r="W380" t="s">
        <v>429</v>
      </c>
      <c r="X380" t="s">
        <v>1920</v>
      </c>
      <c r="Y380" s="10">
        <v>31.75</v>
      </c>
      <c r="Z380" s="3">
        <v>45450</v>
      </c>
      <c r="AA380" s="3">
        <v>45454</v>
      </c>
      <c r="AB380" t="s">
        <v>2923</v>
      </c>
      <c r="AC380">
        <v>4</v>
      </c>
    </row>
    <row r="381" spans="1:29" x14ac:dyDescent="0.3">
      <c r="A381" s="3">
        <v>45801</v>
      </c>
      <c r="B381" s="3" t="str">
        <f>TEXT(CleanedTable[[#This Row],[OrderDate]],"mmm")</f>
        <v>May</v>
      </c>
      <c r="C381" s="3" t="str">
        <f>TEXT(CleanedTable[[#This Row],[OrderDate]],"yyyy")</f>
        <v>2025</v>
      </c>
      <c r="D381" s="3" t="str">
        <f>TEXT(CleanedTable[[#This Row],[OrderDate]],"mmm yyyy")</f>
        <v>May 2025</v>
      </c>
      <c r="E381" t="s">
        <v>19</v>
      </c>
      <c r="F381" t="s">
        <v>25</v>
      </c>
      <c r="G381" s="12">
        <v>19</v>
      </c>
      <c r="H381" s="8">
        <v>337.82</v>
      </c>
      <c r="I381" t="s">
        <v>31</v>
      </c>
      <c r="J381" t="s">
        <v>35</v>
      </c>
      <c r="K381" s="10">
        <v>0.15</v>
      </c>
      <c r="L381" t="s">
        <v>38</v>
      </c>
      <c r="M381">
        <v>5455.7929999999997</v>
      </c>
      <c r="N381">
        <v>3851.1479999999997</v>
      </c>
      <c r="O381" s="10">
        <v>1558.905</v>
      </c>
      <c r="P381" s="10">
        <v>0.28573389789531972</v>
      </c>
      <c r="Q381" s="8">
        <v>5455.7929999999997</v>
      </c>
      <c r="R381" t="s">
        <v>43</v>
      </c>
      <c r="S381" t="s">
        <v>48</v>
      </c>
      <c r="T381" t="s">
        <v>2931</v>
      </c>
      <c r="U381">
        <v>0</v>
      </c>
      <c r="V381" t="str">
        <f>IF(CleanedTable[[#This Row],[Returned]] = 0,"NO","Yes")</f>
        <v>NO</v>
      </c>
      <c r="W381" t="s">
        <v>430</v>
      </c>
      <c r="X381" t="s">
        <v>1921</v>
      </c>
      <c r="Y381" s="10">
        <v>45.74</v>
      </c>
      <c r="Z381" s="3">
        <v>45801</v>
      </c>
      <c r="AA381" s="3">
        <v>45807</v>
      </c>
      <c r="AB381" t="s">
        <v>2922</v>
      </c>
      <c r="AC381">
        <v>6</v>
      </c>
    </row>
    <row r="382" spans="1:29" x14ac:dyDescent="0.3">
      <c r="A382" s="3">
        <v>45491</v>
      </c>
      <c r="B382" s="3" t="str">
        <f>TEXT(CleanedTable[[#This Row],[OrderDate]],"mmm")</f>
        <v>Jul</v>
      </c>
      <c r="C382" s="3" t="str">
        <f>TEXT(CleanedTable[[#This Row],[OrderDate]],"yyyy")</f>
        <v>2024</v>
      </c>
      <c r="D382" s="3" t="str">
        <f>TEXT(CleanedTable[[#This Row],[OrderDate]],"mmm yyyy")</f>
        <v>Jul 2024</v>
      </c>
      <c r="E382" t="s">
        <v>20</v>
      </c>
      <c r="F382" t="s">
        <v>27</v>
      </c>
      <c r="G382" s="12">
        <v>10</v>
      </c>
      <c r="H382" s="8">
        <v>252.63</v>
      </c>
      <c r="I382" t="s">
        <v>31</v>
      </c>
      <c r="J382" t="s">
        <v>36</v>
      </c>
      <c r="K382" s="10">
        <v>0.15</v>
      </c>
      <c r="L382" t="s">
        <v>37</v>
      </c>
      <c r="M382">
        <v>2147.355</v>
      </c>
      <c r="N382">
        <v>1515.78</v>
      </c>
      <c r="O382" s="10">
        <v>622.65500000000009</v>
      </c>
      <c r="P382" s="10">
        <v>0.28996369952802403</v>
      </c>
      <c r="Q382" s="8">
        <v>2147.355</v>
      </c>
      <c r="R382" t="s">
        <v>47</v>
      </c>
      <c r="S382" t="s">
        <v>48</v>
      </c>
      <c r="T382" t="s">
        <v>2931</v>
      </c>
      <c r="U382">
        <v>0</v>
      </c>
      <c r="V382" t="str">
        <f>IF(CleanedTable[[#This Row],[Returned]] = 0,"NO","Yes")</f>
        <v>NO</v>
      </c>
      <c r="W382" t="s">
        <v>431</v>
      </c>
      <c r="X382" t="s">
        <v>1922</v>
      </c>
      <c r="Y382" s="10">
        <v>8.92</v>
      </c>
      <c r="Z382" s="3">
        <v>45491</v>
      </c>
      <c r="AA382" s="3">
        <v>45498</v>
      </c>
      <c r="AB382" t="s">
        <v>2923</v>
      </c>
      <c r="AC382">
        <v>7</v>
      </c>
    </row>
    <row r="383" spans="1:29" x14ac:dyDescent="0.3">
      <c r="A383" s="3">
        <v>45487</v>
      </c>
      <c r="B383" s="3" t="str">
        <f>TEXT(CleanedTable[[#This Row],[OrderDate]],"mmm")</f>
        <v>Jul</v>
      </c>
      <c r="C383" s="3" t="str">
        <f>TEXT(CleanedTable[[#This Row],[OrderDate]],"yyyy")</f>
        <v>2024</v>
      </c>
      <c r="D383" s="3" t="str">
        <f>TEXT(CleanedTable[[#This Row],[OrderDate]],"mmm yyyy")</f>
        <v>Jul 2024</v>
      </c>
      <c r="E383" t="s">
        <v>23</v>
      </c>
      <c r="F383" t="s">
        <v>29</v>
      </c>
      <c r="G383" s="12">
        <v>3</v>
      </c>
      <c r="H383" s="8">
        <v>87.02</v>
      </c>
      <c r="I383" t="s">
        <v>31</v>
      </c>
      <c r="J383" t="s">
        <v>35</v>
      </c>
      <c r="K383" s="10">
        <v>0.1</v>
      </c>
      <c r="L383" t="s">
        <v>39</v>
      </c>
      <c r="M383">
        <v>234.95400000000001</v>
      </c>
      <c r="N383">
        <v>156.636</v>
      </c>
      <c r="O383" s="10">
        <v>67.188000000000017</v>
      </c>
      <c r="P383" s="10">
        <v>0.28596235858934094</v>
      </c>
      <c r="Q383" s="8">
        <v>234.95400000000001</v>
      </c>
      <c r="R383" t="s">
        <v>47</v>
      </c>
      <c r="S383" t="s">
        <v>50</v>
      </c>
      <c r="T383" t="s">
        <v>2931</v>
      </c>
      <c r="U383">
        <v>0</v>
      </c>
      <c r="V383" t="str">
        <f>IF(CleanedTable[[#This Row],[Returned]] = 0,"NO","Yes")</f>
        <v>NO</v>
      </c>
      <c r="W383" t="s">
        <v>432</v>
      </c>
      <c r="X383" t="s">
        <v>1923</v>
      </c>
      <c r="Y383" s="10">
        <v>11.13</v>
      </c>
      <c r="Z383" s="3">
        <v>45487</v>
      </c>
      <c r="AA383" s="3">
        <v>45489</v>
      </c>
      <c r="AB383" t="s">
        <v>2926</v>
      </c>
      <c r="AC383">
        <v>2</v>
      </c>
    </row>
    <row r="384" spans="1:29" x14ac:dyDescent="0.3">
      <c r="A384" s="3">
        <v>45030</v>
      </c>
      <c r="B384" s="3" t="str">
        <f>TEXT(CleanedTable[[#This Row],[OrderDate]],"mmm")</f>
        <v>Apr</v>
      </c>
      <c r="C384" s="3" t="str">
        <f>TEXT(CleanedTable[[#This Row],[OrderDate]],"yyyy")</f>
        <v>2023</v>
      </c>
      <c r="D384" s="3" t="str">
        <f>TEXT(CleanedTable[[#This Row],[OrderDate]],"mmm yyyy")</f>
        <v>Apr 2023</v>
      </c>
      <c r="E384" t="s">
        <v>22</v>
      </c>
      <c r="F384" t="s">
        <v>29</v>
      </c>
      <c r="G384" s="12">
        <v>11</v>
      </c>
      <c r="H384" s="8">
        <v>6.72</v>
      </c>
      <c r="I384" t="s">
        <v>34</v>
      </c>
      <c r="J384" t="s">
        <v>35</v>
      </c>
      <c r="K384" s="10">
        <v>0.05</v>
      </c>
      <c r="L384" t="s">
        <v>42</v>
      </c>
      <c r="M384">
        <v>70.224000000000004</v>
      </c>
      <c r="N384">
        <v>44.352000000000004</v>
      </c>
      <c r="O384" s="10">
        <v>-8.3980000000000032</v>
      </c>
      <c r="P384" s="10">
        <v>-0.11958874458874463</v>
      </c>
      <c r="Q384" s="8">
        <v>70.224000000000004</v>
      </c>
      <c r="R384" t="s">
        <v>47</v>
      </c>
      <c r="S384" t="s">
        <v>49</v>
      </c>
      <c r="T384" t="s">
        <v>2931</v>
      </c>
      <c r="U384">
        <v>0</v>
      </c>
      <c r="V384" t="str">
        <f>IF(CleanedTable[[#This Row],[Returned]] = 0,"NO","Yes")</f>
        <v>NO</v>
      </c>
      <c r="W384" t="s">
        <v>433</v>
      </c>
      <c r="X384" t="s">
        <v>1924</v>
      </c>
      <c r="Y384" s="10">
        <v>34.270000000000003</v>
      </c>
      <c r="Z384" s="3">
        <v>45030</v>
      </c>
      <c r="AA384" s="3">
        <v>45035</v>
      </c>
      <c r="AB384" t="s">
        <v>2925</v>
      </c>
      <c r="AC384">
        <v>5</v>
      </c>
    </row>
    <row r="385" spans="1:29" x14ac:dyDescent="0.3">
      <c r="A385" s="3">
        <v>45078</v>
      </c>
      <c r="B385" s="3" t="str">
        <f>TEXT(CleanedTable[[#This Row],[OrderDate]],"mmm")</f>
        <v>Jun</v>
      </c>
      <c r="C385" s="3" t="str">
        <f>TEXT(CleanedTable[[#This Row],[OrderDate]],"yyyy")</f>
        <v>2023</v>
      </c>
      <c r="D385" s="3" t="str">
        <f>TEXT(CleanedTable[[#This Row],[OrderDate]],"mmm yyyy")</f>
        <v>Jun 2023</v>
      </c>
      <c r="E385" t="s">
        <v>20</v>
      </c>
      <c r="F385" t="s">
        <v>30</v>
      </c>
      <c r="G385" s="12">
        <v>2</v>
      </c>
      <c r="H385" s="8">
        <v>279.38</v>
      </c>
      <c r="I385" t="s">
        <v>34</v>
      </c>
      <c r="J385" t="s">
        <v>36</v>
      </c>
      <c r="K385" s="10">
        <v>0.1</v>
      </c>
      <c r="L385" t="s">
        <v>40</v>
      </c>
      <c r="M385">
        <v>502.88400000000001</v>
      </c>
      <c r="N385">
        <v>335.25599999999997</v>
      </c>
      <c r="O385" s="10">
        <v>144.67800000000005</v>
      </c>
      <c r="P385" s="10">
        <v>0.28769656620612316</v>
      </c>
      <c r="Q385" s="8">
        <v>502.88400000000001</v>
      </c>
      <c r="R385" t="s">
        <v>43</v>
      </c>
      <c r="S385" t="s">
        <v>48</v>
      </c>
      <c r="T385" t="s">
        <v>2931</v>
      </c>
      <c r="U385">
        <v>0</v>
      </c>
      <c r="V385" t="str">
        <f>IF(CleanedTable[[#This Row],[Returned]] = 0,"NO","Yes")</f>
        <v>NO</v>
      </c>
      <c r="W385" t="s">
        <v>434</v>
      </c>
      <c r="X385" t="s">
        <v>1925</v>
      </c>
      <c r="Y385" s="10">
        <v>22.95</v>
      </c>
      <c r="Z385" s="3">
        <v>45078</v>
      </c>
      <c r="AA385" s="3">
        <v>45083</v>
      </c>
      <c r="AB385" t="s">
        <v>2923</v>
      </c>
      <c r="AC385">
        <v>5</v>
      </c>
    </row>
    <row r="386" spans="1:29" x14ac:dyDescent="0.3">
      <c r="A386" s="3">
        <v>45764</v>
      </c>
      <c r="B386" s="3" t="str">
        <f>TEXT(CleanedTable[[#This Row],[OrderDate]],"mmm")</f>
        <v>Apr</v>
      </c>
      <c r="C386" s="3" t="str">
        <f>TEXT(CleanedTable[[#This Row],[OrderDate]],"yyyy")</f>
        <v>2025</v>
      </c>
      <c r="D386" s="3" t="str">
        <f>TEXT(CleanedTable[[#This Row],[OrderDate]],"mmm yyyy")</f>
        <v>Apr 2025</v>
      </c>
      <c r="E386" t="s">
        <v>22</v>
      </c>
      <c r="F386" t="s">
        <v>25</v>
      </c>
      <c r="G386" s="12">
        <v>9</v>
      </c>
      <c r="H386" s="8">
        <v>207.8</v>
      </c>
      <c r="I386" t="s">
        <v>34</v>
      </c>
      <c r="J386" t="s">
        <v>36</v>
      </c>
      <c r="K386" s="10">
        <v>0.1</v>
      </c>
      <c r="L386" t="s">
        <v>38</v>
      </c>
      <c r="M386">
        <v>1683.18</v>
      </c>
      <c r="N386">
        <v>1122.1200000000001</v>
      </c>
      <c r="O386" s="10">
        <v>544.06999999999994</v>
      </c>
      <c r="P386" s="10">
        <v>0.32323934457396114</v>
      </c>
      <c r="Q386" s="8">
        <v>1683.18</v>
      </c>
      <c r="R386" t="s">
        <v>43</v>
      </c>
      <c r="S386" t="s">
        <v>50</v>
      </c>
      <c r="T386" t="s">
        <v>2931</v>
      </c>
      <c r="U386">
        <v>0</v>
      </c>
      <c r="V386" t="str">
        <f>IF(CleanedTable[[#This Row],[Returned]] = 0,"NO","Yes")</f>
        <v>NO</v>
      </c>
      <c r="W386" t="s">
        <v>435</v>
      </c>
      <c r="X386" t="s">
        <v>1926</v>
      </c>
      <c r="Y386" s="10">
        <v>16.989999999999998</v>
      </c>
      <c r="Z386" s="3">
        <v>45764</v>
      </c>
      <c r="AA386" s="3">
        <v>45767</v>
      </c>
      <c r="AB386" t="s">
        <v>2925</v>
      </c>
      <c r="AC386">
        <v>3</v>
      </c>
    </row>
    <row r="387" spans="1:29" x14ac:dyDescent="0.3">
      <c r="A387" s="3">
        <v>45747</v>
      </c>
      <c r="B387" s="3" t="str">
        <f>TEXT(CleanedTable[[#This Row],[OrderDate]],"mmm")</f>
        <v>Mar</v>
      </c>
      <c r="C387" s="3" t="str">
        <f>TEXT(CleanedTable[[#This Row],[OrderDate]],"yyyy")</f>
        <v>2025</v>
      </c>
      <c r="D387" s="3" t="str">
        <f>TEXT(CleanedTable[[#This Row],[OrderDate]],"mmm yyyy")</f>
        <v>Mar 2025</v>
      </c>
      <c r="E387" t="s">
        <v>19</v>
      </c>
      <c r="F387" t="s">
        <v>30</v>
      </c>
      <c r="G387" s="12">
        <v>15</v>
      </c>
      <c r="H387" s="8">
        <v>511.88</v>
      </c>
      <c r="I387" t="s">
        <v>33</v>
      </c>
      <c r="J387" t="s">
        <v>35</v>
      </c>
      <c r="K387" s="10">
        <v>0.05</v>
      </c>
      <c r="L387" t="s">
        <v>42</v>
      </c>
      <c r="M387">
        <v>7294.2899999999991</v>
      </c>
      <c r="N387">
        <v>4606.92</v>
      </c>
      <c r="O387" s="10">
        <v>2677.1499999999992</v>
      </c>
      <c r="P387" s="10">
        <v>0.36701995670586163</v>
      </c>
      <c r="Q387" s="8">
        <v>7294.2899999999991</v>
      </c>
      <c r="R387" t="s">
        <v>47</v>
      </c>
      <c r="S387" t="s">
        <v>49</v>
      </c>
      <c r="T387" t="s">
        <v>2931</v>
      </c>
      <c r="U387">
        <v>0</v>
      </c>
      <c r="V387" t="str">
        <f>IF(CleanedTable[[#This Row],[Returned]] = 0,"NO","Yes")</f>
        <v>NO</v>
      </c>
      <c r="W387" t="s">
        <v>436</v>
      </c>
      <c r="X387" t="s">
        <v>1927</v>
      </c>
      <c r="Y387" s="10">
        <v>10.220000000000001</v>
      </c>
      <c r="Z387" s="3">
        <v>45747</v>
      </c>
      <c r="AA387" s="3">
        <v>45756</v>
      </c>
      <c r="AB387" t="s">
        <v>2922</v>
      </c>
      <c r="AC387">
        <v>9</v>
      </c>
    </row>
    <row r="388" spans="1:29" x14ac:dyDescent="0.3">
      <c r="A388" s="3">
        <v>45488</v>
      </c>
      <c r="B388" s="3" t="str">
        <f>TEXT(CleanedTable[[#This Row],[OrderDate]],"mmm")</f>
        <v>Jul</v>
      </c>
      <c r="C388" s="3" t="str">
        <f>TEXT(CleanedTable[[#This Row],[OrderDate]],"yyyy")</f>
        <v>2024</v>
      </c>
      <c r="D388" s="3" t="str">
        <f>TEXT(CleanedTable[[#This Row],[OrderDate]],"mmm yyyy")</f>
        <v>Jul 2024</v>
      </c>
      <c r="E388" t="s">
        <v>19</v>
      </c>
      <c r="F388" t="s">
        <v>30</v>
      </c>
      <c r="G388" s="12">
        <v>10</v>
      </c>
      <c r="H388" s="8">
        <v>325.97000000000003</v>
      </c>
      <c r="I388" t="s">
        <v>34</v>
      </c>
      <c r="J388" t="s">
        <v>36</v>
      </c>
      <c r="K388" s="10">
        <v>0</v>
      </c>
      <c r="L388" t="s">
        <v>42</v>
      </c>
      <c r="M388">
        <v>3259.7000000000003</v>
      </c>
      <c r="N388">
        <v>1955.8200000000002</v>
      </c>
      <c r="O388" s="10">
        <v>1253.93</v>
      </c>
      <c r="P388" s="10">
        <v>0.38467650397275821</v>
      </c>
      <c r="Q388" s="8">
        <v>3259.7</v>
      </c>
      <c r="R388" t="s">
        <v>47</v>
      </c>
      <c r="S388" t="s">
        <v>48</v>
      </c>
      <c r="T388" t="s">
        <v>2931</v>
      </c>
      <c r="U388">
        <v>1</v>
      </c>
      <c r="V388" t="str">
        <f>IF(CleanedTable[[#This Row],[Returned]] = 0,"NO","Yes")</f>
        <v>Yes</v>
      </c>
      <c r="W388" t="s">
        <v>437</v>
      </c>
      <c r="X388" t="s">
        <v>1928</v>
      </c>
      <c r="Y388" s="10">
        <v>49.95</v>
      </c>
      <c r="Z388" s="3">
        <v>45488</v>
      </c>
      <c r="AA388" s="3">
        <v>45495</v>
      </c>
      <c r="AB388" t="s">
        <v>2922</v>
      </c>
      <c r="AC388">
        <v>7</v>
      </c>
    </row>
    <row r="389" spans="1:29" x14ac:dyDescent="0.3">
      <c r="A389" s="3">
        <v>45534</v>
      </c>
      <c r="B389" s="3" t="str">
        <f>TEXT(CleanedTable[[#This Row],[OrderDate]],"mmm")</f>
        <v>Aug</v>
      </c>
      <c r="C389" s="3" t="str">
        <f>TEXT(CleanedTable[[#This Row],[OrderDate]],"yyyy")</f>
        <v>2024</v>
      </c>
      <c r="D389" s="3" t="str">
        <f>TEXT(CleanedTable[[#This Row],[OrderDate]],"mmm yyyy")</f>
        <v>Aug 2024</v>
      </c>
      <c r="E389" t="s">
        <v>20</v>
      </c>
      <c r="F389" t="s">
        <v>24</v>
      </c>
      <c r="G389" s="12">
        <v>17</v>
      </c>
      <c r="H389" s="8">
        <v>469.32</v>
      </c>
      <c r="I389" t="s">
        <v>31</v>
      </c>
      <c r="J389" t="s">
        <v>36</v>
      </c>
      <c r="K389" s="10">
        <v>0</v>
      </c>
      <c r="L389" t="s">
        <v>40</v>
      </c>
      <c r="M389">
        <v>7978.44</v>
      </c>
      <c r="N389">
        <v>4787.0639999999994</v>
      </c>
      <c r="O389" s="10">
        <v>3185.5160000000001</v>
      </c>
      <c r="P389" s="10">
        <v>0.39926552057795761</v>
      </c>
      <c r="Q389" s="8">
        <v>7978.44</v>
      </c>
      <c r="R389" t="s">
        <v>44</v>
      </c>
      <c r="S389" t="s">
        <v>50</v>
      </c>
      <c r="T389" t="s">
        <v>2931</v>
      </c>
      <c r="U389">
        <v>1</v>
      </c>
      <c r="V389" t="str">
        <f>IF(CleanedTable[[#This Row],[Returned]] = 0,"NO","Yes")</f>
        <v>Yes</v>
      </c>
      <c r="W389" t="s">
        <v>438</v>
      </c>
      <c r="X389" t="s">
        <v>1929</v>
      </c>
      <c r="Y389" s="10">
        <v>5.86</v>
      </c>
      <c r="Z389" s="3">
        <v>45534</v>
      </c>
      <c r="AA389" s="3">
        <v>45536</v>
      </c>
      <c r="AB389" t="s">
        <v>2923</v>
      </c>
      <c r="AC389">
        <v>2</v>
      </c>
    </row>
    <row r="390" spans="1:29" x14ac:dyDescent="0.3">
      <c r="A390" s="3">
        <v>45664</v>
      </c>
      <c r="B390" s="3" t="str">
        <f>TEXT(CleanedTable[[#This Row],[OrderDate]],"mmm")</f>
        <v>Jan</v>
      </c>
      <c r="C390" s="3" t="str">
        <f>TEXT(CleanedTable[[#This Row],[OrderDate]],"yyyy")</f>
        <v>2025</v>
      </c>
      <c r="D390" s="3" t="str">
        <f>TEXT(CleanedTable[[#This Row],[OrderDate]],"mmm yyyy")</f>
        <v>Jan 2025</v>
      </c>
      <c r="E390" t="s">
        <v>22</v>
      </c>
      <c r="F390" t="s">
        <v>25</v>
      </c>
      <c r="G390" s="12">
        <v>13</v>
      </c>
      <c r="H390" s="8">
        <v>186.69</v>
      </c>
      <c r="I390" t="s">
        <v>34</v>
      </c>
      <c r="J390" t="s">
        <v>35</v>
      </c>
      <c r="K390" s="10">
        <v>0</v>
      </c>
      <c r="L390" t="s">
        <v>42</v>
      </c>
      <c r="M390">
        <v>2426.9699999999998</v>
      </c>
      <c r="N390">
        <v>1456.182</v>
      </c>
      <c r="O390" s="10">
        <v>950.86799999999982</v>
      </c>
      <c r="P390" s="10">
        <v>0.39179223476186353</v>
      </c>
      <c r="Q390" s="8">
        <v>2426.9699999999998</v>
      </c>
      <c r="R390" t="s">
        <v>47</v>
      </c>
      <c r="S390" t="s">
        <v>48</v>
      </c>
      <c r="T390" t="s">
        <v>2931</v>
      </c>
      <c r="U390">
        <v>0</v>
      </c>
      <c r="V390" t="str">
        <f>IF(CleanedTable[[#This Row],[Returned]] = 0,"NO","Yes")</f>
        <v>NO</v>
      </c>
      <c r="W390" t="s">
        <v>439</v>
      </c>
      <c r="X390" t="s">
        <v>1930</v>
      </c>
      <c r="Y390" s="10">
        <v>19.920000000000002</v>
      </c>
      <c r="Z390" s="3">
        <v>45664</v>
      </c>
      <c r="AA390" s="3">
        <v>45667</v>
      </c>
      <c r="AB390" t="s">
        <v>2925</v>
      </c>
      <c r="AC390">
        <v>3</v>
      </c>
    </row>
    <row r="391" spans="1:29" x14ac:dyDescent="0.3">
      <c r="A391" s="3">
        <v>45693</v>
      </c>
      <c r="B391" s="3" t="str">
        <f>TEXT(CleanedTable[[#This Row],[OrderDate]],"mmm")</f>
        <v>Feb</v>
      </c>
      <c r="C391" s="3" t="str">
        <f>TEXT(CleanedTable[[#This Row],[OrderDate]],"yyyy")</f>
        <v>2025</v>
      </c>
      <c r="D391" s="3" t="str">
        <f>TEXT(CleanedTable[[#This Row],[OrderDate]],"mmm yyyy")</f>
        <v>Feb 2025</v>
      </c>
      <c r="E391" t="s">
        <v>20</v>
      </c>
      <c r="F391" t="s">
        <v>25</v>
      </c>
      <c r="G391" s="12">
        <v>16</v>
      </c>
      <c r="H391" s="8">
        <v>34.659999999999997</v>
      </c>
      <c r="I391" t="s">
        <v>33</v>
      </c>
      <c r="J391" t="s">
        <v>36</v>
      </c>
      <c r="K391" s="10">
        <v>0.05</v>
      </c>
      <c r="L391" t="s">
        <v>38</v>
      </c>
      <c r="M391">
        <v>526.83199999999988</v>
      </c>
      <c r="N391">
        <v>332.73599999999993</v>
      </c>
      <c r="O391" s="10">
        <v>144.19599999999994</v>
      </c>
      <c r="P391" s="10">
        <v>0.27370395116469759</v>
      </c>
      <c r="Q391" s="8">
        <v>526.83199999999988</v>
      </c>
      <c r="R391" t="s">
        <v>46</v>
      </c>
      <c r="T391" t="s">
        <v>2932</v>
      </c>
      <c r="U391">
        <v>0</v>
      </c>
      <c r="V391" t="str">
        <f>IF(CleanedTable[[#This Row],[Returned]] = 0,"NO","Yes")</f>
        <v>NO</v>
      </c>
      <c r="W391" t="s">
        <v>440</v>
      </c>
      <c r="X391" t="s">
        <v>1931</v>
      </c>
      <c r="Y391" s="10">
        <v>49.9</v>
      </c>
      <c r="Z391" s="3">
        <v>45693</v>
      </c>
      <c r="AA391" s="3">
        <v>45699</v>
      </c>
      <c r="AB391" t="s">
        <v>2923</v>
      </c>
      <c r="AC391">
        <v>6</v>
      </c>
    </row>
    <row r="392" spans="1:29" x14ac:dyDescent="0.3">
      <c r="A392" s="3">
        <v>45383</v>
      </c>
      <c r="B392" s="3" t="str">
        <f>TEXT(CleanedTable[[#This Row],[OrderDate]],"mmm")</f>
        <v>Apr</v>
      </c>
      <c r="C392" s="3" t="str">
        <f>TEXT(CleanedTable[[#This Row],[OrderDate]],"yyyy")</f>
        <v>2024</v>
      </c>
      <c r="D392" s="3" t="str">
        <f>TEXT(CleanedTable[[#This Row],[OrderDate]],"mmm yyyy")</f>
        <v>Apr 2024</v>
      </c>
      <c r="E392" t="s">
        <v>21</v>
      </c>
      <c r="F392" t="s">
        <v>30</v>
      </c>
      <c r="G392" s="12">
        <v>18</v>
      </c>
      <c r="H392" s="8">
        <v>155.04</v>
      </c>
      <c r="I392" t="s">
        <v>31</v>
      </c>
      <c r="J392" t="s">
        <v>35</v>
      </c>
      <c r="K392" s="10">
        <v>0.15</v>
      </c>
      <c r="L392" t="s">
        <v>39</v>
      </c>
      <c r="M392">
        <v>2372.1119999999996</v>
      </c>
      <c r="N392">
        <v>1674.4319999999998</v>
      </c>
      <c r="O392" s="10">
        <v>657.68999999999983</v>
      </c>
      <c r="P392" s="10">
        <v>0.27725925251421513</v>
      </c>
      <c r="Q392" s="8">
        <v>2372.1120000000001</v>
      </c>
      <c r="R392" t="s">
        <v>47</v>
      </c>
      <c r="S392" t="s">
        <v>50</v>
      </c>
      <c r="T392" t="s">
        <v>2931</v>
      </c>
      <c r="U392">
        <v>0</v>
      </c>
      <c r="V392" t="str">
        <f>IF(CleanedTable[[#This Row],[Returned]] = 0,"NO","Yes")</f>
        <v>NO</v>
      </c>
      <c r="W392" t="s">
        <v>441</v>
      </c>
      <c r="X392" t="s">
        <v>1932</v>
      </c>
      <c r="Y392" s="10">
        <v>39.99</v>
      </c>
      <c r="Z392" s="3">
        <v>45383</v>
      </c>
      <c r="AA392" s="3">
        <v>45386</v>
      </c>
      <c r="AB392" t="s">
        <v>2924</v>
      </c>
      <c r="AC392">
        <v>3</v>
      </c>
    </row>
    <row r="393" spans="1:29" x14ac:dyDescent="0.3">
      <c r="A393" s="3">
        <v>45717</v>
      </c>
      <c r="B393" s="3" t="str">
        <f>TEXT(CleanedTable[[#This Row],[OrderDate]],"mmm")</f>
        <v>Mar</v>
      </c>
      <c r="C393" s="3" t="str">
        <f>TEXT(CleanedTable[[#This Row],[OrderDate]],"yyyy")</f>
        <v>2025</v>
      </c>
      <c r="D393" s="3" t="str">
        <f>TEXT(CleanedTable[[#This Row],[OrderDate]],"mmm yyyy")</f>
        <v>Mar 2025</v>
      </c>
      <c r="E393" t="s">
        <v>23</v>
      </c>
      <c r="F393" t="s">
        <v>28</v>
      </c>
      <c r="G393" s="12">
        <v>4</v>
      </c>
      <c r="H393" s="8">
        <v>69.599999999999994</v>
      </c>
      <c r="I393" t="s">
        <v>34</v>
      </c>
      <c r="J393" t="s">
        <v>35</v>
      </c>
      <c r="K393" s="10">
        <v>0.05</v>
      </c>
      <c r="L393" t="s">
        <v>37</v>
      </c>
      <c r="M393">
        <v>264.47999999999996</v>
      </c>
      <c r="N393">
        <v>167.04</v>
      </c>
      <c r="O393" s="10">
        <v>79.759999999999962</v>
      </c>
      <c r="P393" s="10">
        <v>0.30157289776164542</v>
      </c>
      <c r="Q393" s="8">
        <v>264.48</v>
      </c>
      <c r="R393" t="s">
        <v>44</v>
      </c>
      <c r="S393" t="s">
        <v>49</v>
      </c>
      <c r="T393" t="s">
        <v>2931</v>
      </c>
      <c r="U393">
        <v>0</v>
      </c>
      <c r="V393" t="str">
        <f>IF(CleanedTable[[#This Row],[Returned]] = 0,"NO","Yes")</f>
        <v>NO</v>
      </c>
      <c r="W393" t="s">
        <v>442</v>
      </c>
      <c r="X393" t="s">
        <v>1933</v>
      </c>
      <c r="Y393" s="10">
        <v>17.68</v>
      </c>
      <c r="Z393" s="3">
        <v>45717</v>
      </c>
      <c r="AA393" s="3">
        <v>45725</v>
      </c>
      <c r="AB393" t="s">
        <v>2926</v>
      </c>
      <c r="AC393">
        <v>8</v>
      </c>
    </row>
    <row r="394" spans="1:29" x14ac:dyDescent="0.3">
      <c r="A394" s="3">
        <v>45110</v>
      </c>
      <c r="B394" s="3" t="str">
        <f>TEXT(CleanedTable[[#This Row],[OrderDate]],"mmm")</f>
        <v>Jul</v>
      </c>
      <c r="C394" s="3" t="str">
        <f>TEXT(CleanedTable[[#This Row],[OrderDate]],"yyyy")</f>
        <v>2023</v>
      </c>
      <c r="D394" s="3" t="str">
        <f>TEXT(CleanedTable[[#This Row],[OrderDate]],"mmm yyyy")</f>
        <v>Jul 2023</v>
      </c>
      <c r="E394" t="s">
        <v>22</v>
      </c>
      <c r="F394" t="s">
        <v>28</v>
      </c>
      <c r="G394" s="12">
        <v>13</v>
      </c>
      <c r="H394" s="8">
        <v>55.09</v>
      </c>
      <c r="I394" t="s">
        <v>32</v>
      </c>
      <c r="J394" t="s">
        <v>35</v>
      </c>
      <c r="K394" s="10">
        <v>0.15</v>
      </c>
      <c r="L394" t="s">
        <v>41</v>
      </c>
      <c r="M394">
        <v>608.74450000000002</v>
      </c>
      <c r="N394">
        <v>429.702</v>
      </c>
      <c r="O394" s="10">
        <v>131.26250000000002</v>
      </c>
      <c r="P394" s="10">
        <v>0.21562823154870395</v>
      </c>
      <c r="Q394" s="8">
        <v>608.74450000000002</v>
      </c>
      <c r="R394" t="s">
        <v>47</v>
      </c>
      <c r="S394" t="s">
        <v>48</v>
      </c>
      <c r="T394" t="s">
        <v>2931</v>
      </c>
      <c r="U394">
        <v>1</v>
      </c>
      <c r="V394" t="str">
        <f>IF(CleanedTable[[#This Row],[Returned]] = 0,"NO","Yes")</f>
        <v>Yes</v>
      </c>
      <c r="W394" t="s">
        <v>443</v>
      </c>
      <c r="X394" t="s">
        <v>1934</v>
      </c>
      <c r="Y394" s="10">
        <v>47.78</v>
      </c>
      <c r="Z394" s="3">
        <v>45110</v>
      </c>
      <c r="AA394" s="3">
        <v>45113</v>
      </c>
      <c r="AB394" t="s">
        <v>2925</v>
      </c>
      <c r="AC394">
        <v>3</v>
      </c>
    </row>
    <row r="395" spans="1:29" x14ac:dyDescent="0.3">
      <c r="A395" s="3">
        <v>45041</v>
      </c>
      <c r="B395" s="3" t="str">
        <f>TEXT(CleanedTable[[#This Row],[OrderDate]],"mmm")</f>
        <v>Apr</v>
      </c>
      <c r="C395" s="3" t="str">
        <f>TEXT(CleanedTable[[#This Row],[OrderDate]],"yyyy")</f>
        <v>2023</v>
      </c>
      <c r="D395" s="3" t="str">
        <f>TEXT(CleanedTable[[#This Row],[OrderDate]],"mmm yyyy")</f>
        <v>Apr 2023</v>
      </c>
      <c r="E395" t="s">
        <v>22</v>
      </c>
      <c r="F395" t="s">
        <v>24</v>
      </c>
      <c r="G395" s="12">
        <v>13</v>
      </c>
      <c r="H395" s="8">
        <v>206.11</v>
      </c>
      <c r="I395" t="s">
        <v>31</v>
      </c>
      <c r="J395" t="s">
        <v>36</v>
      </c>
      <c r="K395" s="10">
        <v>0.15</v>
      </c>
      <c r="L395" t="s">
        <v>42</v>
      </c>
      <c r="M395">
        <v>2277.5155</v>
      </c>
      <c r="N395">
        <v>1607.6579999999999</v>
      </c>
      <c r="O395" s="10">
        <v>647.26750000000004</v>
      </c>
      <c r="P395" s="10">
        <v>0.28419894398084228</v>
      </c>
      <c r="Q395" s="8">
        <v>2277.5155</v>
      </c>
      <c r="R395" t="s">
        <v>44</v>
      </c>
      <c r="S395" t="s">
        <v>49</v>
      </c>
      <c r="T395" t="s">
        <v>2931</v>
      </c>
      <c r="U395">
        <v>1</v>
      </c>
      <c r="V395" t="str">
        <f>IF(CleanedTable[[#This Row],[Returned]] = 0,"NO","Yes")</f>
        <v>Yes</v>
      </c>
      <c r="W395" t="s">
        <v>444</v>
      </c>
      <c r="X395" t="s">
        <v>1935</v>
      </c>
      <c r="Y395" s="10">
        <v>22.59</v>
      </c>
      <c r="Z395" s="3">
        <v>45041</v>
      </c>
      <c r="AA395" s="3">
        <v>45047</v>
      </c>
      <c r="AB395" t="s">
        <v>2925</v>
      </c>
      <c r="AC395">
        <v>6</v>
      </c>
    </row>
    <row r="396" spans="1:29" x14ac:dyDescent="0.3">
      <c r="A396" s="3">
        <v>45756</v>
      </c>
      <c r="B396" s="3" t="str">
        <f>TEXT(CleanedTable[[#This Row],[OrderDate]],"mmm")</f>
        <v>Apr</v>
      </c>
      <c r="C396" s="3" t="str">
        <f>TEXT(CleanedTable[[#This Row],[OrderDate]],"yyyy")</f>
        <v>2025</v>
      </c>
      <c r="D396" s="3" t="str">
        <f>TEXT(CleanedTable[[#This Row],[OrderDate]],"mmm yyyy")</f>
        <v>Apr 2025</v>
      </c>
      <c r="E396" t="s">
        <v>23</v>
      </c>
      <c r="F396" t="s">
        <v>29</v>
      </c>
      <c r="G396" s="12">
        <v>14</v>
      </c>
      <c r="H396" s="8">
        <v>484.38</v>
      </c>
      <c r="I396" t="s">
        <v>34</v>
      </c>
      <c r="J396" t="s">
        <v>36</v>
      </c>
      <c r="K396" s="10">
        <v>0.05</v>
      </c>
      <c r="L396" t="s">
        <v>39</v>
      </c>
      <c r="M396">
        <v>6442.253999999999</v>
      </c>
      <c r="N396">
        <v>4068.7919999999999</v>
      </c>
      <c r="O396" s="10">
        <v>2344.2219999999993</v>
      </c>
      <c r="P396" s="10">
        <v>0.36388226853520517</v>
      </c>
      <c r="Q396" s="8">
        <v>6442.253999999999</v>
      </c>
      <c r="R396" t="s">
        <v>46</v>
      </c>
      <c r="S396" t="s">
        <v>49</v>
      </c>
      <c r="T396" t="s">
        <v>2931</v>
      </c>
      <c r="U396">
        <v>0</v>
      </c>
      <c r="V396" t="str">
        <f>IF(CleanedTable[[#This Row],[Returned]] = 0,"NO","Yes")</f>
        <v>NO</v>
      </c>
      <c r="W396" t="s">
        <v>445</v>
      </c>
      <c r="X396" t="s">
        <v>1936</v>
      </c>
      <c r="Y396" s="10">
        <v>29.24</v>
      </c>
      <c r="Z396" s="3">
        <v>45756</v>
      </c>
      <c r="AA396" s="3">
        <v>45766</v>
      </c>
      <c r="AB396" t="s">
        <v>2926</v>
      </c>
      <c r="AC396">
        <v>10</v>
      </c>
    </row>
    <row r="397" spans="1:29" x14ac:dyDescent="0.3">
      <c r="A397" s="3">
        <v>45235</v>
      </c>
      <c r="B397" s="3" t="str">
        <f>TEXT(CleanedTable[[#This Row],[OrderDate]],"mmm")</f>
        <v>Nov</v>
      </c>
      <c r="C397" s="3" t="str">
        <f>TEXT(CleanedTable[[#This Row],[OrderDate]],"yyyy")</f>
        <v>2023</v>
      </c>
      <c r="D397" s="3" t="str">
        <f>TEXT(CleanedTable[[#This Row],[OrderDate]],"mmm yyyy")</f>
        <v>Nov 2023</v>
      </c>
      <c r="E397" t="s">
        <v>21</v>
      </c>
      <c r="F397" t="s">
        <v>28</v>
      </c>
      <c r="G397" s="12">
        <v>6</v>
      </c>
      <c r="H397" s="8">
        <v>449.57</v>
      </c>
      <c r="I397" t="s">
        <v>34</v>
      </c>
      <c r="J397" t="s">
        <v>35</v>
      </c>
      <c r="K397" s="10">
        <v>0</v>
      </c>
      <c r="L397" t="s">
        <v>39</v>
      </c>
      <c r="M397">
        <v>2697.42</v>
      </c>
      <c r="N397">
        <v>1618.4519999999998</v>
      </c>
      <c r="O397" s="10">
        <v>1055.8780000000004</v>
      </c>
      <c r="P397" s="10">
        <v>0.39143996856255248</v>
      </c>
      <c r="Q397" s="8">
        <v>2697.42</v>
      </c>
      <c r="R397" t="s">
        <v>44</v>
      </c>
      <c r="S397" t="s">
        <v>50</v>
      </c>
      <c r="T397" t="s">
        <v>2931</v>
      </c>
      <c r="U397">
        <v>0</v>
      </c>
      <c r="V397" t="str">
        <f>IF(CleanedTable[[#This Row],[Returned]] = 0,"NO","Yes")</f>
        <v>NO</v>
      </c>
      <c r="W397" t="s">
        <v>446</v>
      </c>
      <c r="X397" t="s">
        <v>1937</v>
      </c>
      <c r="Y397" s="10">
        <v>23.09</v>
      </c>
      <c r="Z397" s="3">
        <v>45235</v>
      </c>
      <c r="AA397" s="3">
        <v>45242</v>
      </c>
      <c r="AB397" t="s">
        <v>2924</v>
      </c>
      <c r="AC397">
        <v>7</v>
      </c>
    </row>
    <row r="398" spans="1:29" x14ac:dyDescent="0.3">
      <c r="A398" s="3">
        <v>44939</v>
      </c>
      <c r="B398" s="3" t="str">
        <f>TEXT(CleanedTable[[#This Row],[OrderDate]],"mmm")</f>
        <v>Jan</v>
      </c>
      <c r="C398" s="3" t="str">
        <f>TEXT(CleanedTable[[#This Row],[OrderDate]],"yyyy")</f>
        <v>2023</v>
      </c>
      <c r="D398" s="3" t="str">
        <f>TEXT(CleanedTable[[#This Row],[OrderDate]],"mmm yyyy")</f>
        <v>Jan 2023</v>
      </c>
      <c r="E398" t="s">
        <v>19</v>
      </c>
      <c r="F398" t="s">
        <v>24</v>
      </c>
      <c r="G398" s="12">
        <v>9</v>
      </c>
      <c r="H398" s="8">
        <v>223.01</v>
      </c>
      <c r="I398" t="s">
        <v>33</v>
      </c>
      <c r="J398" t="s">
        <v>36</v>
      </c>
      <c r="K398" s="10">
        <v>0</v>
      </c>
      <c r="L398" t="s">
        <v>41</v>
      </c>
      <c r="M398">
        <v>2007.09</v>
      </c>
      <c r="N398">
        <v>1204.2539999999999</v>
      </c>
      <c r="O398" s="10">
        <v>790.93600000000004</v>
      </c>
      <c r="P398" s="10">
        <v>0.39407101824033802</v>
      </c>
      <c r="Q398" s="8">
        <v>2007.09</v>
      </c>
      <c r="R398" t="s">
        <v>47</v>
      </c>
      <c r="T398" t="s">
        <v>2932</v>
      </c>
      <c r="U398">
        <v>1</v>
      </c>
      <c r="V398" t="str">
        <f>IF(CleanedTable[[#This Row],[Returned]] = 0,"NO","Yes")</f>
        <v>Yes</v>
      </c>
      <c r="W398" t="s">
        <v>447</v>
      </c>
      <c r="X398" t="s">
        <v>1938</v>
      </c>
      <c r="Y398" s="10">
        <v>11.9</v>
      </c>
      <c r="Z398" s="3">
        <v>44939</v>
      </c>
      <c r="AA398" s="3">
        <v>44945</v>
      </c>
      <c r="AB398" t="s">
        <v>2922</v>
      </c>
      <c r="AC398">
        <v>6</v>
      </c>
    </row>
    <row r="399" spans="1:29" x14ac:dyDescent="0.3">
      <c r="A399" s="3">
        <v>45694</v>
      </c>
      <c r="B399" s="3" t="str">
        <f>TEXT(CleanedTable[[#This Row],[OrderDate]],"mmm")</f>
        <v>Feb</v>
      </c>
      <c r="C399" s="3" t="str">
        <f>TEXT(CleanedTable[[#This Row],[OrderDate]],"yyyy")</f>
        <v>2025</v>
      </c>
      <c r="D399" s="3" t="str">
        <f>TEXT(CleanedTable[[#This Row],[OrderDate]],"mmm yyyy")</f>
        <v>Feb 2025</v>
      </c>
      <c r="E399" t="s">
        <v>23</v>
      </c>
      <c r="F399" t="s">
        <v>27</v>
      </c>
      <c r="G399" s="12">
        <v>14</v>
      </c>
      <c r="H399" s="8">
        <v>291.91000000000003</v>
      </c>
      <c r="I399" t="s">
        <v>32</v>
      </c>
      <c r="J399" t="s">
        <v>36</v>
      </c>
      <c r="K399" s="10">
        <v>0.15</v>
      </c>
      <c r="L399" t="s">
        <v>39</v>
      </c>
      <c r="M399">
        <v>3473.7290000000003</v>
      </c>
      <c r="N399">
        <v>2452.0440000000003</v>
      </c>
      <c r="O399" s="10">
        <v>994.17499999999995</v>
      </c>
      <c r="P399" s="10">
        <v>0.28619820371710053</v>
      </c>
      <c r="Q399" s="8">
        <v>3473.7289999999998</v>
      </c>
      <c r="R399" t="s">
        <v>45</v>
      </c>
      <c r="T399" t="s">
        <v>2932</v>
      </c>
      <c r="U399">
        <v>0</v>
      </c>
      <c r="V399" t="str">
        <f>IF(CleanedTable[[#This Row],[Returned]] = 0,"NO","Yes")</f>
        <v>NO</v>
      </c>
      <c r="W399" t="s">
        <v>448</v>
      </c>
      <c r="X399" t="s">
        <v>1939</v>
      </c>
      <c r="Y399" s="10">
        <v>27.51</v>
      </c>
      <c r="Z399" s="3">
        <v>45694</v>
      </c>
      <c r="AA399" s="3">
        <v>45698</v>
      </c>
      <c r="AB399" t="s">
        <v>2926</v>
      </c>
      <c r="AC399">
        <v>4</v>
      </c>
    </row>
    <row r="400" spans="1:29" x14ac:dyDescent="0.3">
      <c r="A400" s="3">
        <v>45066</v>
      </c>
      <c r="B400" s="3" t="str">
        <f>TEXT(CleanedTable[[#This Row],[OrderDate]],"mmm")</f>
        <v>May</v>
      </c>
      <c r="C400" s="3" t="str">
        <f>TEXT(CleanedTable[[#This Row],[OrderDate]],"yyyy")</f>
        <v>2023</v>
      </c>
      <c r="D400" s="3" t="str">
        <f>TEXT(CleanedTable[[#This Row],[OrderDate]],"mmm yyyy")</f>
        <v>May 2023</v>
      </c>
      <c r="E400" t="s">
        <v>20</v>
      </c>
      <c r="F400" t="s">
        <v>28</v>
      </c>
      <c r="G400" s="12">
        <v>13</v>
      </c>
      <c r="H400" s="8">
        <v>90.86</v>
      </c>
      <c r="I400" t="s">
        <v>32</v>
      </c>
      <c r="J400" t="s">
        <v>35</v>
      </c>
      <c r="K400" s="10">
        <v>0</v>
      </c>
      <c r="L400" t="s">
        <v>40</v>
      </c>
      <c r="M400">
        <v>1181.18</v>
      </c>
      <c r="N400">
        <v>708.70799999999997</v>
      </c>
      <c r="O400" s="10">
        <v>455.73200000000008</v>
      </c>
      <c r="P400" s="10">
        <v>0.38582773159044348</v>
      </c>
      <c r="Q400" s="8">
        <v>1181.18</v>
      </c>
      <c r="R400" t="s">
        <v>44</v>
      </c>
      <c r="S400" t="s">
        <v>49</v>
      </c>
      <c r="T400" t="s">
        <v>2931</v>
      </c>
      <c r="U400">
        <v>0</v>
      </c>
      <c r="V400" t="str">
        <f>IF(CleanedTable[[#This Row],[Returned]] = 0,"NO","Yes")</f>
        <v>NO</v>
      </c>
      <c r="W400" t="s">
        <v>449</v>
      </c>
      <c r="X400" t="s">
        <v>1940</v>
      </c>
      <c r="Y400" s="10">
        <v>16.739999999999998</v>
      </c>
      <c r="Z400" s="3">
        <v>45066</v>
      </c>
      <c r="AA400" s="3">
        <v>45071</v>
      </c>
      <c r="AB400" t="s">
        <v>2923</v>
      </c>
      <c r="AC400">
        <v>5</v>
      </c>
    </row>
    <row r="401" spans="1:29" x14ac:dyDescent="0.3">
      <c r="A401" s="3">
        <v>45826</v>
      </c>
      <c r="B401" s="3" t="str">
        <f>TEXT(CleanedTable[[#This Row],[OrderDate]],"mmm")</f>
        <v>Jun</v>
      </c>
      <c r="C401" s="3" t="str">
        <f>TEXT(CleanedTable[[#This Row],[OrderDate]],"yyyy")</f>
        <v>2025</v>
      </c>
      <c r="D401" s="3" t="str">
        <f>TEXT(CleanedTable[[#This Row],[OrderDate]],"mmm yyyy")</f>
        <v>Jun 2025</v>
      </c>
      <c r="E401" t="s">
        <v>19</v>
      </c>
      <c r="F401" t="s">
        <v>26</v>
      </c>
      <c r="G401" s="12">
        <v>4</v>
      </c>
      <c r="H401" s="8">
        <v>109.05</v>
      </c>
      <c r="I401" t="s">
        <v>34</v>
      </c>
      <c r="J401" t="s">
        <v>35</v>
      </c>
      <c r="K401" s="10">
        <v>0</v>
      </c>
      <c r="L401" t="s">
        <v>41</v>
      </c>
      <c r="M401">
        <v>436.2</v>
      </c>
      <c r="N401">
        <v>261.71999999999997</v>
      </c>
      <c r="O401" s="10">
        <v>153.46</v>
      </c>
      <c r="P401" s="10">
        <v>0.35181109582760206</v>
      </c>
      <c r="Q401" s="8">
        <v>436.2</v>
      </c>
      <c r="R401" t="s">
        <v>44</v>
      </c>
      <c r="S401" t="s">
        <v>50</v>
      </c>
      <c r="T401" t="s">
        <v>2931</v>
      </c>
      <c r="U401">
        <v>0</v>
      </c>
      <c r="V401" t="str">
        <f>IF(CleanedTable[[#This Row],[Returned]] = 0,"NO","Yes")</f>
        <v>NO</v>
      </c>
      <c r="W401" t="s">
        <v>450</v>
      </c>
      <c r="X401" t="s">
        <v>1941</v>
      </c>
      <c r="Y401" s="10">
        <v>21.02</v>
      </c>
      <c r="Z401" s="3">
        <v>45826</v>
      </c>
      <c r="AA401" s="3">
        <v>45832</v>
      </c>
      <c r="AB401" t="s">
        <v>2922</v>
      </c>
      <c r="AC401">
        <v>6</v>
      </c>
    </row>
    <row r="402" spans="1:29" x14ac:dyDescent="0.3">
      <c r="A402" s="3">
        <v>44980</v>
      </c>
      <c r="B402" s="3" t="str">
        <f>TEXT(CleanedTable[[#This Row],[OrderDate]],"mmm")</f>
        <v>Feb</v>
      </c>
      <c r="C402" s="3" t="str">
        <f>TEXT(CleanedTable[[#This Row],[OrderDate]],"yyyy")</f>
        <v>2023</v>
      </c>
      <c r="D402" s="3" t="str">
        <f>TEXT(CleanedTable[[#This Row],[OrderDate]],"mmm yyyy")</f>
        <v>Feb 2023</v>
      </c>
      <c r="E402" t="s">
        <v>23</v>
      </c>
      <c r="F402" t="s">
        <v>29</v>
      </c>
      <c r="G402" s="12">
        <v>12</v>
      </c>
      <c r="H402" s="8">
        <v>245.6</v>
      </c>
      <c r="I402" t="s">
        <v>34</v>
      </c>
      <c r="J402" t="s">
        <v>36</v>
      </c>
      <c r="K402" s="10">
        <v>0</v>
      </c>
      <c r="L402" t="s">
        <v>42</v>
      </c>
      <c r="M402">
        <v>2947.2</v>
      </c>
      <c r="N402">
        <v>1768.3199999999997</v>
      </c>
      <c r="O402" s="10">
        <v>1134.96</v>
      </c>
      <c r="P402" s="10">
        <v>0.38509771986970687</v>
      </c>
      <c r="Q402" s="8">
        <v>2947.2</v>
      </c>
      <c r="R402" t="s">
        <v>47</v>
      </c>
      <c r="S402" t="s">
        <v>48</v>
      </c>
      <c r="T402" t="s">
        <v>2931</v>
      </c>
      <c r="U402">
        <v>1</v>
      </c>
      <c r="V402" t="str">
        <f>IF(CleanedTable[[#This Row],[Returned]] = 0,"NO","Yes")</f>
        <v>Yes</v>
      </c>
      <c r="W402" t="s">
        <v>451</v>
      </c>
      <c r="X402" t="s">
        <v>1942</v>
      </c>
      <c r="Y402" s="10">
        <v>43.92</v>
      </c>
      <c r="Z402" s="3">
        <v>44980</v>
      </c>
      <c r="AA402" s="3">
        <v>44984</v>
      </c>
      <c r="AB402" t="s">
        <v>2926</v>
      </c>
      <c r="AC402">
        <v>4</v>
      </c>
    </row>
    <row r="403" spans="1:29" x14ac:dyDescent="0.3">
      <c r="A403" s="3">
        <v>45605</v>
      </c>
      <c r="B403" s="3" t="str">
        <f>TEXT(CleanedTable[[#This Row],[OrderDate]],"mmm")</f>
        <v>Nov</v>
      </c>
      <c r="C403" s="3" t="str">
        <f>TEXT(CleanedTable[[#This Row],[OrderDate]],"yyyy")</f>
        <v>2024</v>
      </c>
      <c r="D403" s="3" t="str">
        <f>TEXT(CleanedTable[[#This Row],[OrderDate]],"mmm yyyy")</f>
        <v>Nov 2024</v>
      </c>
      <c r="E403" t="s">
        <v>19</v>
      </c>
      <c r="F403" t="s">
        <v>30</v>
      </c>
      <c r="G403" s="12">
        <v>15</v>
      </c>
      <c r="H403" s="8">
        <v>380.03</v>
      </c>
      <c r="I403" t="s">
        <v>32</v>
      </c>
      <c r="J403" t="s">
        <v>36</v>
      </c>
      <c r="K403" s="10">
        <v>0</v>
      </c>
      <c r="L403" t="s">
        <v>42</v>
      </c>
      <c r="M403">
        <v>5700.45</v>
      </c>
      <c r="N403">
        <v>3420.2699999999995</v>
      </c>
      <c r="O403" s="10">
        <v>2254.4600000000005</v>
      </c>
      <c r="P403" s="10">
        <v>0.39548807550281129</v>
      </c>
      <c r="Q403" s="8">
        <v>5700.45</v>
      </c>
      <c r="R403" t="s">
        <v>43</v>
      </c>
      <c r="T403" t="s">
        <v>2932</v>
      </c>
      <c r="U403">
        <v>0</v>
      </c>
      <c r="V403" t="str">
        <f>IF(CleanedTable[[#This Row],[Returned]] = 0,"NO","Yes")</f>
        <v>NO</v>
      </c>
      <c r="W403" t="s">
        <v>452</v>
      </c>
      <c r="X403" t="s">
        <v>1943</v>
      </c>
      <c r="Y403" s="10">
        <v>25.72</v>
      </c>
      <c r="Z403" s="3">
        <v>45605</v>
      </c>
      <c r="AA403" s="3">
        <v>45608</v>
      </c>
      <c r="AB403" t="s">
        <v>2922</v>
      </c>
      <c r="AC403">
        <v>3</v>
      </c>
    </row>
    <row r="404" spans="1:29" x14ac:dyDescent="0.3">
      <c r="A404" s="3">
        <v>45498</v>
      </c>
      <c r="B404" s="3" t="str">
        <f>TEXT(CleanedTable[[#This Row],[OrderDate]],"mmm")</f>
        <v>Jul</v>
      </c>
      <c r="C404" s="3" t="str">
        <f>TEXT(CleanedTable[[#This Row],[OrderDate]],"yyyy")</f>
        <v>2024</v>
      </c>
      <c r="D404" s="3" t="str">
        <f>TEXT(CleanedTable[[#This Row],[OrderDate]],"mmm yyyy")</f>
        <v>Jul 2024</v>
      </c>
      <c r="E404" t="s">
        <v>20</v>
      </c>
      <c r="F404" t="s">
        <v>29</v>
      </c>
      <c r="G404" s="12">
        <v>3</v>
      </c>
      <c r="H404" s="8">
        <v>417.58</v>
      </c>
      <c r="I404" t="s">
        <v>34</v>
      </c>
      <c r="J404" t="s">
        <v>36</v>
      </c>
      <c r="K404" s="10">
        <v>0.05</v>
      </c>
      <c r="L404" t="s">
        <v>39</v>
      </c>
      <c r="M404">
        <v>1190.1030000000001</v>
      </c>
      <c r="N404">
        <v>751.64399999999989</v>
      </c>
      <c r="O404" s="10">
        <v>395.03900000000016</v>
      </c>
      <c r="P404" s="10">
        <v>0.33193681555293963</v>
      </c>
      <c r="Q404" s="8">
        <v>1190.1030000000001</v>
      </c>
      <c r="R404" t="s">
        <v>44</v>
      </c>
      <c r="S404" t="s">
        <v>49</v>
      </c>
      <c r="T404" t="s">
        <v>2931</v>
      </c>
      <c r="U404">
        <v>0</v>
      </c>
      <c r="V404" t="str">
        <f>IF(CleanedTable[[#This Row],[Returned]] = 0,"NO","Yes")</f>
        <v>NO</v>
      </c>
      <c r="W404" t="s">
        <v>453</v>
      </c>
      <c r="X404" t="s">
        <v>1944</v>
      </c>
      <c r="Y404" s="10">
        <v>43.42</v>
      </c>
      <c r="Z404" s="3">
        <v>45498</v>
      </c>
      <c r="AA404" s="3">
        <v>45504</v>
      </c>
      <c r="AB404" t="s">
        <v>2923</v>
      </c>
      <c r="AC404">
        <v>6</v>
      </c>
    </row>
    <row r="405" spans="1:29" x14ac:dyDescent="0.3">
      <c r="A405" s="3">
        <v>45157</v>
      </c>
      <c r="B405" s="3" t="str">
        <f>TEXT(CleanedTable[[#This Row],[OrderDate]],"mmm")</f>
        <v>Aug</v>
      </c>
      <c r="C405" s="3" t="str">
        <f>TEXT(CleanedTable[[#This Row],[OrderDate]],"yyyy")</f>
        <v>2023</v>
      </c>
      <c r="D405" s="3" t="str">
        <f>TEXT(CleanedTable[[#This Row],[OrderDate]],"mmm yyyy")</f>
        <v>Aug 2023</v>
      </c>
      <c r="E405" t="s">
        <v>23</v>
      </c>
      <c r="F405" t="s">
        <v>24</v>
      </c>
      <c r="G405" s="12">
        <v>15</v>
      </c>
      <c r="H405" s="8">
        <v>432.17</v>
      </c>
      <c r="I405" t="s">
        <v>34</v>
      </c>
      <c r="J405" t="s">
        <v>35</v>
      </c>
      <c r="K405" s="10">
        <v>0.15</v>
      </c>
      <c r="L405" t="s">
        <v>39</v>
      </c>
      <c r="M405">
        <v>5510.1674999999996</v>
      </c>
      <c r="N405">
        <v>3889.53</v>
      </c>
      <c r="O405" s="10">
        <v>1575.7574999999993</v>
      </c>
      <c r="P405" s="10">
        <v>0.28597270409656317</v>
      </c>
      <c r="Q405" s="8">
        <v>5510.1674999999996</v>
      </c>
      <c r="R405" t="s">
        <v>46</v>
      </c>
      <c r="S405" t="s">
        <v>50</v>
      </c>
      <c r="T405" t="s">
        <v>2931</v>
      </c>
      <c r="U405">
        <v>0</v>
      </c>
      <c r="V405" t="str">
        <f>IF(CleanedTable[[#This Row],[Returned]] = 0,"NO","Yes")</f>
        <v>NO</v>
      </c>
      <c r="W405" t="s">
        <v>454</v>
      </c>
      <c r="X405" t="s">
        <v>1945</v>
      </c>
      <c r="Y405" s="10">
        <v>44.88</v>
      </c>
      <c r="Z405" s="3">
        <v>45157</v>
      </c>
      <c r="AA405" s="3">
        <v>45161</v>
      </c>
      <c r="AB405" t="s">
        <v>2926</v>
      </c>
      <c r="AC405">
        <v>4</v>
      </c>
    </row>
    <row r="406" spans="1:29" x14ac:dyDescent="0.3">
      <c r="A406" s="3">
        <v>45243</v>
      </c>
      <c r="B406" s="3" t="str">
        <f>TEXT(CleanedTable[[#This Row],[OrderDate]],"mmm")</f>
        <v>Nov</v>
      </c>
      <c r="C406" s="3" t="str">
        <f>TEXT(CleanedTable[[#This Row],[OrderDate]],"yyyy")</f>
        <v>2023</v>
      </c>
      <c r="D406" s="3" t="str">
        <f>TEXT(CleanedTable[[#This Row],[OrderDate]],"mmm yyyy")</f>
        <v>Nov 2023</v>
      </c>
      <c r="E406" t="s">
        <v>20</v>
      </c>
      <c r="F406" t="s">
        <v>28</v>
      </c>
      <c r="G406" s="12">
        <v>13</v>
      </c>
      <c r="H406" s="8">
        <v>531.77</v>
      </c>
      <c r="I406" t="s">
        <v>33</v>
      </c>
      <c r="J406" t="s">
        <v>36</v>
      </c>
      <c r="K406" s="10">
        <v>0.1</v>
      </c>
      <c r="L406" t="s">
        <v>42</v>
      </c>
      <c r="M406">
        <v>6221.7090000000007</v>
      </c>
      <c r="N406">
        <v>4147.8059999999996</v>
      </c>
      <c r="O406" s="10">
        <v>2035.9930000000011</v>
      </c>
      <c r="P406" s="10">
        <v>0.3272401521832668</v>
      </c>
      <c r="Q406" s="8">
        <v>6221.7090000000007</v>
      </c>
      <c r="R406" t="s">
        <v>43</v>
      </c>
      <c r="S406" t="s">
        <v>49</v>
      </c>
      <c r="T406" t="s">
        <v>2931</v>
      </c>
      <c r="U406">
        <v>0</v>
      </c>
      <c r="V406" t="str">
        <f>IF(CleanedTable[[#This Row],[Returned]] = 0,"NO","Yes")</f>
        <v>NO</v>
      </c>
      <c r="W406" t="s">
        <v>455</v>
      </c>
      <c r="X406" t="s">
        <v>1946</v>
      </c>
      <c r="Y406" s="10">
        <v>37.909999999999997</v>
      </c>
      <c r="Z406" s="3">
        <v>45243</v>
      </c>
      <c r="AA406" s="3">
        <v>45245</v>
      </c>
      <c r="AB406" t="s">
        <v>2923</v>
      </c>
      <c r="AC406">
        <v>2</v>
      </c>
    </row>
    <row r="407" spans="1:29" x14ac:dyDescent="0.3">
      <c r="A407" s="3">
        <v>45545</v>
      </c>
      <c r="B407" s="3" t="str">
        <f>TEXT(CleanedTable[[#This Row],[OrderDate]],"mmm")</f>
        <v>Sep</v>
      </c>
      <c r="C407" s="3" t="str">
        <f>TEXT(CleanedTable[[#This Row],[OrderDate]],"yyyy")</f>
        <v>2024</v>
      </c>
      <c r="D407" s="3" t="str">
        <f>TEXT(CleanedTable[[#This Row],[OrderDate]],"mmm yyyy")</f>
        <v>Sep 2024</v>
      </c>
      <c r="E407" t="s">
        <v>23</v>
      </c>
      <c r="F407" t="s">
        <v>29</v>
      </c>
      <c r="G407" s="12">
        <v>13</v>
      </c>
      <c r="H407" s="8">
        <v>442.99</v>
      </c>
      <c r="I407" t="s">
        <v>32</v>
      </c>
      <c r="J407" t="s">
        <v>35</v>
      </c>
      <c r="K407" s="10">
        <v>0.05</v>
      </c>
      <c r="L407" t="s">
        <v>38</v>
      </c>
      <c r="M407">
        <v>5470.9264999999996</v>
      </c>
      <c r="N407">
        <v>3455.3219999999997</v>
      </c>
      <c r="O407" s="10">
        <v>1978.4845</v>
      </c>
      <c r="P407" s="10">
        <v>0.36163609582398887</v>
      </c>
      <c r="Q407" s="8">
        <v>5470.9264999999996</v>
      </c>
      <c r="R407" t="s">
        <v>44</v>
      </c>
      <c r="S407" t="s">
        <v>49</v>
      </c>
      <c r="T407" t="s">
        <v>2931</v>
      </c>
      <c r="U407">
        <v>0</v>
      </c>
      <c r="V407" t="str">
        <f>IF(CleanedTable[[#This Row],[Returned]] = 0,"NO","Yes")</f>
        <v>NO</v>
      </c>
      <c r="W407" t="s">
        <v>456</v>
      </c>
      <c r="X407" t="s">
        <v>1947</v>
      </c>
      <c r="Y407" s="10">
        <v>37.119999999999997</v>
      </c>
      <c r="Z407" s="3">
        <v>45545</v>
      </c>
      <c r="AA407" s="3">
        <v>45553</v>
      </c>
      <c r="AB407" t="s">
        <v>2926</v>
      </c>
      <c r="AC407">
        <v>8</v>
      </c>
    </row>
    <row r="408" spans="1:29" x14ac:dyDescent="0.3">
      <c r="A408" s="3">
        <v>45534</v>
      </c>
      <c r="B408" s="3" t="str">
        <f>TEXT(CleanedTable[[#This Row],[OrderDate]],"mmm")</f>
        <v>Aug</v>
      </c>
      <c r="C408" s="3" t="str">
        <f>TEXT(CleanedTable[[#This Row],[OrderDate]],"yyyy")</f>
        <v>2024</v>
      </c>
      <c r="D408" s="3" t="str">
        <f>TEXT(CleanedTable[[#This Row],[OrderDate]],"mmm yyyy")</f>
        <v>Aug 2024</v>
      </c>
      <c r="E408" t="s">
        <v>22</v>
      </c>
      <c r="F408" t="s">
        <v>27</v>
      </c>
      <c r="G408" s="12">
        <v>13</v>
      </c>
      <c r="H408" s="8">
        <v>567.5</v>
      </c>
      <c r="I408" t="s">
        <v>32</v>
      </c>
      <c r="J408" t="s">
        <v>36</v>
      </c>
      <c r="K408" s="10">
        <v>0</v>
      </c>
      <c r="L408" t="s">
        <v>37</v>
      </c>
      <c r="M408">
        <v>7377.5</v>
      </c>
      <c r="N408">
        <v>4426.5</v>
      </c>
      <c r="O408" s="10">
        <v>2922.59</v>
      </c>
      <c r="P408" s="10">
        <v>0.3961491019993223</v>
      </c>
      <c r="Q408" s="8">
        <v>7377.5</v>
      </c>
      <c r="R408" t="s">
        <v>45</v>
      </c>
      <c r="T408" t="s">
        <v>2932</v>
      </c>
      <c r="U408">
        <v>0</v>
      </c>
      <c r="V408" t="str">
        <f>IF(CleanedTable[[#This Row],[Returned]] = 0,"NO","Yes")</f>
        <v>NO</v>
      </c>
      <c r="W408" t="s">
        <v>457</v>
      </c>
      <c r="X408" t="s">
        <v>1948</v>
      </c>
      <c r="Y408" s="10">
        <v>28.41</v>
      </c>
      <c r="Z408" s="3">
        <v>45534</v>
      </c>
      <c r="AA408" s="3">
        <v>45537</v>
      </c>
      <c r="AB408" t="s">
        <v>2925</v>
      </c>
      <c r="AC408">
        <v>3</v>
      </c>
    </row>
    <row r="409" spans="1:29" x14ac:dyDescent="0.3">
      <c r="A409" s="3">
        <v>45606</v>
      </c>
      <c r="B409" s="3" t="str">
        <f>TEXT(CleanedTable[[#This Row],[OrderDate]],"mmm")</f>
        <v>Nov</v>
      </c>
      <c r="C409" s="3" t="str">
        <f>TEXT(CleanedTable[[#This Row],[OrderDate]],"yyyy")</f>
        <v>2024</v>
      </c>
      <c r="D409" s="3" t="str">
        <f>TEXT(CleanedTable[[#This Row],[OrderDate]],"mmm yyyy")</f>
        <v>Nov 2024</v>
      </c>
      <c r="E409" t="s">
        <v>19</v>
      </c>
      <c r="F409" t="s">
        <v>29</v>
      </c>
      <c r="G409" s="12">
        <v>15</v>
      </c>
      <c r="H409" s="8">
        <v>469.52</v>
      </c>
      <c r="I409" t="s">
        <v>33</v>
      </c>
      <c r="J409" t="s">
        <v>35</v>
      </c>
      <c r="K409" s="10">
        <v>0</v>
      </c>
      <c r="L409" t="s">
        <v>38</v>
      </c>
      <c r="M409">
        <v>7042.7999999999993</v>
      </c>
      <c r="N409">
        <v>4225.68</v>
      </c>
      <c r="O409" s="10">
        <v>2781.5199999999991</v>
      </c>
      <c r="P409" s="10">
        <v>0.39494519225308106</v>
      </c>
      <c r="Q409" s="8">
        <v>7042.7999999999993</v>
      </c>
      <c r="R409" t="s">
        <v>45</v>
      </c>
      <c r="S409" t="s">
        <v>48</v>
      </c>
      <c r="T409" t="s">
        <v>2931</v>
      </c>
      <c r="U409">
        <v>0</v>
      </c>
      <c r="V409" t="str">
        <f>IF(CleanedTable[[#This Row],[Returned]] = 0,"NO","Yes")</f>
        <v>NO</v>
      </c>
      <c r="W409" t="s">
        <v>458</v>
      </c>
      <c r="X409" t="s">
        <v>1949</v>
      </c>
      <c r="Y409" s="10">
        <v>35.6</v>
      </c>
      <c r="Z409" s="3">
        <v>45606</v>
      </c>
      <c r="AA409" s="3">
        <v>45613</v>
      </c>
      <c r="AB409" t="s">
        <v>2922</v>
      </c>
      <c r="AC409">
        <v>7</v>
      </c>
    </row>
    <row r="410" spans="1:29" x14ac:dyDescent="0.3">
      <c r="A410" s="3">
        <v>45029</v>
      </c>
      <c r="B410" s="3" t="str">
        <f>TEXT(CleanedTable[[#This Row],[OrderDate]],"mmm")</f>
        <v>Apr</v>
      </c>
      <c r="C410" s="3" t="str">
        <f>TEXT(CleanedTable[[#This Row],[OrderDate]],"yyyy")</f>
        <v>2023</v>
      </c>
      <c r="D410" s="3" t="str">
        <f>TEXT(CleanedTable[[#This Row],[OrderDate]],"mmm yyyy")</f>
        <v>Apr 2023</v>
      </c>
      <c r="E410" t="s">
        <v>19</v>
      </c>
      <c r="F410" t="s">
        <v>30</v>
      </c>
      <c r="G410" s="12">
        <v>1</v>
      </c>
      <c r="H410" s="8">
        <v>396.09</v>
      </c>
      <c r="I410" t="s">
        <v>34</v>
      </c>
      <c r="J410" t="s">
        <v>35</v>
      </c>
      <c r="K410" s="10">
        <v>0.15</v>
      </c>
      <c r="L410" t="s">
        <v>39</v>
      </c>
      <c r="M410">
        <v>336.67649999999998</v>
      </c>
      <c r="N410">
        <v>237.65399999999997</v>
      </c>
      <c r="O410" s="10">
        <v>59.642500000000005</v>
      </c>
      <c r="P410" s="10">
        <v>0.17715076638850649</v>
      </c>
      <c r="Q410" s="8">
        <v>336.67649999999998</v>
      </c>
      <c r="R410" t="s">
        <v>45</v>
      </c>
      <c r="S410" t="s">
        <v>50</v>
      </c>
      <c r="T410" t="s">
        <v>2931</v>
      </c>
      <c r="U410">
        <v>0</v>
      </c>
      <c r="V410" t="str">
        <f>IF(CleanedTable[[#This Row],[Returned]] = 0,"NO","Yes")</f>
        <v>NO</v>
      </c>
      <c r="W410" t="s">
        <v>459</v>
      </c>
      <c r="X410" t="s">
        <v>1950</v>
      </c>
      <c r="Y410" s="10">
        <v>39.380000000000003</v>
      </c>
      <c r="Z410" s="3">
        <v>45029</v>
      </c>
      <c r="AA410" s="3">
        <v>45035</v>
      </c>
      <c r="AB410" t="s">
        <v>2922</v>
      </c>
      <c r="AC410">
        <v>6</v>
      </c>
    </row>
    <row r="411" spans="1:29" x14ac:dyDescent="0.3">
      <c r="A411" s="3">
        <v>45250</v>
      </c>
      <c r="B411" s="3" t="str">
        <f>TEXT(CleanedTable[[#This Row],[OrderDate]],"mmm")</f>
        <v>Nov</v>
      </c>
      <c r="C411" s="3" t="str">
        <f>TEXT(CleanedTable[[#This Row],[OrderDate]],"yyyy")</f>
        <v>2023</v>
      </c>
      <c r="D411" s="3" t="str">
        <f>TEXT(CleanedTable[[#This Row],[OrderDate]],"mmm yyyy")</f>
        <v>Nov 2023</v>
      </c>
      <c r="E411" t="s">
        <v>19</v>
      </c>
      <c r="F411" t="s">
        <v>24</v>
      </c>
      <c r="G411" s="12">
        <v>12</v>
      </c>
      <c r="H411" s="8">
        <v>195.73</v>
      </c>
      <c r="I411" t="s">
        <v>33</v>
      </c>
      <c r="J411" t="s">
        <v>35</v>
      </c>
      <c r="K411" s="10">
        <v>0.05</v>
      </c>
      <c r="L411" t="s">
        <v>38</v>
      </c>
      <c r="M411">
        <v>2231.3219999999997</v>
      </c>
      <c r="N411">
        <v>1409.2559999999999</v>
      </c>
      <c r="O411" s="10">
        <v>784.97599999999977</v>
      </c>
      <c r="P411" s="10">
        <v>0.35179861983165134</v>
      </c>
      <c r="Q411" s="8">
        <v>2231.3220000000001</v>
      </c>
      <c r="R411" t="s">
        <v>47</v>
      </c>
      <c r="S411" t="s">
        <v>49</v>
      </c>
      <c r="T411" t="s">
        <v>2931</v>
      </c>
      <c r="U411">
        <v>0</v>
      </c>
      <c r="V411" t="str">
        <f>IF(CleanedTable[[#This Row],[Returned]] = 0,"NO","Yes")</f>
        <v>NO</v>
      </c>
      <c r="W411" t="s">
        <v>460</v>
      </c>
      <c r="X411" t="s">
        <v>1951</v>
      </c>
      <c r="Y411" s="10">
        <v>37.090000000000003</v>
      </c>
      <c r="Z411" s="3">
        <v>45250</v>
      </c>
      <c r="AA411" s="3">
        <v>45257</v>
      </c>
      <c r="AB411" t="s">
        <v>2922</v>
      </c>
      <c r="AC411">
        <v>7</v>
      </c>
    </row>
    <row r="412" spans="1:29" x14ac:dyDescent="0.3">
      <c r="A412" s="3">
        <v>45761</v>
      </c>
      <c r="B412" s="3" t="str">
        <f>TEXT(CleanedTable[[#This Row],[OrderDate]],"mmm")</f>
        <v>Apr</v>
      </c>
      <c r="C412" s="3" t="str">
        <f>TEXT(CleanedTable[[#This Row],[OrderDate]],"yyyy")</f>
        <v>2025</v>
      </c>
      <c r="D412" s="3" t="str">
        <f>TEXT(CleanedTable[[#This Row],[OrderDate]],"mmm yyyy")</f>
        <v>Apr 2025</v>
      </c>
      <c r="E412" t="s">
        <v>21</v>
      </c>
      <c r="F412" t="s">
        <v>30</v>
      </c>
      <c r="G412" s="12">
        <v>5</v>
      </c>
      <c r="H412" s="8">
        <v>412.24</v>
      </c>
      <c r="I412" t="s">
        <v>31</v>
      </c>
      <c r="J412" t="s">
        <v>35</v>
      </c>
      <c r="K412" s="10">
        <v>0.15</v>
      </c>
      <c r="L412" t="s">
        <v>40</v>
      </c>
      <c r="M412">
        <v>1752.0199999999998</v>
      </c>
      <c r="N412">
        <v>1236.72</v>
      </c>
      <c r="O412" s="10">
        <v>485.98999999999972</v>
      </c>
      <c r="P412" s="10">
        <v>0.2773883859773289</v>
      </c>
      <c r="Q412" s="8">
        <v>1752.02</v>
      </c>
      <c r="R412" t="s">
        <v>47</v>
      </c>
      <c r="S412" t="s">
        <v>48</v>
      </c>
      <c r="T412" t="s">
        <v>2931</v>
      </c>
      <c r="U412">
        <v>0</v>
      </c>
      <c r="V412" t="str">
        <f>IF(CleanedTable[[#This Row],[Returned]] = 0,"NO","Yes")</f>
        <v>NO</v>
      </c>
      <c r="W412" t="s">
        <v>461</v>
      </c>
      <c r="X412" t="s">
        <v>1755</v>
      </c>
      <c r="Y412" s="10">
        <v>29.31</v>
      </c>
      <c r="Z412" s="3">
        <v>45761</v>
      </c>
      <c r="AA412" s="3">
        <v>45766</v>
      </c>
      <c r="AB412" t="s">
        <v>2924</v>
      </c>
      <c r="AC412">
        <v>5</v>
      </c>
    </row>
    <row r="413" spans="1:29" x14ac:dyDescent="0.3">
      <c r="A413" s="3">
        <v>44989</v>
      </c>
      <c r="B413" s="3" t="str">
        <f>TEXT(CleanedTable[[#This Row],[OrderDate]],"mmm")</f>
        <v>Mar</v>
      </c>
      <c r="C413" s="3" t="str">
        <f>TEXT(CleanedTable[[#This Row],[OrderDate]],"yyyy")</f>
        <v>2023</v>
      </c>
      <c r="D413" s="3" t="str">
        <f>TEXT(CleanedTable[[#This Row],[OrderDate]],"mmm yyyy")</f>
        <v>Mar 2023</v>
      </c>
      <c r="E413" t="s">
        <v>22</v>
      </c>
      <c r="F413" t="s">
        <v>28</v>
      </c>
      <c r="G413" s="12">
        <v>11</v>
      </c>
      <c r="H413" s="8">
        <v>558.5</v>
      </c>
      <c r="I413" t="s">
        <v>31</v>
      </c>
      <c r="J413" t="s">
        <v>36</v>
      </c>
      <c r="K413" s="10">
        <v>0.15</v>
      </c>
      <c r="L413" t="s">
        <v>40</v>
      </c>
      <c r="M413">
        <v>5221.9749999999995</v>
      </c>
      <c r="N413">
        <v>3686.0999999999995</v>
      </c>
      <c r="O413" s="10">
        <v>1487.7249999999999</v>
      </c>
      <c r="P413" s="10">
        <v>0.28489699778340571</v>
      </c>
      <c r="Q413" s="8">
        <v>5221.9749999999995</v>
      </c>
      <c r="R413" t="s">
        <v>47</v>
      </c>
      <c r="S413" t="s">
        <v>50</v>
      </c>
      <c r="T413" t="s">
        <v>2931</v>
      </c>
      <c r="U413">
        <v>0</v>
      </c>
      <c r="V413" t="str">
        <f>IF(CleanedTable[[#This Row],[Returned]] = 0,"NO","Yes")</f>
        <v>NO</v>
      </c>
      <c r="W413" t="s">
        <v>462</v>
      </c>
      <c r="X413" t="s">
        <v>1699</v>
      </c>
      <c r="Y413" s="10">
        <v>48.15</v>
      </c>
      <c r="Z413" s="3">
        <v>44989</v>
      </c>
      <c r="AA413" s="3">
        <v>44994</v>
      </c>
      <c r="AB413" t="s">
        <v>2925</v>
      </c>
      <c r="AC413">
        <v>5</v>
      </c>
    </row>
    <row r="414" spans="1:29" x14ac:dyDescent="0.3">
      <c r="A414" s="3">
        <v>45612</v>
      </c>
      <c r="B414" s="3" t="str">
        <f>TEXT(CleanedTable[[#This Row],[OrderDate]],"mmm")</f>
        <v>Nov</v>
      </c>
      <c r="C414" s="3" t="str">
        <f>TEXT(CleanedTable[[#This Row],[OrderDate]],"yyyy")</f>
        <v>2024</v>
      </c>
      <c r="D414" s="3" t="str">
        <f>TEXT(CleanedTable[[#This Row],[OrderDate]],"mmm yyyy")</f>
        <v>Nov 2024</v>
      </c>
      <c r="E414" t="s">
        <v>21</v>
      </c>
      <c r="F414" t="s">
        <v>24</v>
      </c>
      <c r="G414" s="12">
        <v>4</v>
      </c>
      <c r="H414" s="8">
        <v>175.34</v>
      </c>
      <c r="I414" t="s">
        <v>33</v>
      </c>
      <c r="J414" t="s">
        <v>36</v>
      </c>
      <c r="K414" s="10">
        <v>0.15</v>
      </c>
      <c r="L414" t="s">
        <v>37</v>
      </c>
      <c r="M414">
        <v>596.15599999999995</v>
      </c>
      <c r="N414">
        <v>420.81599999999997</v>
      </c>
      <c r="O414" s="10">
        <v>134.47999999999996</v>
      </c>
      <c r="P414" s="10">
        <v>0.22557853984527534</v>
      </c>
      <c r="Q414" s="8">
        <v>596.15599999999995</v>
      </c>
      <c r="R414" t="s">
        <v>47</v>
      </c>
      <c r="S414" t="s">
        <v>48</v>
      </c>
      <c r="T414" t="s">
        <v>2931</v>
      </c>
      <c r="U414">
        <v>0</v>
      </c>
      <c r="V414" t="str">
        <f>IF(CleanedTable[[#This Row],[Returned]] = 0,"NO","Yes")</f>
        <v>NO</v>
      </c>
      <c r="W414" t="s">
        <v>463</v>
      </c>
      <c r="X414" t="s">
        <v>1952</v>
      </c>
      <c r="Y414" s="10">
        <v>40.86</v>
      </c>
      <c r="Z414" s="3">
        <v>45612</v>
      </c>
      <c r="AA414" s="3">
        <v>45615</v>
      </c>
      <c r="AB414" t="s">
        <v>2924</v>
      </c>
      <c r="AC414">
        <v>3</v>
      </c>
    </row>
    <row r="415" spans="1:29" x14ac:dyDescent="0.3">
      <c r="A415" s="3">
        <v>45437</v>
      </c>
      <c r="B415" s="3" t="str">
        <f>TEXT(CleanedTable[[#This Row],[OrderDate]],"mmm")</f>
        <v>May</v>
      </c>
      <c r="C415" s="3" t="str">
        <f>TEXT(CleanedTable[[#This Row],[OrderDate]],"yyyy")</f>
        <v>2024</v>
      </c>
      <c r="D415" s="3" t="str">
        <f>TEXT(CleanedTable[[#This Row],[OrderDate]],"mmm yyyy")</f>
        <v>May 2024</v>
      </c>
      <c r="E415" t="s">
        <v>20</v>
      </c>
      <c r="F415" t="s">
        <v>24</v>
      </c>
      <c r="G415" s="12">
        <v>19</v>
      </c>
      <c r="H415" s="8">
        <v>478.73</v>
      </c>
      <c r="I415" t="s">
        <v>32</v>
      </c>
      <c r="J415" t="s">
        <v>36</v>
      </c>
      <c r="K415" s="10">
        <v>0</v>
      </c>
      <c r="L415" t="s">
        <v>39</v>
      </c>
      <c r="M415">
        <v>9095.8700000000008</v>
      </c>
      <c r="N415">
        <v>5457.5219999999999</v>
      </c>
      <c r="O415" s="10">
        <v>3591.8880000000008</v>
      </c>
      <c r="P415" s="10">
        <v>0.39489218733337222</v>
      </c>
      <c r="Q415" s="8">
        <v>9095.8700000000008</v>
      </c>
      <c r="R415" t="s">
        <v>46</v>
      </c>
      <c r="S415" t="s">
        <v>50</v>
      </c>
      <c r="T415" t="s">
        <v>2931</v>
      </c>
      <c r="U415">
        <v>1</v>
      </c>
      <c r="V415" t="str">
        <f>IF(CleanedTable[[#This Row],[Returned]] = 0,"NO","Yes")</f>
        <v>Yes</v>
      </c>
      <c r="W415" t="s">
        <v>464</v>
      </c>
      <c r="X415" t="s">
        <v>1953</v>
      </c>
      <c r="Y415" s="10">
        <v>46.46</v>
      </c>
      <c r="Z415" s="3">
        <v>45437</v>
      </c>
      <c r="AA415" s="3">
        <v>45445</v>
      </c>
      <c r="AB415" t="s">
        <v>2923</v>
      </c>
      <c r="AC415">
        <v>8</v>
      </c>
    </row>
    <row r="416" spans="1:29" x14ac:dyDescent="0.3">
      <c r="A416" s="3">
        <v>45028</v>
      </c>
      <c r="B416" s="3" t="str">
        <f>TEXT(CleanedTable[[#This Row],[OrderDate]],"mmm")</f>
        <v>Apr</v>
      </c>
      <c r="C416" s="3" t="str">
        <f>TEXT(CleanedTable[[#This Row],[OrderDate]],"yyyy")</f>
        <v>2023</v>
      </c>
      <c r="D416" s="3" t="str">
        <f>TEXT(CleanedTable[[#This Row],[OrderDate]],"mmm yyyy")</f>
        <v>Apr 2023</v>
      </c>
      <c r="E416" t="s">
        <v>19</v>
      </c>
      <c r="F416" t="s">
        <v>26</v>
      </c>
      <c r="G416" s="12">
        <v>5</v>
      </c>
      <c r="H416" s="8">
        <v>365.38</v>
      </c>
      <c r="I416" t="s">
        <v>34</v>
      </c>
      <c r="J416" t="s">
        <v>35</v>
      </c>
      <c r="K416" s="10">
        <v>0.15</v>
      </c>
      <c r="L416" t="s">
        <v>38</v>
      </c>
      <c r="M416">
        <v>1552.865</v>
      </c>
      <c r="N416">
        <v>1096.1399999999999</v>
      </c>
      <c r="O416" s="10">
        <v>451.06500000000011</v>
      </c>
      <c r="P416" s="10">
        <v>0.29047277129692545</v>
      </c>
      <c r="Q416" s="8">
        <v>1552.865</v>
      </c>
      <c r="R416" t="s">
        <v>46</v>
      </c>
      <c r="S416" t="s">
        <v>49</v>
      </c>
      <c r="T416" t="s">
        <v>2931</v>
      </c>
      <c r="U416">
        <v>1</v>
      </c>
      <c r="V416" t="str">
        <f>IF(CleanedTable[[#This Row],[Returned]] = 0,"NO","Yes")</f>
        <v>Yes</v>
      </c>
      <c r="W416" t="s">
        <v>465</v>
      </c>
      <c r="X416" t="s">
        <v>1954</v>
      </c>
      <c r="Y416" s="10">
        <v>5.66</v>
      </c>
      <c r="Z416" s="3">
        <v>45028</v>
      </c>
      <c r="AA416" s="3">
        <v>45031</v>
      </c>
      <c r="AB416" t="s">
        <v>2922</v>
      </c>
      <c r="AC416">
        <v>3</v>
      </c>
    </row>
    <row r="417" spans="1:29" x14ac:dyDescent="0.3">
      <c r="A417" s="3">
        <v>44992</v>
      </c>
      <c r="B417" s="3" t="str">
        <f>TEXT(CleanedTable[[#This Row],[OrderDate]],"mmm")</f>
        <v>Mar</v>
      </c>
      <c r="C417" s="3" t="str">
        <f>TEXT(CleanedTable[[#This Row],[OrderDate]],"yyyy")</f>
        <v>2023</v>
      </c>
      <c r="D417" s="3" t="str">
        <f>TEXT(CleanedTable[[#This Row],[OrderDate]],"mmm yyyy")</f>
        <v>Mar 2023</v>
      </c>
      <c r="E417" t="s">
        <v>20</v>
      </c>
      <c r="F417" t="s">
        <v>26</v>
      </c>
      <c r="G417" s="12">
        <v>10</v>
      </c>
      <c r="H417" s="8">
        <v>397.33</v>
      </c>
      <c r="I417" t="s">
        <v>31</v>
      </c>
      <c r="J417" t="s">
        <v>36</v>
      </c>
      <c r="K417" s="10">
        <v>0.15</v>
      </c>
      <c r="L417" t="s">
        <v>38</v>
      </c>
      <c r="M417">
        <v>3377.3049999999998</v>
      </c>
      <c r="N417">
        <v>2383.9799999999996</v>
      </c>
      <c r="O417" s="10">
        <v>983.12500000000023</v>
      </c>
      <c r="P417" s="10">
        <v>0.2910974874937266</v>
      </c>
      <c r="Q417" s="8">
        <v>3377.3049999999998</v>
      </c>
      <c r="R417" t="s">
        <v>45</v>
      </c>
      <c r="T417" t="s">
        <v>2932</v>
      </c>
      <c r="U417">
        <v>0</v>
      </c>
      <c r="V417" t="str">
        <f>IF(CleanedTable[[#This Row],[Returned]] = 0,"NO","Yes")</f>
        <v>NO</v>
      </c>
      <c r="W417" t="s">
        <v>466</v>
      </c>
      <c r="X417" t="s">
        <v>1955</v>
      </c>
      <c r="Y417" s="10">
        <v>10.199999999999999</v>
      </c>
      <c r="Z417" s="3">
        <v>44992</v>
      </c>
      <c r="AA417" s="3">
        <v>44998</v>
      </c>
      <c r="AB417" t="s">
        <v>2923</v>
      </c>
      <c r="AC417">
        <v>6</v>
      </c>
    </row>
    <row r="418" spans="1:29" x14ac:dyDescent="0.3">
      <c r="A418" s="3">
        <v>45296</v>
      </c>
      <c r="B418" s="3" t="str">
        <f>TEXT(CleanedTable[[#This Row],[OrderDate]],"mmm")</f>
        <v>Jan</v>
      </c>
      <c r="C418" s="3" t="str">
        <f>TEXT(CleanedTable[[#This Row],[OrderDate]],"yyyy")</f>
        <v>2024</v>
      </c>
      <c r="D418" s="3" t="str">
        <f>TEXT(CleanedTable[[#This Row],[OrderDate]],"mmm yyyy")</f>
        <v>Jan 2024</v>
      </c>
      <c r="E418" t="s">
        <v>22</v>
      </c>
      <c r="F418" t="s">
        <v>27</v>
      </c>
      <c r="G418" s="12">
        <v>17</v>
      </c>
      <c r="H418" s="8">
        <v>241.01</v>
      </c>
      <c r="I418" t="s">
        <v>32</v>
      </c>
      <c r="J418" t="s">
        <v>36</v>
      </c>
      <c r="K418" s="10">
        <v>0.1</v>
      </c>
      <c r="L418" t="s">
        <v>42</v>
      </c>
      <c r="M418">
        <v>3687.453</v>
      </c>
      <c r="N418">
        <v>2458.3019999999997</v>
      </c>
      <c r="O418" s="10">
        <v>1204.4610000000002</v>
      </c>
      <c r="P418" s="10">
        <v>0.32663765477146428</v>
      </c>
      <c r="Q418" s="8">
        <v>3687.453</v>
      </c>
      <c r="R418" t="s">
        <v>46</v>
      </c>
      <c r="S418" t="s">
        <v>50</v>
      </c>
      <c r="T418" t="s">
        <v>2931</v>
      </c>
      <c r="U418">
        <v>0</v>
      </c>
      <c r="V418" t="str">
        <f>IF(CleanedTable[[#This Row],[Returned]] = 0,"NO","Yes")</f>
        <v>NO</v>
      </c>
      <c r="W418" t="s">
        <v>467</v>
      </c>
      <c r="X418" t="s">
        <v>1956</v>
      </c>
      <c r="Y418" s="10">
        <v>24.69</v>
      </c>
      <c r="Z418" s="3">
        <v>45296</v>
      </c>
      <c r="AA418" s="3">
        <v>45302</v>
      </c>
      <c r="AB418" t="s">
        <v>2925</v>
      </c>
      <c r="AC418">
        <v>6</v>
      </c>
    </row>
    <row r="419" spans="1:29" x14ac:dyDescent="0.3">
      <c r="A419" s="3">
        <v>45596</v>
      </c>
      <c r="B419" s="3" t="str">
        <f>TEXT(CleanedTable[[#This Row],[OrderDate]],"mmm")</f>
        <v>Oct</v>
      </c>
      <c r="C419" s="3" t="str">
        <f>TEXT(CleanedTable[[#This Row],[OrderDate]],"yyyy")</f>
        <v>2024</v>
      </c>
      <c r="D419" s="3" t="str">
        <f>TEXT(CleanedTable[[#This Row],[OrderDate]],"mmm yyyy")</f>
        <v>Oct 2024</v>
      </c>
      <c r="E419" t="s">
        <v>23</v>
      </c>
      <c r="F419" t="s">
        <v>26</v>
      </c>
      <c r="G419" s="12">
        <v>17</v>
      </c>
      <c r="H419" s="8">
        <v>82.2</v>
      </c>
      <c r="I419" t="s">
        <v>33</v>
      </c>
      <c r="J419" t="s">
        <v>35</v>
      </c>
      <c r="K419" s="10">
        <v>0</v>
      </c>
      <c r="L419" t="s">
        <v>38</v>
      </c>
      <c r="M419">
        <v>1397.4</v>
      </c>
      <c r="N419">
        <v>838.44</v>
      </c>
      <c r="O419" s="10">
        <v>526.46</v>
      </c>
      <c r="P419" s="10">
        <v>0.37674252182624873</v>
      </c>
      <c r="Q419" s="8">
        <v>1397.4</v>
      </c>
      <c r="R419" t="s">
        <v>47</v>
      </c>
      <c r="S419" t="s">
        <v>50</v>
      </c>
      <c r="T419" t="s">
        <v>2931</v>
      </c>
      <c r="U419">
        <v>0</v>
      </c>
      <c r="V419" t="str">
        <f>IF(CleanedTable[[#This Row],[Returned]] = 0,"NO","Yes")</f>
        <v>NO</v>
      </c>
      <c r="W419" t="s">
        <v>468</v>
      </c>
      <c r="X419" t="s">
        <v>1957</v>
      </c>
      <c r="Y419" s="10">
        <v>32.5</v>
      </c>
      <c r="Z419" s="3">
        <v>45596</v>
      </c>
      <c r="AA419" s="3">
        <v>45606</v>
      </c>
      <c r="AB419" t="s">
        <v>2926</v>
      </c>
      <c r="AC419">
        <v>10</v>
      </c>
    </row>
    <row r="420" spans="1:29" x14ac:dyDescent="0.3">
      <c r="A420" s="3">
        <v>45420</v>
      </c>
      <c r="B420" s="3" t="str">
        <f>TEXT(CleanedTable[[#This Row],[OrderDate]],"mmm")</f>
        <v>May</v>
      </c>
      <c r="C420" s="3" t="str">
        <f>TEXT(CleanedTable[[#This Row],[OrderDate]],"yyyy")</f>
        <v>2024</v>
      </c>
      <c r="D420" s="3" t="str">
        <f>TEXT(CleanedTable[[#This Row],[OrderDate]],"mmm yyyy")</f>
        <v>May 2024</v>
      </c>
      <c r="E420" t="s">
        <v>23</v>
      </c>
      <c r="F420" t="s">
        <v>28</v>
      </c>
      <c r="G420" s="12">
        <v>16</v>
      </c>
      <c r="H420" s="8">
        <v>170.77</v>
      </c>
      <c r="I420" t="s">
        <v>33</v>
      </c>
      <c r="J420" t="s">
        <v>36</v>
      </c>
      <c r="K420" s="10">
        <v>0.1</v>
      </c>
      <c r="L420" t="s">
        <v>39</v>
      </c>
      <c r="M420">
        <v>2459.0880000000002</v>
      </c>
      <c r="N420">
        <v>1639.3920000000001</v>
      </c>
      <c r="O420" s="10">
        <v>773.76600000000019</v>
      </c>
      <c r="P420" s="10">
        <v>0.3146556772266792</v>
      </c>
      <c r="Q420" s="8">
        <v>2459.0880000000002</v>
      </c>
      <c r="R420" t="s">
        <v>43</v>
      </c>
      <c r="S420" t="s">
        <v>49</v>
      </c>
      <c r="T420" t="s">
        <v>2931</v>
      </c>
      <c r="U420">
        <v>1</v>
      </c>
      <c r="V420" t="str">
        <f>IF(CleanedTable[[#This Row],[Returned]] = 0,"NO","Yes")</f>
        <v>Yes</v>
      </c>
      <c r="W420" t="s">
        <v>469</v>
      </c>
      <c r="X420" t="s">
        <v>1958</v>
      </c>
      <c r="Y420" s="10">
        <v>45.93</v>
      </c>
      <c r="Z420" s="3">
        <v>45420</v>
      </c>
      <c r="AA420" s="3">
        <v>45426</v>
      </c>
      <c r="AB420" t="s">
        <v>2926</v>
      </c>
      <c r="AC420">
        <v>6</v>
      </c>
    </row>
    <row r="421" spans="1:29" x14ac:dyDescent="0.3">
      <c r="A421" s="3">
        <v>45356</v>
      </c>
      <c r="B421" s="3" t="str">
        <f>TEXT(CleanedTable[[#This Row],[OrderDate]],"mmm")</f>
        <v>Mar</v>
      </c>
      <c r="C421" s="3" t="str">
        <f>TEXT(CleanedTable[[#This Row],[OrderDate]],"yyyy")</f>
        <v>2024</v>
      </c>
      <c r="D421" s="3" t="str">
        <f>TEXT(CleanedTable[[#This Row],[OrderDate]],"mmm yyyy")</f>
        <v>Mar 2024</v>
      </c>
      <c r="E421" t="s">
        <v>22</v>
      </c>
      <c r="F421" t="s">
        <v>28</v>
      </c>
      <c r="G421" s="12">
        <v>1</v>
      </c>
      <c r="H421" s="8">
        <v>8.1999999999999993</v>
      </c>
      <c r="I421" t="s">
        <v>33</v>
      </c>
      <c r="J421" t="s">
        <v>35</v>
      </c>
      <c r="K421" s="10">
        <v>0.15</v>
      </c>
      <c r="L421" t="s">
        <v>39</v>
      </c>
      <c r="M421">
        <v>6.9699999999999989</v>
      </c>
      <c r="N421">
        <v>4.919999999999999</v>
      </c>
      <c r="O421" s="10">
        <v>-28.3</v>
      </c>
      <c r="P421" s="10">
        <v>-4.0602582496413211</v>
      </c>
      <c r="Q421" s="8">
        <v>6.9699999999999989</v>
      </c>
      <c r="R421" t="s">
        <v>46</v>
      </c>
      <c r="T421" t="s">
        <v>2932</v>
      </c>
      <c r="U421">
        <v>0</v>
      </c>
      <c r="V421" t="str">
        <f>IF(CleanedTable[[#This Row],[Returned]] = 0,"NO","Yes")</f>
        <v>NO</v>
      </c>
      <c r="W421" t="s">
        <v>470</v>
      </c>
      <c r="X421" t="s">
        <v>1959</v>
      </c>
      <c r="Y421" s="10">
        <v>30.35</v>
      </c>
      <c r="Z421" s="3">
        <v>45356</v>
      </c>
      <c r="AA421" s="3">
        <v>45366</v>
      </c>
      <c r="AB421" t="s">
        <v>2925</v>
      </c>
      <c r="AC421">
        <v>10</v>
      </c>
    </row>
    <row r="422" spans="1:29" x14ac:dyDescent="0.3">
      <c r="A422" s="3">
        <v>45125</v>
      </c>
      <c r="B422" s="3" t="str">
        <f>TEXT(CleanedTable[[#This Row],[OrderDate]],"mmm")</f>
        <v>Jul</v>
      </c>
      <c r="C422" s="3" t="str">
        <f>TEXT(CleanedTable[[#This Row],[OrderDate]],"yyyy")</f>
        <v>2023</v>
      </c>
      <c r="D422" s="3" t="str">
        <f>TEXT(CleanedTable[[#This Row],[OrderDate]],"mmm yyyy")</f>
        <v>Jul 2023</v>
      </c>
      <c r="E422" t="s">
        <v>21</v>
      </c>
      <c r="F422" t="s">
        <v>24</v>
      </c>
      <c r="G422" s="12">
        <v>12</v>
      </c>
      <c r="H422" s="8">
        <v>425.78</v>
      </c>
      <c r="I422" t="s">
        <v>32</v>
      </c>
      <c r="J422" t="s">
        <v>36</v>
      </c>
      <c r="K422" s="10">
        <v>0.1</v>
      </c>
      <c r="L422" t="s">
        <v>42</v>
      </c>
      <c r="M422">
        <v>4598.424</v>
      </c>
      <c r="N422">
        <v>3065.6159999999995</v>
      </c>
      <c r="O422" s="10">
        <v>1507.3280000000004</v>
      </c>
      <c r="P422" s="10">
        <v>0.32779230449388758</v>
      </c>
      <c r="Q422" s="8">
        <v>4598.424</v>
      </c>
      <c r="R422" t="s">
        <v>43</v>
      </c>
      <c r="T422" t="s">
        <v>2932</v>
      </c>
      <c r="U422">
        <v>1</v>
      </c>
      <c r="V422" t="str">
        <f>IF(CleanedTable[[#This Row],[Returned]] = 0,"NO","Yes")</f>
        <v>Yes</v>
      </c>
      <c r="W422" t="s">
        <v>471</v>
      </c>
      <c r="X422" t="s">
        <v>1960</v>
      </c>
      <c r="Y422" s="10">
        <v>25.48</v>
      </c>
      <c r="Z422" s="3">
        <v>45125</v>
      </c>
      <c r="AA422" s="3">
        <v>45129</v>
      </c>
      <c r="AB422" t="s">
        <v>2924</v>
      </c>
      <c r="AC422">
        <v>4</v>
      </c>
    </row>
    <row r="423" spans="1:29" x14ac:dyDescent="0.3">
      <c r="A423" s="3">
        <v>45143</v>
      </c>
      <c r="B423" s="3" t="str">
        <f>TEXT(CleanedTable[[#This Row],[OrderDate]],"mmm")</f>
        <v>Aug</v>
      </c>
      <c r="C423" s="3" t="str">
        <f>TEXT(CleanedTable[[#This Row],[OrderDate]],"yyyy")</f>
        <v>2023</v>
      </c>
      <c r="D423" s="3" t="str">
        <f>TEXT(CleanedTable[[#This Row],[OrderDate]],"mmm yyyy")</f>
        <v>Aug 2023</v>
      </c>
      <c r="E423" t="s">
        <v>20</v>
      </c>
      <c r="F423" t="s">
        <v>30</v>
      </c>
      <c r="G423" s="12">
        <v>20</v>
      </c>
      <c r="H423" s="8">
        <v>121.14</v>
      </c>
      <c r="I423" t="s">
        <v>33</v>
      </c>
      <c r="J423" t="s">
        <v>36</v>
      </c>
      <c r="K423" s="10">
        <v>0.1</v>
      </c>
      <c r="L423" t="s">
        <v>42</v>
      </c>
      <c r="M423">
        <v>2180.5200000000004</v>
      </c>
      <c r="N423">
        <v>1453.6799999999998</v>
      </c>
      <c r="O423" s="10">
        <v>705.37000000000057</v>
      </c>
      <c r="P423" s="10">
        <v>0.32348705813292261</v>
      </c>
      <c r="Q423" s="8">
        <v>2180.52</v>
      </c>
      <c r="R423" t="s">
        <v>45</v>
      </c>
      <c r="S423" t="s">
        <v>48</v>
      </c>
      <c r="T423" t="s">
        <v>2931</v>
      </c>
      <c r="U423">
        <v>0</v>
      </c>
      <c r="V423" t="str">
        <f>IF(CleanedTable[[#This Row],[Returned]] = 0,"NO","Yes")</f>
        <v>NO</v>
      </c>
      <c r="W423" t="s">
        <v>472</v>
      </c>
      <c r="X423" t="s">
        <v>1961</v>
      </c>
      <c r="Y423" s="10">
        <v>21.47</v>
      </c>
      <c r="Z423" s="3">
        <v>45143</v>
      </c>
      <c r="AA423" s="3">
        <v>45152</v>
      </c>
      <c r="AB423" t="s">
        <v>2923</v>
      </c>
      <c r="AC423">
        <v>9</v>
      </c>
    </row>
    <row r="424" spans="1:29" x14ac:dyDescent="0.3">
      <c r="A424" s="3">
        <v>45187</v>
      </c>
      <c r="B424" s="3" t="str">
        <f>TEXT(CleanedTable[[#This Row],[OrderDate]],"mmm")</f>
        <v>Sep</v>
      </c>
      <c r="C424" s="3" t="str">
        <f>TEXT(CleanedTable[[#This Row],[OrderDate]],"yyyy")</f>
        <v>2023</v>
      </c>
      <c r="D424" s="3" t="str">
        <f>TEXT(CleanedTable[[#This Row],[OrderDate]],"mmm yyyy")</f>
        <v>Sep 2023</v>
      </c>
      <c r="E424" t="s">
        <v>23</v>
      </c>
      <c r="F424" t="s">
        <v>29</v>
      </c>
      <c r="G424" s="12">
        <v>19</v>
      </c>
      <c r="H424" s="8">
        <v>448.13</v>
      </c>
      <c r="I424" t="s">
        <v>34</v>
      </c>
      <c r="J424" t="s">
        <v>35</v>
      </c>
      <c r="K424" s="10">
        <v>0</v>
      </c>
      <c r="L424" t="s">
        <v>38</v>
      </c>
      <c r="M424">
        <v>8514.4699999999993</v>
      </c>
      <c r="N424">
        <v>5108.6819999999998</v>
      </c>
      <c r="O424" s="10">
        <v>3377.4979999999996</v>
      </c>
      <c r="P424" s="10">
        <v>0.3966774209081716</v>
      </c>
      <c r="Q424" s="8">
        <v>8514.4699999999993</v>
      </c>
      <c r="R424" t="s">
        <v>46</v>
      </c>
      <c r="S424" t="s">
        <v>48</v>
      </c>
      <c r="T424" t="s">
        <v>2931</v>
      </c>
      <c r="U424">
        <v>0</v>
      </c>
      <c r="V424" t="str">
        <f>IF(CleanedTable[[#This Row],[Returned]] = 0,"NO","Yes")</f>
        <v>NO</v>
      </c>
      <c r="W424" t="s">
        <v>473</v>
      </c>
      <c r="X424" t="s">
        <v>1962</v>
      </c>
      <c r="Y424" s="10">
        <v>28.29</v>
      </c>
      <c r="Z424" s="3">
        <v>45187</v>
      </c>
      <c r="AA424" s="3">
        <v>45189</v>
      </c>
      <c r="AB424" t="s">
        <v>2926</v>
      </c>
      <c r="AC424">
        <v>2</v>
      </c>
    </row>
    <row r="425" spans="1:29" x14ac:dyDescent="0.3">
      <c r="A425" s="3">
        <v>45012</v>
      </c>
      <c r="B425" s="3" t="str">
        <f>TEXT(CleanedTable[[#This Row],[OrderDate]],"mmm")</f>
        <v>Mar</v>
      </c>
      <c r="C425" s="3" t="str">
        <f>TEXT(CleanedTable[[#This Row],[OrderDate]],"yyyy")</f>
        <v>2023</v>
      </c>
      <c r="D425" s="3" t="str">
        <f>TEXT(CleanedTable[[#This Row],[OrderDate]],"mmm yyyy")</f>
        <v>Mar 2023</v>
      </c>
      <c r="E425" t="s">
        <v>20</v>
      </c>
      <c r="F425" t="s">
        <v>24</v>
      </c>
      <c r="G425" s="12">
        <v>8</v>
      </c>
      <c r="H425" s="8">
        <v>7.81</v>
      </c>
      <c r="I425" t="s">
        <v>34</v>
      </c>
      <c r="J425" t="s">
        <v>35</v>
      </c>
      <c r="K425" s="10">
        <v>0.1</v>
      </c>
      <c r="L425" t="s">
        <v>39</v>
      </c>
      <c r="M425">
        <v>56.231999999999999</v>
      </c>
      <c r="N425">
        <v>37.488</v>
      </c>
      <c r="O425" s="10">
        <v>-6.2860000000000014</v>
      </c>
      <c r="P425" s="10">
        <v>-0.1117868829136435</v>
      </c>
      <c r="Q425" s="8">
        <v>56.231999999999999</v>
      </c>
      <c r="R425" t="s">
        <v>43</v>
      </c>
      <c r="S425" t="s">
        <v>49</v>
      </c>
      <c r="T425" t="s">
        <v>2931</v>
      </c>
      <c r="U425">
        <v>0</v>
      </c>
      <c r="V425" t="str">
        <f>IF(CleanedTable[[#This Row],[Returned]] = 0,"NO","Yes")</f>
        <v>NO</v>
      </c>
      <c r="W425" t="s">
        <v>474</v>
      </c>
      <c r="X425" t="s">
        <v>1963</v>
      </c>
      <c r="Y425" s="10">
        <v>25.03</v>
      </c>
      <c r="Z425" s="3">
        <v>45012</v>
      </c>
      <c r="AA425" s="3">
        <v>45014</v>
      </c>
      <c r="AB425" t="s">
        <v>2923</v>
      </c>
      <c r="AC425">
        <v>2</v>
      </c>
    </row>
    <row r="426" spans="1:29" x14ac:dyDescent="0.3">
      <c r="A426" s="3">
        <v>44993</v>
      </c>
      <c r="B426" s="3" t="str">
        <f>TEXT(CleanedTable[[#This Row],[OrderDate]],"mmm")</f>
        <v>Mar</v>
      </c>
      <c r="C426" s="3" t="str">
        <f>TEXT(CleanedTable[[#This Row],[OrderDate]],"yyyy")</f>
        <v>2023</v>
      </c>
      <c r="D426" s="3" t="str">
        <f>TEXT(CleanedTable[[#This Row],[OrderDate]],"mmm yyyy")</f>
        <v>Mar 2023</v>
      </c>
      <c r="E426" t="s">
        <v>19</v>
      </c>
      <c r="F426" t="s">
        <v>27</v>
      </c>
      <c r="G426" s="12">
        <v>19</v>
      </c>
      <c r="H426" s="8">
        <v>191.44</v>
      </c>
      <c r="I426" t="s">
        <v>33</v>
      </c>
      <c r="J426" t="s">
        <v>35</v>
      </c>
      <c r="K426" s="10">
        <v>0.15</v>
      </c>
      <c r="L426" t="s">
        <v>40</v>
      </c>
      <c r="M426">
        <v>3091.7559999999999</v>
      </c>
      <c r="N426">
        <v>2182.4159999999997</v>
      </c>
      <c r="O426" s="10">
        <v>873.80000000000018</v>
      </c>
      <c r="P426" s="10">
        <v>0.28262256141817149</v>
      </c>
      <c r="Q426" s="8">
        <v>3091.7559999999999</v>
      </c>
      <c r="R426" t="s">
        <v>47</v>
      </c>
      <c r="S426" t="s">
        <v>50</v>
      </c>
      <c r="T426" t="s">
        <v>2931</v>
      </c>
      <c r="U426">
        <v>1</v>
      </c>
      <c r="V426" t="str">
        <f>IF(CleanedTable[[#This Row],[Returned]] = 0,"NO","Yes")</f>
        <v>Yes</v>
      </c>
      <c r="W426" t="s">
        <v>475</v>
      </c>
      <c r="X426" t="s">
        <v>1964</v>
      </c>
      <c r="Y426" s="10">
        <v>35.54</v>
      </c>
      <c r="Z426" s="3">
        <v>44993</v>
      </c>
      <c r="AA426" s="3">
        <v>45002</v>
      </c>
      <c r="AB426" t="s">
        <v>2922</v>
      </c>
      <c r="AC426">
        <v>9</v>
      </c>
    </row>
    <row r="427" spans="1:29" x14ac:dyDescent="0.3">
      <c r="A427" s="3">
        <v>45414</v>
      </c>
      <c r="B427" s="3" t="str">
        <f>TEXT(CleanedTable[[#This Row],[OrderDate]],"mmm")</f>
        <v>May</v>
      </c>
      <c r="C427" s="3" t="str">
        <f>TEXT(CleanedTable[[#This Row],[OrderDate]],"yyyy")</f>
        <v>2024</v>
      </c>
      <c r="D427" s="3" t="str">
        <f>TEXT(CleanedTable[[#This Row],[OrderDate]],"mmm yyyy")</f>
        <v>May 2024</v>
      </c>
      <c r="E427" t="s">
        <v>23</v>
      </c>
      <c r="F427" t="s">
        <v>26</v>
      </c>
      <c r="G427" s="12">
        <v>5</v>
      </c>
      <c r="H427" s="8">
        <v>245.2</v>
      </c>
      <c r="I427" t="s">
        <v>31</v>
      </c>
      <c r="J427" t="s">
        <v>36</v>
      </c>
      <c r="K427" s="10">
        <v>0.15</v>
      </c>
      <c r="L427" t="s">
        <v>37</v>
      </c>
      <c r="M427">
        <v>1042.0999999999999</v>
      </c>
      <c r="N427">
        <v>735.59999999999991</v>
      </c>
      <c r="O427" s="10">
        <v>260.13</v>
      </c>
      <c r="P427" s="10">
        <v>0.24962095768160447</v>
      </c>
      <c r="Q427" s="8">
        <v>1042.0999999999999</v>
      </c>
      <c r="R427" t="s">
        <v>43</v>
      </c>
      <c r="T427" t="s">
        <v>2932</v>
      </c>
      <c r="U427">
        <v>0</v>
      </c>
      <c r="V427" t="str">
        <f>IF(CleanedTable[[#This Row],[Returned]] = 0,"NO","Yes")</f>
        <v>NO</v>
      </c>
      <c r="W427" t="s">
        <v>476</v>
      </c>
      <c r="X427" t="s">
        <v>1965</v>
      </c>
      <c r="Y427" s="10">
        <v>46.37</v>
      </c>
      <c r="Z427" s="3">
        <v>45414</v>
      </c>
      <c r="AA427" s="3">
        <v>45418</v>
      </c>
      <c r="AB427" t="s">
        <v>2926</v>
      </c>
      <c r="AC427">
        <v>4</v>
      </c>
    </row>
    <row r="428" spans="1:29" x14ac:dyDescent="0.3">
      <c r="A428" s="3">
        <v>45185</v>
      </c>
      <c r="B428" s="3" t="str">
        <f>TEXT(CleanedTable[[#This Row],[OrderDate]],"mmm")</f>
        <v>Sep</v>
      </c>
      <c r="C428" s="3" t="str">
        <f>TEXT(CleanedTable[[#This Row],[OrderDate]],"yyyy")</f>
        <v>2023</v>
      </c>
      <c r="D428" s="3" t="str">
        <f>TEXT(CleanedTable[[#This Row],[OrderDate]],"mmm yyyy")</f>
        <v>Sep 2023</v>
      </c>
      <c r="E428" t="s">
        <v>21</v>
      </c>
      <c r="F428" t="s">
        <v>26</v>
      </c>
      <c r="G428" s="12">
        <v>17</v>
      </c>
      <c r="H428" s="8">
        <v>163.37</v>
      </c>
      <c r="I428" t="s">
        <v>31</v>
      </c>
      <c r="J428" t="s">
        <v>35</v>
      </c>
      <c r="K428" s="10">
        <v>0.15</v>
      </c>
      <c r="L428" t="s">
        <v>37</v>
      </c>
      <c r="M428">
        <v>2360.6965</v>
      </c>
      <c r="N428">
        <v>1666.374</v>
      </c>
      <c r="O428" s="10">
        <v>688.96249999999998</v>
      </c>
      <c r="P428" s="10">
        <v>0.29184713070909368</v>
      </c>
      <c r="Q428" s="8">
        <v>2360.6965</v>
      </c>
      <c r="R428" t="s">
        <v>44</v>
      </c>
      <c r="S428" t="s">
        <v>49</v>
      </c>
      <c r="T428" t="s">
        <v>2931</v>
      </c>
      <c r="U428">
        <v>0</v>
      </c>
      <c r="V428" t="str">
        <f>IF(CleanedTable[[#This Row],[Returned]] = 0,"NO","Yes")</f>
        <v>NO</v>
      </c>
      <c r="W428" t="s">
        <v>477</v>
      </c>
      <c r="X428" t="s">
        <v>1966</v>
      </c>
      <c r="Y428" s="10">
        <v>5.36</v>
      </c>
      <c r="Z428" s="3">
        <v>45185</v>
      </c>
      <c r="AA428" s="3">
        <v>45195</v>
      </c>
      <c r="AB428" t="s">
        <v>2924</v>
      </c>
      <c r="AC428">
        <v>10</v>
      </c>
    </row>
    <row r="429" spans="1:29" x14ac:dyDescent="0.3">
      <c r="A429" s="3">
        <v>45090</v>
      </c>
      <c r="B429" s="3" t="str">
        <f>TEXT(CleanedTable[[#This Row],[OrderDate]],"mmm")</f>
        <v>Jun</v>
      </c>
      <c r="C429" s="3" t="str">
        <f>TEXT(CleanedTable[[#This Row],[OrderDate]],"yyyy")</f>
        <v>2023</v>
      </c>
      <c r="D429" s="3" t="str">
        <f>TEXT(CleanedTable[[#This Row],[OrderDate]],"mmm yyyy")</f>
        <v>Jun 2023</v>
      </c>
      <c r="E429" t="s">
        <v>20</v>
      </c>
      <c r="F429" t="s">
        <v>29</v>
      </c>
      <c r="G429" s="12">
        <v>14</v>
      </c>
      <c r="H429" s="8">
        <v>583.96</v>
      </c>
      <c r="I429" t="s">
        <v>33</v>
      </c>
      <c r="J429" t="s">
        <v>36</v>
      </c>
      <c r="K429" s="10">
        <v>0</v>
      </c>
      <c r="L429" t="s">
        <v>41</v>
      </c>
      <c r="M429">
        <v>8175.4400000000005</v>
      </c>
      <c r="N429">
        <v>4905.2640000000001</v>
      </c>
      <c r="O429" s="10">
        <v>3247.1460000000002</v>
      </c>
      <c r="P429" s="10">
        <v>0.39718302623467361</v>
      </c>
      <c r="Q429" s="8">
        <v>8175.4400000000014</v>
      </c>
      <c r="R429" t="s">
        <v>46</v>
      </c>
      <c r="S429" t="s">
        <v>50</v>
      </c>
      <c r="T429" t="s">
        <v>2931</v>
      </c>
      <c r="U429">
        <v>0</v>
      </c>
      <c r="V429" t="str">
        <f>IF(CleanedTable[[#This Row],[Returned]] = 0,"NO","Yes")</f>
        <v>NO</v>
      </c>
      <c r="W429" t="s">
        <v>478</v>
      </c>
      <c r="X429" t="s">
        <v>1967</v>
      </c>
      <c r="Y429" s="10">
        <v>23.03</v>
      </c>
      <c r="Z429" s="3">
        <v>45090</v>
      </c>
      <c r="AA429" s="3">
        <v>45099</v>
      </c>
      <c r="AB429" t="s">
        <v>2923</v>
      </c>
      <c r="AC429">
        <v>9</v>
      </c>
    </row>
    <row r="430" spans="1:29" x14ac:dyDescent="0.3">
      <c r="A430" s="3">
        <v>45235</v>
      </c>
      <c r="B430" s="3" t="str">
        <f>TEXT(CleanedTable[[#This Row],[OrderDate]],"mmm")</f>
        <v>Nov</v>
      </c>
      <c r="C430" s="3" t="str">
        <f>TEXT(CleanedTable[[#This Row],[OrderDate]],"yyyy")</f>
        <v>2023</v>
      </c>
      <c r="D430" s="3" t="str">
        <f>TEXT(CleanedTable[[#This Row],[OrderDate]],"mmm yyyy")</f>
        <v>Nov 2023</v>
      </c>
      <c r="E430" t="s">
        <v>21</v>
      </c>
      <c r="F430" t="s">
        <v>26</v>
      </c>
      <c r="G430" s="12">
        <v>16</v>
      </c>
      <c r="H430" s="8">
        <v>181.08</v>
      </c>
      <c r="I430" t="s">
        <v>33</v>
      </c>
      <c r="J430" t="s">
        <v>36</v>
      </c>
      <c r="K430" s="10">
        <v>0.1</v>
      </c>
      <c r="L430" t="s">
        <v>40</v>
      </c>
      <c r="M430">
        <v>2607.5520000000001</v>
      </c>
      <c r="N430">
        <v>1738.3680000000002</v>
      </c>
      <c r="O430" s="10">
        <v>829.34399999999994</v>
      </c>
      <c r="P430" s="10">
        <v>0.31805463515205062</v>
      </c>
      <c r="Q430" s="8">
        <v>2607.5520000000001</v>
      </c>
      <c r="R430" t="s">
        <v>43</v>
      </c>
      <c r="S430" t="s">
        <v>50</v>
      </c>
      <c r="T430" t="s">
        <v>2931</v>
      </c>
      <c r="U430">
        <v>0</v>
      </c>
      <c r="V430" t="str">
        <f>IF(CleanedTable[[#This Row],[Returned]] = 0,"NO","Yes")</f>
        <v>NO</v>
      </c>
      <c r="W430" t="s">
        <v>479</v>
      </c>
      <c r="X430" t="s">
        <v>1968</v>
      </c>
      <c r="Y430" s="10">
        <v>39.840000000000003</v>
      </c>
      <c r="Z430" s="3">
        <v>45235</v>
      </c>
      <c r="AA430" s="3">
        <v>45238</v>
      </c>
      <c r="AB430" t="s">
        <v>2924</v>
      </c>
      <c r="AC430">
        <v>3</v>
      </c>
    </row>
    <row r="431" spans="1:29" x14ac:dyDescent="0.3">
      <c r="A431" s="3">
        <v>45619</v>
      </c>
      <c r="B431" s="3" t="str">
        <f>TEXT(CleanedTable[[#This Row],[OrderDate]],"mmm")</f>
        <v>Nov</v>
      </c>
      <c r="C431" s="3" t="str">
        <f>TEXT(CleanedTable[[#This Row],[OrderDate]],"yyyy")</f>
        <v>2024</v>
      </c>
      <c r="D431" s="3" t="str">
        <f>TEXT(CleanedTable[[#This Row],[OrderDate]],"mmm yyyy")</f>
        <v>Nov 2024</v>
      </c>
      <c r="E431" t="s">
        <v>20</v>
      </c>
      <c r="F431" t="s">
        <v>29</v>
      </c>
      <c r="G431" s="12">
        <v>8</v>
      </c>
      <c r="H431" s="8">
        <v>414.94</v>
      </c>
      <c r="I431" t="s">
        <v>32</v>
      </c>
      <c r="J431" t="s">
        <v>35</v>
      </c>
      <c r="K431" s="10">
        <v>0</v>
      </c>
      <c r="L431" t="s">
        <v>38</v>
      </c>
      <c r="M431">
        <v>3319.52</v>
      </c>
      <c r="N431">
        <v>1991.712</v>
      </c>
      <c r="O431" s="10">
        <v>1281.2280000000001</v>
      </c>
      <c r="P431" s="10">
        <v>0.38596785077360585</v>
      </c>
      <c r="Q431" s="8">
        <v>3319.52</v>
      </c>
      <c r="R431" t="s">
        <v>46</v>
      </c>
      <c r="S431" t="s">
        <v>49</v>
      </c>
      <c r="T431" t="s">
        <v>2931</v>
      </c>
      <c r="U431">
        <v>0</v>
      </c>
      <c r="V431" t="str">
        <f>IF(CleanedTable[[#This Row],[Returned]] = 0,"NO","Yes")</f>
        <v>NO</v>
      </c>
      <c r="W431" t="s">
        <v>480</v>
      </c>
      <c r="X431" t="s">
        <v>1969</v>
      </c>
      <c r="Y431" s="10">
        <v>46.58</v>
      </c>
      <c r="Z431" s="3">
        <v>45619</v>
      </c>
      <c r="AA431" s="3">
        <v>45622</v>
      </c>
      <c r="AB431" t="s">
        <v>2923</v>
      </c>
      <c r="AC431">
        <v>3</v>
      </c>
    </row>
    <row r="432" spans="1:29" x14ac:dyDescent="0.3">
      <c r="A432" s="3">
        <v>45331</v>
      </c>
      <c r="B432" s="3" t="str">
        <f>TEXT(CleanedTable[[#This Row],[OrderDate]],"mmm")</f>
        <v>Feb</v>
      </c>
      <c r="C432" s="3" t="str">
        <f>TEXT(CleanedTable[[#This Row],[OrderDate]],"yyyy")</f>
        <v>2024</v>
      </c>
      <c r="D432" s="3" t="str">
        <f>TEXT(CleanedTable[[#This Row],[OrderDate]],"mmm yyyy")</f>
        <v>Feb 2024</v>
      </c>
      <c r="E432" t="s">
        <v>22</v>
      </c>
      <c r="F432" t="s">
        <v>25</v>
      </c>
      <c r="G432" s="12">
        <v>16</v>
      </c>
      <c r="H432" s="8">
        <v>442.22</v>
      </c>
      <c r="I432" t="s">
        <v>31</v>
      </c>
      <c r="J432" t="s">
        <v>36</v>
      </c>
      <c r="K432" s="10">
        <v>0</v>
      </c>
      <c r="L432" t="s">
        <v>38</v>
      </c>
      <c r="M432">
        <v>7075.52</v>
      </c>
      <c r="N432">
        <v>4245.3119999999999</v>
      </c>
      <c r="O432" s="10">
        <v>2802.8480000000004</v>
      </c>
      <c r="P432" s="10">
        <v>0.39613314639772063</v>
      </c>
      <c r="Q432" s="8">
        <v>7075.52</v>
      </c>
      <c r="R432" t="s">
        <v>47</v>
      </c>
      <c r="S432" t="s">
        <v>48</v>
      </c>
      <c r="T432" t="s">
        <v>2931</v>
      </c>
      <c r="U432">
        <v>0</v>
      </c>
      <c r="V432" t="str">
        <f>IF(CleanedTable[[#This Row],[Returned]] = 0,"NO","Yes")</f>
        <v>NO</v>
      </c>
      <c r="W432" t="s">
        <v>481</v>
      </c>
      <c r="X432" t="s">
        <v>1970</v>
      </c>
      <c r="Y432" s="10">
        <v>27.36</v>
      </c>
      <c r="Z432" s="3">
        <v>45331</v>
      </c>
      <c r="AA432" s="3">
        <v>45340</v>
      </c>
      <c r="AB432" t="s">
        <v>2925</v>
      </c>
      <c r="AC432">
        <v>9</v>
      </c>
    </row>
    <row r="433" spans="1:29" x14ac:dyDescent="0.3">
      <c r="A433" s="3">
        <v>45246</v>
      </c>
      <c r="B433" s="3" t="str">
        <f>TEXT(CleanedTable[[#This Row],[OrderDate]],"mmm")</f>
        <v>Nov</v>
      </c>
      <c r="C433" s="3" t="str">
        <f>TEXT(CleanedTable[[#This Row],[OrderDate]],"yyyy")</f>
        <v>2023</v>
      </c>
      <c r="D433" s="3" t="str">
        <f>TEXT(CleanedTable[[#This Row],[OrderDate]],"mmm yyyy")</f>
        <v>Nov 2023</v>
      </c>
      <c r="E433" t="s">
        <v>22</v>
      </c>
      <c r="F433" t="s">
        <v>30</v>
      </c>
      <c r="G433" s="12">
        <v>14</v>
      </c>
      <c r="H433" s="8">
        <v>595.39</v>
      </c>
      <c r="I433" t="s">
        <v>32</v>
      </c>
      <c r="J433" t="s">
        <v>35</v>
      </c>
      <c r="K433" s="10">
        <v>0.1</v>
      </c>
      <c r="L433" t="s">
        <v>42</v>
      </c>
      <c r="M433">
        <v>7501.9139999999998</v>
      </c>
      <c r="N433">
        <v>5001.2759999999998</v>
      </c>
      <c r="O433" s="10">
        <v>2491.1279999999997</v>
      </c>
      <c r="P433" s="10">
        <v>0.33206565684437328</v>
      </c>
      <c r="Q433" s="8">
        <v>7501.9139999999998</v>
      </c>
      <c r="R433" t="s">
        <v>45</v>
      </c>
      <c r="S433" t="s">
        <v>49</v>
      </c>
      <c r="T433" t="s">
        <v>2931</v>
      </c>
      <c r="U433">
        <v>0</v>
      </c>
      <c r="V433" t="str">
        <f>IF(CleanedTable[[#This Row],[Returned]] = 0,"NO","Yes")</f>
        <v>NO</v>
      </c>
      <c r="W433" t="s">
        <v>482</v>
      </c>
      <c r="X433" t="s">
        <v>1971</v>
      </c>
      <c r="Y433" s="10">
        <v>9.51</v>
      </c>
      <c r="Z433" s="3">
        <v>45246</v>
      </c>
      <c r="AA433" s="3">
        <v>45252</v>
      </c>
      <c r="AB433" t="s">
        <v>2925</v>
      </c>
      <c r="AC433">
        <v>6</v>
      </c>
    </row>
    <row r="434" spans="1:29" x14ac:dyDescent="0.3">
      <c r="A434" s="3">
        <v>45681</v>
      </c>
      <c r="B434" s="3" t="str">
        <f>TEXT(CleanedTable[[#This Row],[OrderDate]],"mmm")</f>
        <v>Jan</v>
      </c>
      <c r="C434" s="3" t="str">
        <f>TEXT(CleanedTable[[#This Row],[OrderDate]],"yyyy")</f>
        <v>2025</v>
      </c>
      <c r="D434" s="3" t="str">
        <f>TEXT(CleanedTable[[#This Row],[OrderDate]],"mmm yyyy")</f>
        <v>Jan 2025</v>
      </c>
      <c r="E434" t="s">
        <v>22</v>
      </c>
      <c r="F434" t="s">
        <v>28</v>
      </c>
      <c r="G434" s="12">
        <v>6</v>
      </c>
      <c r="H434" s="8">
        <v>175.3</v>
      </c>
      <c r="I434" t="s">
        <v>32</v>
      </c>
      <c r="J434" t="s">
        <v>35</v>
      </c>
      <c r="K434" s="10">
        <v>0.15</v>
      </c>
      <c r="L434" t="s">
        <v>38</v>
      </c>
      <c r="M434">
        <v>894.03000000000009</v>
      </c>
      <c r="N434">
        <v>631.08000000000004</v>
      </c>
      <c r="O434" s="10">
        <v>245.03000000000003</v>
      </c>
      <c r="P434" s="10">
        <v>0.27407357694931939</v>
      </c>
      <c r="Q434" s="8">
        <v>894.03000000000009</v>
      </c>
      <c r="R434" t="s">
        <v>47</v>
      </c>
      <c r="S434" t="s">
        <v>49</v>
      </c>
      <c r="T434" t="s">
        <v>2931</v>
      </c>
      <c r="U434">
        <v>1</v>
      </c>
      <c r="V434" t="str">
        <f>IF(CleanedTable[[#This Row],[Returned]] = 0,"NO","Yes")</f>
        <v>Yes</v>
      </c>
      <c r="W434" t="s">
        <v>483</v>
      </c>
      <c r="X434" t="s">
        <v>1972</v>
      </c>
      <c r="Y434" s="10">
        <v>17.920000000000002</v>
      </c>
      <c r="Z434" s="3">
        <v>45681</v>
      </c>
      <c r="AA434" s="3">
        <v>45686</v>
      </c>
      <c r="AB434" t="s">
        <v>2925</v>
      </c>
      <c r="AC434">
        <v>5</v>
      </c>
    </row>
    <row r="435" spans="1:29" x14ac:dyDescent="0.3">
      <c r="A435" s="3">
        <v>45783</v>
      </c>
      <c r="B435" s="3" t="str">
        <f>TEXT(CleanedTable[[#This Row],[OrderDate]],"mmm")</f>
        <v>May</v>
      </c>
      <c r="C435" s="3" t="str">
        <f>TEXT(CleanedTable[[#This Row],[OrderDate]],"yyyy")</f>
        <v>2025</v>
      </c>
      <c r="D435" s="3" t="str">
        <f>TEXT(CleanedTable[[#This Row],[OrderDate]],"mmm yyyy")</f>
        <v>May 2025</v>
      </c>
      <c r="E435" t="s">
        <v>22</v>
      </c>
      <c r="F435" t="s">
        <v>29</v>
      </c>
      <c r="G435" s="12">
        <v>7</v>
      </c>
      <c r="H435" s="8">
        <v>319.58999999999997</v>
      </c>
      <c r="I435" t="s">
        <v>33</v>
      </c>
      <c r="J435" t="s">
        <v>35</v>
      </c>
      <c r="K435" s="10">
        <v>0.15</v>
      </c>
      <c r="L435" t="s">
        <v>40</v>
      </c>
      <c r="M435">
        <v>1901.5604999999996</v>
      </c>
      <c r="N435">
        <v>1342.278</v>
      </c>
      <c r="O435" s="10">
        <v>550.81249999999955</v>
      </c>
      <c r="P435" s="10">
        <v>0.2896634106566684</v>
      </c>
      <c r="Q435" s="8">
        <v>1901.5605</v>
      </c>
      <c r="R435" t="s">
        <v>44</v>
      </c>
      <c r="S435" t="s">
        <v>50</v>
      </c>
      <c r="T435" t="s">
        <v>2931</v>
      </c>
      <c r="U435">
        <v>1</v>
      </c>
      <c r="V435" t="str">
        <f>IF(CleanedTable[[#This Row],[Returned]] = 0,"NO","Yes")</f>
        <v>Yes</v>
      </c>
      <c r="W435" t="s">
        <v>484</v>
      </c>
      <c r="X435" t="s">
        <v>1973</v>
      </c>
      <c r="Y435" s="10">
        <v>8.4700000000000006</v>
      </c>
      <c r="Z435" s="3">
        <v>45783</v>
      </c>
      <c r="AA435" s="3">
        <v>45786</v>
      </c>
      <c r="AB435" t="s">
        <v>2925</v>
      </c>
      <c r="AC435">
        <v>3</v>
      </c>
    </row>
    <row r="436" spans="1:29" x14ac:dyDescent="0.3">
      <c r="A436" s="3">
        <v>45794</v>
      </c>
      <c r="B436" s="3" t="str">
        <f>TEXT(CleanedTable[[#This Row],[OrderDate]],"mmm")</f>
        <v>May</v>
      </c>
      <c r="C436" s="3" t="str">
        <f>TEXT(CleanedTable[[#This Row],[OrderDate]],"yyyy")</f>
        <v>2025</v>
      </c>
      <c r="D436" s="3" t="str">
        <f>TEXT(CleanedTable[[#This Row],[OrderDate]],"mmm yyyy")</f>
        <v>May 2025</v>
      </c>
      <c r="E436" t="s">
        <v>19</v>
      </c>
      <c r="F436" t="s">
        <v>30</v>
      </c>
      <c r="G436" s="12">
        <v>15</v>
      </c>
      <c r="H436" s="8">
        <v>506.81</v>
      </c>
      <c r="I436" t="s">
        <v>32</v>
      </c>
      <c r="J436" t="s">
        <v>36</v>
      </c>
      <c r="K436" s="10">
        <v>0.15</v>
      </c>
      <c r="L436" t="s">
        <v>42</v>
      </c>
      <c r="M436">
        <v>6461.8274999999994</v>
      </c>
      <c r="N436">
        <v>4561.29</v>
      </c>
      <c r="O436" s="10">
        <v>1859.5074999999995</v>
      </c>
      <c r="P436" s="10">
        <v>0.2877680501375191</v>
      </c>
      <c r="Q436" s="8">
        <v>6461.8274999999994</v>
      </c>
      <c r="R436" t="s">
        <v>47</v>
      </c>
      <c r="S436" t="s">
        <v>48</v>
      </c>
      <c r="T436" t="s">
        <v>2931</v>
      </c>
      <c r="U436">
        <v>1</v>
      </c>
      <c r="V436" t="str">
        <f>IF(CleanedTable[[#This Row],[Returned]] = 0,"NO","Yes")</f>
        <v>Yes</v>
      </c>
      <c r="W436" t="s">
        <v>485</v>
      </c>
      <c r="X436" t="s">
        <v>1974</v>
      </c>
      <c r="Y436" s="10">
        <v>41.03</v>
      </c>
      <c r="Z436" s="3">
        <v>45794</v>
      </c>
      <c r="AA436" s="3">
        <v>45804</v>
      </c>
      <c r="AB436" t="s">
        <v>2922</v>
      </c>
      <c r="AC436">
        <v>10</v>
      </c>
    </row>
    <row r="437" spans="1:29" x14ac:dyDescent="0.3">
      <c r="A437" s="3">
        <v>45259</v>
      </c>
      <c r="B437" s="3" t="str">
        <f>TEXT(CleanedTable[[#This Row],[OrderDate]],"mmm")</f>
        <v>Nov</v>
      </c>
      <c r="C437" s="3" t="str">
        <f>TEXT(CleanedTable[[#This Row],[OrderDate]],"yyyy")</f>
        <v>2023</v>
      </c>
      <c r="D437" s="3" t="str">
        <f>TEXT(CleanedTable[[#This Row],[OrderDate]],"mmm yyyy")</f>
        <v>Nov 2023</v>
      </c>
      <c r="E437" t="s">
        <v>22</v>
      </c>
      <c r="F437" t="s">
        <v>24</v>
      </c>
      <c r="G437" s="12">
        <v>17</v>
      </c>
      <c r="H437" s="8">
        <v>538.08000000000004</v>
      </c>
      <c r="I437" t="s">
        <v>32</v>
      </c>
      <c r="J437" t="s">
        <v>36</v>
      </c>
      <c r="K437" s="10">
        <v>0.05</v>
      </c>
      <c r="L437" t="s">
        <v>37</v>
      </c>
      <c r="M437">
        <v>8689.9920000000002</v>
      </c>
      <c r="N437">
        <v>5488.4160000000002</v>
      </c>
      <c r="O437" s="10">
        <v>3181.9659999999999</v>
      </c>
      <c r="P437" s="10">
        <v>0.36616443375321861</v>
      </c>
      <c r="Q437" s="8">
        <v>8689.9920000000002</v>
      </c>
      <c r="R437" t="s">
        <v>46</v>
      </c>
      <c r="S437" t="s">
        <v>48</v>
      </c>
      <c r="T437" t="s">
        <v>2931</v>
      </c>
      <c r="U437">
        <v>0</v>
      </c>
      <c r="V437" t="str">
        <f>IF(CleanedTable[[#This Row],[Returned]] = 0,"NO","Yes")</f>
        <v>NO</v>
      </c>
      <c r="W437" t="s">
        <v>486</v>
      </c>
      <c r="X437" t="s">
        <v>1975</v>
      </c>
      <c r="Y437" s="10">
        <v>19.61</v>
      </c>
      <c r="Z437" s="3">
        <v>45259</v>
      </c>
      <c r="AA437" s="3">
        <v>45261</v>
      </c>
      <c r="AB437" t="s">
        <v>2925</v>
      </c>
      <c r="AC437">
        <v>2</v>
      </c>
    </row>
    <row r="438" spans="1:29" x14ac:dyDescent="0.3">
      <c r="A438" s="3">
        <v>44981</v>
      </c>
      <c r="B438" s="3" t="str">
        <f>TEXT(CleanedTable[[#This Row],[OrderDate]],"mmm")</f>
        <v>Feb</v>
      </c>
      <c r="C438" s="3" t="str">
        <f>TEXT(CleanedTable[[#This Row],[OrderDate]],"yyyy")</f>
        <v>2023</v>
      </c>
      <c r="D438" s="3" t="str">
        <f>TEXT(CleanedTable[[#This Row],[OrderDate]],"mmm yyyy")</f>
        <v>Feb 2023</v>
      </c>
      <c r="E438" t="s">
        <v>20</v>
      </c>
      <c r="F438" t="s">
        <v>27</v>
      </c>
      <c r="G438" s="12">
        <v>16</v>
      </c>
      <c r="H438" s="8">
        <v>187.84</v>
      </c>
      <c r="I438" t="s">
        <v>32</v>
      </c>
      <c r="J438" t="s">
        <v>36</v>
      </c>
      <c r="K438" s="10">
        <v>0</v>
      </c>
      <c r="L438" t="s">
        <v>38</v>
      </c>
      <c r="M438">
        <v>3005.44</v>
      </c>
      <c r="N438">
        <v>1803.2639999999999</v>
      </c>
      <c r="O438" s="10">
        <v>1183.5260000000001</v>
      </c>
      <c r="P438" s="10">
        <v>0.3937945858177172</v>
      </c>
      <c r="Q438" s="8">
        <v>3005.44</v>
      </c>
      <c r="R438" t="s">
        <v>45</v>
      </c>
      <c r="S438" t="s">
        <v>49</v>
      </c>
      <c r="T438" t="s">
        <v>2931</v>
      </c>
      <c r="U438">
        <v>0</v>
      </c>
      <c r="V438" t="str">
        <f>IF(CleanedTable[[#This Row],[Returned]] = 0,"NO","Yes")</f>
        <v>NO</v>
      </c>
      <c r="W438" t="s">
        <v>487</v>
      </c>
      <c r="X438" t="s">
        <v>1976</v>
      </c>
      <c r="Y438" s="10">
        <v>18.649999999999999</v>
      </c>
      <c r="Z438" s="3">
        <v>44981</v>
      </c>
      <c r="AA438" s="3">
        <v>44983</v>
      </c>
      <c r="AB438" t="s">
        <v>2923</v>
      </c>
      <c r="AC438">
        <v>2</v>
      </c>
    </row>
    <row r="439" spans="1:29" x14ac:dyDescent="0.3">
      <c r="A439" s="3">
        <v>45234</v>
      </c>
      <c r="B439" s="3" t="str">
        <f>TEXT(CleanedTable[[#This Row],[OrderDate]],"mmm")</f>
        <v>Nov</v>
      </c>
      <c r="C439" s="3" t="str">
        <f>TEXT(CleanedTable[[#This Row],[OrderDate]],"yyyy")</f>
        <v>2023</v>
      </c>
      <c r="D439" s="3" t="str">
        <f>TEXT(CleanedTable[[#This Row],[OrderDate]],"mmm yyyy")</f>
        <v>Nov 2023</v>
      </c>
      <c r="E439" t="s">
        <v>20</v>
      </c>
      <c r="F439" t="s">
        <v>24</v>
      </c>
      <c r="G439" s="12">
        <v>18</v>
      </c>
      <c r="H439" s="8">
        <v>426.3</v>
      </c>
      <c r="I439" t="s">
        <v>32</v>
      </c>
      <c r="J439" t="s">
        <v>35</v>
      </c>
      <c r="K439" s="10">
        <v>0.15</v>
      </c>
      <c r="L439" t="s">
        <v>40</v>
      </c>
      <c r="M439">
        <v>6522.39</v>
      </c>
      <c r="N439">
        <v>4604.04</v>
      </c>
      <c r="O439" s="10">
        <v>1888.5400000000004</v>
      </c>
      <c r="P439" s="10">
        <v>0.28954723651912878</v>
      </c>
      <c r="Q439" s="8">
        <v>6522.39</v>
      </c>
      <c r="R439" t="s">
        <v>45</v>
      </c>
      <c r="T439" t="s">
        <v>2932</v>
      </c>
      <c r="U439">
        <v>1</v>
      </c>
      <c r="V439" t="str">
        <f>IF(CleanedTable[[#This Row],[Returned]] = 0,"NO","Yes")</f>
        <v>Yes</v>
      </c>
      <c r="W439" t="s">
        <v>488</v>
      </c>
      <c r="X439" t="s">
        <v>1977</v>
      </c>
      <c r="Y439" s="10">
        <v>29.81</v>
      </c>
      <c r="Z439" s="3">
        <v>45234</v>
      </c>
      <c r="AA439" s="3">
        <v>45240</v>
      </c>
      <c r="AB439" t="s">
        <v>2923</v>
      </c>
      <c r="AC439">
        <v>6</v>
      </c>
    </row>
    <row r="440" spans="1:29" x14ac:dyDescent="0.3">
      <c r="A440" s="3">
        <v>45458</v>
      </c>
      <c r="B440" s="3" t="str">
        <f>TEXT(CleanedTable[[#This Row],[OrderDate]],"mmm")</f>
        <v>Jun</v>
      </c>
      <c r="C440" s="3" t="str">
        <f>TEXT(CleanedTable[[#This Row],[OrderDate]],"yyyy")</f>
        <v>2024</v>
      </c>
      <c r="D440" s="3" t="str">
        <f>TEXT(CleanedTable[[#This Row],[OrderDate]],"mmm yyyy")</f>
        <v>Jun 2024</v>
      </c>
      <c r="E440" t="s">
        <v>19</v>
      </c>
      <c r="F440" t="s">
        <v>26</v>
      </c>
      <c r="G440" s="12">
        <v>1</v>
      </c>
      <c r="H440" s="8">
        <v>498.35</v>
      </c>
      <c r="I440" t="s">
        <v>31</v>
      </c>
      <c r="J440" t="s">
        <v>36</v>
      </c>
      <c r="K440" s="10">
        <v>0.1</v>
      </c>
      <c r="L440" t="s">
        <v>38</v>
      </c>
      <c r="M440">
        <v>448.51500000000004</v>
      </c>
      <c r="N440">
        <v>299.01</v>
      </c>
      <c r="O440" s="10">
        <v>114.80500000000005</v>
      </c>
      <c r="P440" s="10">
        <v>0.25596691303523861</v>
      </c>
      <c r="Q440" s="8">
        <v>448.51499999999999</v>
      </c>
      <c r="R440" t="s">
        <v>43</v>
      </c>
      <c r="S440" t="s">
        <v>48</v>
      </c>
      <c r="T440" t="s">
        <v>2931</v>
      </c>
      <c r="U440">
        <v>0</v>
      </c>
      <c r="V440" t="str">
        <f>IF(CleanedTable[[#This Row],[Returned]] = 0,"NO","Yes")</f>
        <v>NO</v>
      </c>
      <c r="W440" t="s">
        <v>489</v>
      </c>
      <c r="X440" t="s">
        <v>1978</v>
      </c>
      <c r="Y440" s="10">
        <v>34.700000000000003</v>
      </c>
      <c r="Z440" s="3">
        <v>45458</v>
      </c>
      <c r="AA440" s="3">
        <v>45465</v>
      </c>
      <c r="AB440" t="s">
        <v>2922</v>
      </c>
      <c r="AC440">
        <v>7</v>
      </c>
    </row>
    <row r="441" spans="1:29" x14ac:dyDescent="0.3">
      <c r="A441" s="3">
        <v>45567</v>
      </c>
      <c r="B441" s="3" t="str">
        <f>TEXT(CleanedTable[[#This Row],[OrderDate]],"mmm")</f>
        <v>Oct</v>
      </c>
      <c r="C441" s="3" t="str">
        <f>TEXT(CleanedTable[[#This Row],[OrderDate]],"yyyy")</f>
        <v>2024</v>
      </c>
      <c r="D441" s="3" t="str">
        <f>TEXT(CleanedTable[[#This Row],[OrderDate]],"mmm yyyy")</f>
        <v>Oct 2024</v>
      </c>
      <c r="E441" t="s">
        <v>21</v>
      </c>
      <c r="F441" t="s">
        <v>29</v>
      </c>
      <c r="G441" s="12">
        <v>19</v>
      </c>
      <c r="H441" s="8">
        <v>385.72</v>
      </c>
      <c r="I441" t="s">
        <v>32</v>
      </c>
      <c r="J441" t="s">
        <v>36</v>
      </c>
      <c r="K441" s="10">
        <v>0.05</v>
      </c>
      <c r="L441" t="s">
        <v>40</v>
      </c>
      <c r="M441">
        <v>6962.2460000000001</v>
      </c>
      <c r="N441">
        <v>4397.2080000000005</v>
      </c>
      <c r="O441" s="10">
        <v>2552.5779999999995</v>
      </c>
      <c r="P441" s="10">
        <v>0.36663140026939572</v>
      </c>
      <c r="Q441" s="8">
        <v>6962.2460000000001</v>
      </c>
      <c r="R441" t="s">
        <v>47</v>
      </c>
      <c r="S441" t="s">
        <v>49</v>
      </c>
      <c r="T441" t="s">
        <v>2931</v>
      </c>
      <c r="U441">
        <v>1</v>
      </c>
      <c r="V441" t="str">
        <f>IF(CleanedTable[[#This Row],[Returned]] = 0,"NO","Yes")</f>
        <v>Yes</v>
      </c>
      <c r="W441" t="s">
        <v>490</v>
      </c>
      <c r="X441" t="s">
        <v>1979</v>
      </c>
      <c r="Y441" s="10">
        <v>12.46</v>
      </c>
      <c r="Z441" s="3">
        <v>45567</v>
      </c>
      <c r="AA441" s="3">
        <v>45571</v>
      </c>
      <c r="AB441" t="s">
        <v>2924</v>
      </c>
      <c r="AC441">
        <v>4</v>
      </c>
    </row>
    <row r="442" spans="1:29" x14ac:dyDescent="0.3">
      <c r="A442" s="3">
        <v>45080</v>
      </c>
      <c r="B442" s="3" t="str">
        <f>TEXT(CleanedTable[[#This Row],[OrderDate]],"mmm")</f>
        <v>Jun</v>
      </c>
      <c r="C442" s="3" t="str">
        <f>TEXT(CleanedTable[[#This Row],[OrderDate]],"yyyy")</f>
        <v>2023</v>
      </c>
      <c r="D442" s="3" t="str">
        <f>TEXT(CleanedTable[[#This Row],[OrderDate]],"mmm yyyy")</f>
        <v>Jun 2023</v>
      </c>
      <c r="E442" t="s">
        <v>23</v>
      </c>
      <c r="F442" t="s">
        <v>29</v>
      </c>
      <c r="G442" s="12">
        <v>3</v>
      </c>
      <c r="H442" s="8">
        <v>54.37</v>
      </c>
      <c r="I442" t="s">
        <v>31</v>
      </c>
      <c r="J442" t="s">
        <v>35</v>
      </c>
      <c r="K442" s="10">
        <v>0.1</v>
      </c>
      <c r="L442" t="s">
        <v>39</v>
      </c>
      <c r="M442">
        <v>146.79899999999998</v>
      </c>
      <c r="N442">
        <v>97.866</v>
      </c>
      <c r="O442" s="10">
        <v>0.22299999999997766</v>
      </c>
      <c r="P442" s="10">
        <v>1.5190839174652258E-3</v>
      </c>
      <c r="Q442" s="8">
        <v>146.79900000000001</v>
      </c>
      <c r="R442" t="s">
        <v>45</v>
      </c>
      <c r="S442" t="s">
        <v>50</v>
      </c>
      <c r="T442" t="s">
        <v>2931</v>
      </c>
      <c r="U442">
        <v>0</v>
      </c>
      <c r="V442" t="str">
        <f>IF(CleanedTable[[#This Row],[Returned]] = 0,"NO","Yes")</f>
        <v>NO</v>
      </c>
      <c r="W442" t="s">
        <v>491</v>
      </c>
      <c r="X442" t="s">
        <v>1980</v>
      </c>
      <c r="Y442" s="10">
        <v>48.71</v>
      </c>
      <c r="Z442" s="3">
        <v>45080</v>
      </c>
      <c r="AA442" s="3">
        <v>45090</v>
      </c>
      <c r="AB442" t="s">
        <v>2926</v>
      </c>
      <c r="AC442">
        <v>10</v>
      </c>
    </row>
    <row r="443" spans="1:29" x14ac:dyDescent="0.3">
      <c r="A443" s="3">
        <v>45179</v>
      </c>
      <c r="B443" s="3" t="str">
        <f>TEXT(CleanedTable[[#This Row],[OrderDate]],"mmm")</f>
        <v>Sep</v>
      </c>
      <c r="C443" s="3" t="str">
        <f>TEXT(CleanedTable[[#This Row],[OrderDate]],"yyyy")</f>
        <v>2023</v>
      </c>
      <c r="D443" s="3" t="str">
        <f>TEXT(CleanedTable[[#This Row],[OrderDate]],"mmm yyyy")</f>
        <v>Sep 2023</v>
      </c>
      <c r="E443" t="s">
        <v>19</v>
      </c>
      <c r="F443" t="s">
        <v>25</v>
      </c>
      <c r="G443" s="12">
        <v>6</v>
      </c>
      <c r="H443" s="8">
        <v>471.74</v>
      </c>
      <c r="I443" t="s">
        <v>33</v>
      </c>
      <c r="J443" t="s">
        <v>36</v>
      </c>
      <c r="K443" s="10">
        <v>0.15</v>
      </c>
      <c r="L443" t="s">
        <v>40</v>
      </c>
      <c r="M443">
        <v>2405.8739999999998</v>
      </c>
      <c r="N443">
        <v>1698.2639999999999</v>
      </c>
      <c r="O443" s="10">
        <v>670.81999999999994</v>
      </c>
      <c r="P443" s="10">
        <v>0.27882590692613163</v>
      </c>
      <c r="Q443" s="8">
        <v>2405.8739999999998</v>
      </c>
      <c r="R443" t="s">
        <v>43</v>
      </c>
      <c r="T443" t="s">
        <v>2932</v>
      </c>
      <c r="U443">
        <v>0</v>
      </c>
      <c r="V443" t="str">
        <f>IF(CleanedTable[[#This Row],[Returned]] = 0,"NO","Yes")</f>
        <v>NO</v>
      </c>
      <c r="W443" t="s">
        <v>492</v>
      </c>
      <c r="X443" t="s">
        <v>1981</v>
      </c>
      <c r="Y443" s="10">
        <v>36.79</v>
      </c>
      <c r="Z443" s="3">
        <v>45179</v>
      </c>
      <c r="AA443" s="3">
        <v>45187</v>
      </c>
      <c r="AB443" t="s">
        <v>2922</v>
      </c>
      <c r="AC443">
        <v>8</v>
      </c>
    </row>
    <row r="444" spans="1:29" x14ac:dyDescent="0.3">
      <c r="A444" s="3">
        <v>45797</v>
      </c>
      <c r="B444" s="3" t="str">
        <f>TEXT(CleanedTable[[#This Row],[OrderDate]],"mmm")</f>
        <v>May</v>
      </c>
      <c r="C444" s="3" t="str">
        <f>TEXT(CleanedTable[[#This Row],[OrderDate]],"yyyy")</f>
        <v>2025</v>
      </c>
      <c r="D444" s="3" t="str">
        <f>TEXT(CleanedTable[[#This Row],[OrderDate]],"mmm yyyy")</f>
        <v>May 2025</v>
      </c>
      <c r="E444" t="s">
        <v>22</v>
      </c>
      <c r="F444" t="s">
        <v>30</v>
      </c>
      <c r="G444" s="12">
        <v>19</v>
      </c>
      <c r="H444" s="8">
        <v>322.31</v>
      </c>
      <c r="I444" t="s">
        <v>31</v>
      </c>
      <c r="J444" t="s">
        <v>36</v>
      </c>
      <c r="K444" s="10">
        <v>0.15</v>
      </c>
      <c r="L444" t="s">
        <v>42</v>
      </c>
      <c r="M444">
        <v>5205.3065000000006</v>
      </c>
      <c r="N444">
        <v>3674.3339999999998</v>
      </c>
      <c r="O444" s="10">
        <v>1497.0225000000007</v>
      </c>
      <c r="P444" s="10">
        <v>0.2875954566748376</v>
      </c>
      <c r="Q444" s="8">
        <v>5205.3065000000006</v>
      </c>
      <c r="R444" t="s">
        <v>47</v>
      </c>
      <c r="S444" t="s">
        <v>48</v>
      </c>
      <c r="T444" t="s">
        <v>2931</v>
      </c>
      <c r="U444">
        <v>0</v>
      </c>
      <c r="V444" t="str">
        <f>IF(CleanedTable[[#This Row],[Returned]] = 0,"NO","Yes")</f>
        <v>NO</v>
      </c>
      <c r="W444" t="s">
        <v>493</v>
      </c>
      <c r="X444" t="s">
        <v>1982</v>
      </c>
      <c r="Y444" s="10">
        <v>33.950000000000003</v>
      </c>
      <c r="Z444" s="3">
        <v>45797</v>
      </c>
      <c r="AA444" s="3">
        <v>45799</v>
      </c>
      <c r="AB444" t="s">
        <v>2925</v>
      </c>
      <c r="AC444">
        <v>2</v>
      </c>
    </row>
    <row r="445" spans="1:29" x14ac:dyDescent="0.3">
      <c r="A445" s="3">
        <v>45193</v>
      </c>
      <c r="B445" s="3" t="str">
        <f>TEXT(CleanedTable[[#This Row],[OrderDate]],"mmm")</f>
        <v>Sep</v>
      </c>
      <c r="C445" s="3" t="str">
        <f>TEXT(CleanedTable[[#This Row],[OrderDate]],"yyyy")</f>
        <v>2023</v>
      </c>
      <c r="D445" s="3" t="str">
        <f>TEXT(CleanedTable[[#This Row],[OrderDate]],"mmm yyyy")</f>
        <v>Sep 2023</v>
      </c>
      <c r="E445" t="s">
        <v>21</v>
      </c>
      <c r="F445" t="s">
        <v>29</v>
      </c>
      <c r="G445" s="12">
        <v>13</v>
      </c>
      <c r="H445" s="8">
        <v>115.86</v>
      </c>
      <c r="I445" t="s">
        <v>32</v>
      </c>
      <c r="J445" t="s">
        <v>35</v>
      </c>
      <c r="K445" s="10">
        <v>0.1</v>
      </c>
      <c r="L445" t="s">
        <v>41</v>
      </c>
      <c r="M445">
        <v>1355.5620000000001</v>
      </c>
      <c r="N445">
        <v>903.70799999999986</v>
      </c>
      <c r="O445" s="10">
        <v>423.33400000000029</v>
      </c>
      <c r="P445" s="10">
        <v>0.31229408909367501</v>
      </c>
      <c r="Q445" s="8">
        <v>1355.5619999999999</v>
      </c>
      <c r="R445" t="s">
        <v>47</v>
      </c>
      <c r="T445" t="s">
        <v>2932</v>
      </c>
      <c r="U445">
        <v>1</v>
      </c>
      <c r="V445" t="str">
        <f>IF(CleanedTable[[#This Row],[Returned]] = 0,"NO","Yes")</f>
        <v>Yes</v>
      </c>
      <c r="W445" t="s">
        <v>494</v>
      </c>
      <c r="X445" t="s">
        <v>1983</v>
      </c>
      <c r="Y445" s="10">
        <v>28.52</v>
      </c>
      <c r="Z445" s="3">
        <v>45193</v>
      </c>
      <c r="AA445" s="3">
        <v>45202</v>
      </c>
      <c r="AB445" t="s">
        <v>2924</v>
      </c>
      <c r="AC445">
        <v>9</v>
      </c>
    </row>
    <row r="446" spans="1:29" x14ac:dyDescent="0.3">
      <c r="A446" s="3">
        <v>45745</v>
      </c>
      <c r="B446" s="3" t="str">
        <f>TEXT(CleanedTable[[#This Row],[OrderDate]],"mmm")</f>
        <v>Mar</v>
      </c>
      <c r="C446" s="3" t="str">
        <f>TEXT(CleanedTable[[#This Row],[OrderDate]],"yyyy")</f>
        <v>2025</v>
      </c>
      <c r="D446" s="3" t="str">
        <f>TEXT(CleanedTable[[#This Row],[OrderDate]],"mmm yyyy")</f>
        <v>Mar 2025</v>
      </c>
      <c r="E446" t="s">
        <v>19</v>
      </c>
      <c r="F446" t="s">
        <v>29</v>
      </c>
      <c r="G446" s="12">
        <v>18</v>
      </c>
      <c r="H446" s="8">
        <v>398.26</v>
      </c>
      <c r="I446" t="s">
        <v>31</v>
      </c>
      <c r="J446" t="s">
        <v>36</v>
      </c>
      <c r="K446" s="10">
        <v>0.1</v>
      </c>
      <c r="L446" t="s">
        <v>42</v>
      </c>
      <c r="M446">
        <v>6451.8120000000008</v>
      </c>
      <c r="N446">
        <v>4301.2079999999996</v>
      </c>
      <c r="O446" s="10">
        <v>2133.804000000001</v>
      </c>
      <c r="P446" s="10">
        <v>0.33072941369029363</v>
      </c>
      <c r="Q446" s="8">
        <v>6451.8120000000008</v>
      </c>
      <c r="R446" t="s">
        <v>46</v>
      </c>
      <c r="T446" t="s">
        <v>2932</v>
      </c>
      <c r="U446">
        <v>0</v>
      </c>
      <c r="V446" t="str">
        <f>IF(CleanedTable[[#This Row],[Returned]] = 0,"NO","Yes")</f>
        <v>NO</v>
      </c>
      <c r="W446" t="s">
        <v>495</v>
      </c>
      <c r="X446" t="s">
        <v>1984</v>
      </c>
      <c r="Y446" s="10">
        <v>16.8</v>
      </c>
      <c r="Z446" s="3">
        <v>45745</v>
      </c>
      <c r="AA446" s="3">
        <v>45751</v>
      </c>
      <c r="AB446" t="s">
        <v>2922</v>
      </c>
      <c r="AC446">
        <v>6</v>
      </c>
    </row>
    <row r="447" spans="1:29" x14ac:dyDescent="0.3">
      <c r="A447" s="3">
        <v>45094</v>
      </c>
      <c r="B447" s="3" t="str">
        <f>TEXT(CleanedTable[[#This Row],[OrderDate]],"mmm")</f>
        <v>Jun</v>
      </c>
      <c r="C447" s="3" t="str">
        <f>TEXT(CleanedTable[[#This Row],[OrderDate]],"yyyy")</f>
        <v>2023</v>
      </c>
      <c r="D447" s="3" t="str">
        <f>TEXT(CleanedTable[[#This Row],[OrderDate]],"mmm yyyy")</f>
        <v>Jun 2023</v>
      </c>
      <c r="E447" t="s">
        <v>19</v>
      </c>
      <c r="F447" t="s">
        <v>27</v>
      </c>
      <c r="G447" s="12">
        <v>4</v>
      </c>
      <c r="H447" s="8">
        <v>584.79999999999995</v>
      </c>
      <c r="I447" t="s">
        <v>31</v>
      </c>
      <c r="J447" t="s">
        <v>36</v>
      </c>
      <c r="K447" s="10">
        <v>0.1</v>
      </c>
      <c r="L447" t="s">
        <v>37</v>
      </c>
      <c r="M447">
        <v>2105.2799999999997</v>
      </c>
      <c r="N447">
        <v>1403.5199999999998</v>
      </c>
      <c r="O447" s="10">
        <v>685.31999999999994</v>
      </c>
      <c r="P447" s="10">
        <v>0.32552439580483356</v>
      </c>
      <c r="Q447" s="8">
        <v>2105.2800000000002</v>
      </c>
      <c r="R447" t="s">
        <v>43</v>
      </c>
      <c r="S447" t="s">
        <v>48</v>
      </c>
      <c r="T447" t="s">
        <v>2931</v>
      </c>
      <c r="U447">
        <v>0</v>
      </c>
      <c r="V447" t="str">
        <f>IF(CleanedTable[[#This Row],[Returned]] = 0,"NO","Yes")</f>
        <v>NO</v>
      </c>
      <c r="W447" t="s">
        <v>496</v>
      </c>
      <c r="X447" t="s">
        <v>1985</v>
      </c>
      <c r="Y447" s="10">
        <v>16.440000000000001</v>
      </c>
      <c r="Z447" s="3">
        <v>45094</v>
      </c>
      <c r="AA447" s="3">
        <v>45102</v>
      </c>
      <c r="AB447" t="s">
        <v>2922</v>
      </c>
      <c r="AC447">
        <v>8</v>
      </c>
    </row>
    <row r="448" spans="1:29" x14ac:dyDescent="0.3">
      <c r="A448" s="3">
        <v>45319</v>
      </c>
      <c r="B448" s="3" t="str">
        <f>TEXT(CleanedTable[[#This Row],[OrderDate]],"mmm")</f>
        <v>Jan</v>
      </c>
      <c r="C448" s="3" t="str">
        <f>TEXT(CleanedTable[[#This Row],[OrderDate]],"yyyy")</f>
        <v>2024</v>
      </c>
      <c r="D448" s="3" t="str">
        <f>TEXT(CleanedTable[[#This Row],[OrderDate]],"mmm yyyy")</f>
        <v>Jan 2024</v>
      </c>
      <c r="E448" t="s">
        <v>23</v>
      </c>
      <c r="F448" t="s">
        <v>30</v>
      </c>
      <c r="G448" s="12">
        <v>20</v>
      </c>
      <c r="H448" s="8">
        <v>424.7</v>
      </c>
      <c r="I448" t="s">
        <v>31</v>
      </c>
      <c r="J448" t="s">
        <v>35</v>
      </c>
      <c r="K448" s="10">
        <v>0.15</v>
      </c>
      <c r="L448" t="s">
        <v>42</v>
      </c>
      <c r="M448">
        <v>7219.9</v>
      </c>
      <c r="N448">
        <v>5096.3999999999996</v>
      </c>
      <c r="O448" s="10">
        <v>2081.4699999999998</v>
      </c>
      <c r="P448" s="10">
        <v>0.28829623678998323</v>
      </c>
      <c r="Q448" s="8">
        <v>7219.9</v>
      </c>
      <c r="R448" t="s">
        <v>43</v>
      </c>
      <c r="S448" t="s">
        <v>48</v>
      </c>
      <c r="T448" t="s">
        <v>2931</v>
      </c>
      <c r="U448">
        <v>0</v>
      </c>
      <c r="V448" t="str">
        <f>IF(CleanedTable[[#This Row],[Returned]] = 0,"NO","Yes")</f>
        <v>NO</v>
      </c>
      <c r="W448" t="s">
        <v>497</v>
      </c>
      <c r="X448" t="s">
        <v>1986</v>
      </c>
      <c r="Y448" s="10">
        <v>42.03</v>
      </c>
      <c r="Z448" s="3">
        <v>45319</v>
      </c>
      <c r="AA448" s="3">
        <v>45327</v>
      </c>
      <c r="AB448" t="s">
        <v>2926</v>
      </c>
      <c r="AC448">
        <v>8</v>
      </c>
    </row>
    <row r="449" spans="1:29" x14ac:dyDescent="0.3">
      <c r="A449" s="3">
        <v>44999</v>
      </c>
      <c r="B449" s="3" t="str">
        <f>TEXT(CleanedTable[[#This Row],[OrderDate]],"mmm")</f>
        <v>Mar</v>
      </c>
      <c r="C449" s="3" t="str">
        <f>TEXT(CleanedTable[[#This Row],[OrderDate]],"yyyy")</f>
        <v>2023</v>
      </c>
      <c r="D449" s="3" t="str">
        <f>TEXT(CleanedTable[[#This Row],[OrderDate]],"mmm yyyy")</f>
        <v>Mar 2023</v>
      </c>
      <c r="E449" t="s">
        <v>22</v>
      </c>
      <c r="F449" t="s">
        <v>27</v>
      </c>
      <c r="G449" s="12">
        <v>16</v>
      </c>
      <c r="H449" s="8">
        <v>179.22</v>
      </c>
      <c r="I449" t="s">
        <v>34</v>
      </c>
      <c r="J449" t="s">
        <v>36</v>
      </c>
      <c r="K449" s="10">
        <v>0.1</v>
      </c>
      <c r="L449" t="s">
        <v>38</v>
      </c>
      <c r="M449">
        <v>2580.768</v>
      </c>
      <c r="N449">
        <v>1720.5119999999999</v>
      </c>
      <c r="O449" s="10">
        <v>814.26600000000008</v>
      </c>
      <c r="P449" s="10">
        <v>0.31551305657850687</v>
      </c>
      <c r="Q449" s="8">
        <v>2580.768</v>
      </c>
      <c r="R449" t="s">
        <v>43</v>
      </c>
      <c r="S449" t="s">
        <v>50</v>
      </c>
      <c r="T449" t="s">
        <v>2931</v>
      </c>
      <c r="U449">
        <v>0</v>
      </c>
      <c r="V449" t="str">
        <f>IF(CleanedTable[[#This Row],[Returned]] = 0,"NO","Yes")</f>
        <v>NO</v>
      </c>
      <c r="W449" t="s">
        <v>498</v>
      </c>
      <c r="X449" t="s">
        <v>1987</v>
      </c>
      <c r="Y449" s="10">
        <v>45.99</v>
      </c>
      <c r="Z449" s="3">
        <v>44999</v>
      </c>
      <c r="AA449" s="3">
        <v>45002</v>
      </c>
      <c r="AB449" t="s">
        <v>2925</v>
      </c>
      <c r="AC449">
        <v>3</v>
      </c>
    </row>
    <row r="450" spans="1:29" x14ac:dyDescent="0.3">
      <c r="A450" s="3">
        <v>45666</v>
      </c>
      <c r="B450" s="3" t="str">
        <f>TEXT(CleanedTable[[#This Row],[OrderDate]],"mmm")</f>
        <v>Jan</v>
      </c>
      <c r="C450" s="3" t="str">
        <f>TEXT(CleanedTable[[#This Row],[OrderDate]],"yyyy")</f>
        <v>2025</v>
      </c>
      <c r="D450" s="3" t="str">
        <f>TEXT(CleanedTable[[#This Row],[OrderDate]],"mmm yyyy")</f>
        <v>Jan 2025</v>
      </c>
      <c r="E450" t="s">
        <v>19</v>
      </c>
      <c r="F450" t="s">
        <v>24</v>
      </c>
      <c r="G450" s="12">
        <v>12</v>
      </c>
      <c r="H450" s="8">
        <v>148.66</v>
      </c>
      <c r="I450" t="s">
        <v>32</v>
      </c>
      <c r="J450" t="s">
        <v>35</v>
      </c>
      <c r="K450" s="10">
        <v>0</v>
      </c>
      <c r="L450" t="s">
        <v>41</v>
      </c>
      <c r="M450">
        <v>1783.92</v>
      </c>
      <c r="N450">
        <v>1070.3519999999999</v>
      </c>
      <c r="O450" s="10">
        <v>686.40800000000024</v>
      </c>
      <c r="P450" s="10">
        <v>0.38477510202251236</v>
      </c>
      <c r="Q450" s="8">
        <v>1783.92</v>
      </c>
      <c r="R450" t="s">
        <v>43</v>
      </c>
      <c r="T450" t="s">
        <v>2932</v>
      </c>
      <c r="U450">
        <v>1</v>
      </c>
      <c r="V450" t="str">
        <f>IF(CleanedTable[[#This Row],[Returned]] = 0,"NO","Yes")</f>
        <v>Yes</v>
      </c>
      <c r="W450" t="s">
        <v>499</v>
      </c>
      <c r="X450" t="s">
        <v>1988</v>
      </c>
      <c r="Y450" s="10">
        <v>27.16</v>
      </c>
      <c r="Z450" s="3">
        <v>45666</v>
      </c>
      <c r="AA450" s="3">
        <v>45674</v>
      </c>
      <c r="AB450" t="s">
        <v>2922</v>
      </c>
      <c r="AC450">
        <v>8</v>
      </c>
    </row>
    <row r="451" spans="1:29" x14ac:dyDescent="0.3">
      <c r="A451" s="3">
        <v>45746</v>
      </c>
      <c r="B451" s="3" t="str">
        <f>TEXT(CleanedTable[[#This Row],[OrderDate]],"mmm")</f>
        <v>Mar</v>
      </c>
      <c r="C451" s="3" t="str">
        <f>TEXT(CleanedTable[[#This Row],[OrderDate]],"yyyy")</f>
        <v>2025</v>
      </c>
      <c r="D451" s="3" t="str">
        <f>TEXT(CleanedTable[[#This Row],[OrderDate]],"mmm yyyy")</f>
        <v>Mar 2025</v>
      </c>
      <c r="E451" t="s">
        <v>22</v>
      </c>
      <c r="F451" t="s">
        <v>25</v>
      </c>
      <c r="G451" s="12">
        <v>16</v>
      </c>
      <c r="H451" s="8">
        <v>460.43</v>
      </c>
      <c r="I451" t="s">
        <v>31</v>
      </c>
      <c r="J451" t="s">
        <v>35</v>
      </c>
      <c r="K451" s="10">
        <v>0.15</v>
      </c>
      <c r="L451" t="s">
        <v>42</v>
      </c>
      <c r="M451">
        <v>6261.848</v>
      </c>
      <c r="N451">
        <v>4420.1279999999997</v>
      </c>
      <c r="O451" s="10">
        <v>1821.3400000000001</v>
      </c>
      <c r="P451" s="10">
        <v>0.2908630167963196</v>
      </c>
      <c r="Q451" s="8">
        <v>6261.848</v>
      </c>
      <c r="R451" t="s">
        <v>43</v>
      </c>
      <c r="S451" t="s">
        <v>50</v>
      </c>
      <c r="T451" t="s">
        <v>2931</v>
      </c>
      <c r="U451">
        <v>0</v>
      </c>
      <c r="V451" t="str">
        <f>IF(CleanedTable[[#This Row],[Returned]] = 0,"NO","Yes")</f>
        <v>NO</v>
      </c>
      <c r="W451" t="s">
        <v>500</v>
      </c>
      <c r="X451" t="s">
        <v>1989</v>
      </c>
      <c r="Y451" s="10">
        <v>20.38</v>
      </c>
      <c r="Z451" s="3">
        <v>45746</v>
      </c>
      <c r="AA451" s="3">
        <v>45753</v>
      </c>
      <c r="AB451" t="s">
        <v>2925</v>
      </c>
      <c r="AC451">
        <v>7</v>
      </c>
    </row>
    <row r="452" spans="1:29" x14ac:dyDescent="0.3">
      <c r="A452" s="3">
        <v>45222</v>
      </c>
      <c r="B452" s="3" t="str">
        <f>TEXT(CleanedTable[[#This Row],[OrderDate]],"mmm")</f>
        <v>Oct</v>
      </c>
      <c r="C452" s="3" t="str">
        <f>TEXT(CleanedTable[[#This Row],[OrderDate]],"yyyy")</f>
        <v>2023</v>
      </c>
      <c r="D452" s="3" t="str">
        <f>TEXT(CleanedTable[[#This Row],[OrderDate]],"mmm yyyy")</f>
        <v>Oct 2023</v>
      </c>
      <c r="E452" t="s">
        <v>19</v>
      </c>
      <c r="F452" t="s">
        <v>29</v>
      </c>
      <c r="G452" s="12">
        <v>5</v>
      </c>
      <c r="H452" s="8">
        <v>334.37</v>
      </c>
      <c r="I452" t="s">
        <v>31</v>
      </c>
      <c r="J452" t="s">
        <v>36</v>
      </c>
      <c r="K452" s="10">
        <v>0.05</v>
      </c>
      <c r="L452" t="s">
        <v>40</v>
      </c>
      <c r="M452">
        <v>1588.2574999999999</v>
      </c>
      <c r="N452">
        <v>1003.1099999999999</v>
      </c>
      <c r="O452" s="10">
        <v>553.01750000000004</v>
      </c>
      <c r="P452" s="10">
        <v>0.3481913354729948</v>
      </c>
      <c r="Q452" s="8">
        <v>1588.2574999999999</v>
      </c>
      <c r="R452" t="s">
        <v>45</v>
      </c>
      <c r="T452" t="s">
        <v>2932</v>
      </c>
      <c r="U452">
        <v>0</v>
      </c>
      <c r="V452" t="str">
        <f>IF(CleanedTable[[#This Row],[Returned]] = 0,"NO","Yes")</f>
        <v>NO</v>
      </c>
      <c r="W452" t="s">
        <v>501</v>
      </c>
      <c r="X452" t="s">
        <v>1776</v>
      </c>
      <c r="Y452" s="10">
        <v>32.130000000000003</v>
      </c>
      <c r="Z452" s="3">
        <v>45222</v>
      </c>
      <c r="AA452" s="3">
        <v>45227</v>
      </c>
      <c r="AB452" t="s">
        <v>2922</v>
      </c>
      <c r="AC452">
        <v>5</v>
      </c>
    </row>
    <row r="453" spans="1:29" x14ac:dyDescent="0.3">
      <c r="A453" s="3">
        <v>45816</v>
      </c>
      <c r="B453" s="3" t="str">
        <f>TEXT(CleanedTable[[#This Row],[OrderDate]],"mmm")</f>
        <v>Jun</v>
      </c>
      <c r="C453" s="3" t="str">
        <f>TEXT(CleanedTable[[#This Row],[OrderDate]],"yyyy")</f>
        <v>2025</v>
      </c>
      <c r="D453" s="3" t="str">
        <f>TEXT(CleanedTable[[#This Row],[OrderDate]],"mmm yyyy")</f>
        <v>Jun 2025</v>
      </c>
      <c r="E453" t="s">
        <v>23</v>
      </c>
      <c r="F453" t="s">
        <v>28</v>
      </c>
      <c r="G453" s="12">
        <v>3</v>
      </c>
      <c r="H453" s="8">
        <v>599.72</v>
      </c>
      <c r="I453" t="s">
        <v>34</v>
      </c>
      <c r="J453" t="s">
        <v>36</v>
      </c>
      <c r="K453" s="10">
        <v>0.15</v>
      </c>
      <c r="L453" t="s">
        <v>38</v>
      </c>
      <c r="M453">
        <v>1529.2860000000001</v>
      </c>
      <c r="N453">
        <v>1079.4960000000001</v>
      </c>
      <c r="O453" s="10">
        <v>434.85999999999996</v>
      </c>
      <c r="P453" s="10">
        <v>0.28435492118544203</v>
      </c>
      <c r="Q453" s="8">
        <v>1529.2860000000001</v>
      </c>
      <c r="R453" t="s">
        <v>43</v>
      </c>
      <c r="S453" t="s">
        <v>50</v>
      </c>
      <c r="T453" t="s">
        <v>2931</v>
      </c>
      <c r="U453">
        <v>1</v>
      </c>
      <c r="V453" t="str">
        <f>IF(CleanedTable[[#This Row],[Returned]] = 0,"NO","Yes")</f>
        <v>Yes</v>
      </c>
      <c r="W453" t="s">
        <v>502</v>
      </c>
      <c r="X453" t="s">
        <v>1990</v>
      </c>
      <c r="Y453" s="10">
        <v>14.93</v>
      </c>
      <c r="Z453" s="3">
        <v>45816</v>
      </c>
      <c r="AA453" s="3">
        <v>45822</v>
      </c>
      <c r="AB453" t="s">
        <v>2926</v>
      </c>
      <c r="AC453">
        <v>6</v>
      </c>
    </row>
    <row r="454" spans="1:29" x14ac:dyDescent="0.3">
      <c r="A454" s="3">
        <v>45348</v>
      </c>
      <c r="B454" s="3" t="str">
        <f>TEXT(CleanedTable[[#This Row],[OrderDate]],"mmm")</f>
        <v>Feb</v>
      </c>
      <c r="C454" s="3" t="str">
        <f>TEXT(CleanedTable[[#This Row],[OrderDate]],"yyyy")</f>
        <v>2024</v>
      </c>
      <c r="D454" s="3" t="str">
        <f>TEXT(CleanedTable[[#This Row],[OrderDate]],"mmm yyyy")</f>
        <v>Feb 2024</v>
      </c>
      <c r="E454" t="s">
        <v>23</v>
      </c>
      <c r="F454" t="s">
        <v>28</v>
      </c>
      <c r="G454" s="12">
        <v>11</v>
      </c>
      <c r="H454" s="8">
        <v>389.84</v>
      </c>
      <c r="I454" t="s">
        <v>34</v>
      </c>
      <c r="J454" t="s">
        <v>35</v>
      </c>
      <c r="K454" s="10">
        <v>0</v>
      </c>
      <c r="L454" t="s">
        <v>38</v>
      </c>
      <c r="M454">
        <v>4288.24</v>
      </c>
      <c r="N454">
        <v>2572.9439999999995</v>
      </c>
      <c r="O454" s="10">
        <v>1705.0560000000003</v>
      </c>
      <c r="P454" s="10">
        <v>0.39761207395108489</v>
      </c>
      <c r="Q454" s="8">
        <v>4288.24</v>
      </c>
      <c r="R454" t="s">
        <v>44</v>
      </c>
      <c r="S454" t="s">
        <v>49</v>
      </c>
      <c r="T454" t="s">
        <v>2931</v>
      </c>
      <c r="U454">
        <v>1</v>
      </c>
      <c r="V454" t="str">
        <f>IF(CleanedTable[[#This Row],[Returned]] = 0,"NO","Yes")</f>
        <v>Yes</v>
      </c>
      <c r="W454" t="s">
        <v>503</v>
      </c>
      <c r="X454" t="s">
        <v>1991</v>
      </c>
      <c r="Y454" s="10">
        <v>10.24</v>
      </c>
      <c r="Z454" s="3">
        <v>45348</v>
      </c>
      <c r="AA454" s="3">
        <v>45351</v>
      </c>
      <c r="AB454" t="s">
        <v>2926</v>
      </c>
      <c r="AC454">
        <v>3</v>
      </c>
    </row>
    <row r="455" spans="1:29" x14ac:dyDescent="0.3">
      <c r="A455" s="3">
        <v>45595</v>
      </c>
      <c r="B455" s="3" t="str">
        <f>TEXT(CleanedTable[[#This Row],[OrderDate]],"mmm")</f>
        <v>Oct</v>
      </c>
      <c r="C455" s="3" t="str">
        <f>TEXT(CleanedTable[[#This Row],[OrderDate]],"yyyy")</f>
        <v>2024</v>
      </c>
      <c r="D455" s="3" t="str">
        <f>TEXT(CleanedTable[[#This Row],[OrderDate]],"mmm yyyy")</f>
        <v>Oct 2024</v>
      </c>
      <c r="E455" t="s">
        <v>19</v>
      </c>
      <c r="F455" t="s">
        <v>27</v>
      </c>
      <c r="G455" s="12">
        <v>11</v>
      </c>
      <c r="H455" s="8">
        <v>445.75</v>
      </c>
      <c r="I455" t="s">
        <v>32</v>
      </c>
      <c r="J455" t="s">
        <v>35</v>
      </c>
      <c r="K455" s="10">
        <v>0.1</v>
      </c>
      <c r="L455" t="s">
        <v>39</v>
      </c>
      <c r="M455">
        <v>4412.9250000000002</v>
      </c>
      <c r="N455">
        <v>2941.95</v>
      </c>
      <c r="O455" s="10">
        <v>1452.9050000000004</v>
      </c>
      <c r="P455" s="10">
        <v>0.32923854359636756</v>
      </c>
      <c r="Q455" s="8">
        <v>4412.9250000000002</v>
      </c>
      <c r="R455" t="s">
        <v>43</v>
      </c>
      <c r="S455" t="s">
        <v>49</v>
      </c>
      <c r="T455" t="s">
        <v>2931</v>
      </c>
      <c r="U455">
        <v>0</v>
      </c>
      <c r="V455" t="str">
        <f>IF(CleanedTable[[#This Row],[Returned]] = 0,"NO","Yes")</f>
        <v>NO</v>
      </c>
      <c r="W455" t="s">
        <v>504</v>
      </c>
      <c r="X455" t="s">
        <v>1992</v>
      </c>
      <c r="Y455" s="10">
        <v>18.07</v>
      </c>
      <c r="Z455" s="3">
        <v>45595</v>
      </c>
      <c r="AA455" s="3">
        <v>45603</v>
      </c>
      <c r="AB455" t="s">
        <v>2922</v>
      </c>
      <c r="AC455">
        <v>8</v>
      </c>
    </row>
    <row r="456" spans="1:29" x14ac:dyDescent="0.3">
      <c r="A456" s="3">
        <v>45523</v>
      </c>
      <c r="B456" s="3" t="str">
        <f>TEXT(CleanedTable[[#This Row],[OrderDate]],"mmm")</f>
        <v>Aug</v>
      </c>
      <c r="C456" s="3" t="str">
        <f>TEXT(CleanedTable[[#This Row],[OrderDate]],"yyyy")</f>
        <v>2024</v>
      </c>
      <c r="D456" s="3" t="str">
        <f>TEXT(CleanedTable[[#This Row],[OrderDate]],"mmm yyyy")</f>
        <v>Aug 2024</v>
      </c>
      <c r="E456" t="s">
        <v>20</v>
      </c>
      <c r="F456" t="s">
        <v>24</v>
      </c>
      <c r="G456" s="12">
        <v>18</v>
      </c>
      <c r="H456" s="8">
        <v>96.84</v>
      </c>
      <c r="I456" t="s">
        <v>32</v>
      </c>
      <c r="J456" t="s">
        <v>35</v>
      </c>
      <c r="K456" s="10">
        <v>0.15</v>
      </c>
      <c r="L456" t="s">
        <v>39</v>
      </c>
      <c r="M456">
        <v>1481.652</v>
      </c>
      <c r="N456">
        <v>1045.8720000000001</v>
      </c>
      <c r="O456" s="10">
        <v>427.67999999999995</v>
      </c>
      <c r="P456" s="10">
        <v>0.28865077629564834</v>
      </c>
      <c r="Q456" s="8">
        <v>1481.652</v>
      </c>
      <c r="R456" t="s">
        <v>47</v>
      </c>
      <c r="S456" t="s">
        <v>49</v>
      </c>
      <c r="T456" t="s">
        <v>2931</v>
      </c>
      <c r="U456">
        <v>1</v>
      </c>
      <c r="V456" t="str">
        <f>IF(CleanedTable[[#This Row],[Returned]] = 0,"NO","Yes")</f>
        <v>Yes</v>
      </c>
      <c r="W456" t="s">
        <v>505</v>
      </c>
      <c r="X456" t="s">
        <v>1993</v>
      </c>
      <c r="Y456" s="10">
        <v>8.1</v>
      </c>
      <c r="Z456" s="3">
        <v>45523</v>
      </c>
      <c r="AA456" s="3">
        <v>45527</v>
      </c>
      <c r="AB456" t="s">
        <v>2923</v>
      </c>
      <c r="AC456">
        <v>4</v>
      </c>
    </row>
    <row r="457" spans="1:29" x14ac:dyDescent="0.3">
      <c r="A457" s="3">
        <v>45137</v>
      </c>
      <c r="B457" s="3" t="str">
        <f>TEXT(CleanedTable[[#This Row],[OrderDate]],"mmm")</f>
        <v>Jul</v>
      </c>
      <c r="C457" s="3" t="str">
        <f>TEXT(CleanedTable[[#This Row],[OrderDate]],"yyyy")</f>
        <v>2023</v>
      </c>
      <c r="D457" s="3" t="str">
        <f>TEXT(CleanedTable[[#This Row],[OrderDate]],"mmm yyyy")</f>
        <v>Jul 2023</v>
      </c>
      <c r="E457" t="s">
        <v>22</v>
      </c>
      <c r="F457" t="s">
        <v>27</v>
      </c>
      <c r="G457" s="12">
        <v>1</v>
      </c>
      <c r="H457" s="8">
        <v>528.30999999999995</v>
      </c>
      <c r="I457" t="s">
        <v>33</v>
      </c>
      <c r="J457" t="s">
        <v>35</v>
      </c>
      <c r="K457" s="10">
        <v>0.1</v>
      </c>
      <c r="L457" t="s">
        <v>38</v>
      </c>
      <c r="M457">
        <v>475.47899999999998</v>
      </c>
      <c r="N457">
        <v>316.98599999999993</v>
      </c>
      <c r="O457" s="10">
        <v>133.94300000000004</v>
      </c>
      <c r="P457" s="10">
        <v>0.281701189747602</v>
      </c>
      <c r="Q457" s="8">
        <v>475.47899999999998</v>
      </c>
      <c r="R457" t="s">
        <v>43</v>
      </c>
      <c r="S457" t="s">
        <v>48</v>
      </c>
      <c r="T457" t="s">
        <v>2931</v>
      </c>
      <c r="U457">
        <v>0</v>
      </c>
      <c r="V457" t="str">
        <f>IF(CleanedTable[[#This Row],[Returned]] = 0,"NO","Yes")</f>
        <v>NO</v>
      </c>
      <c r="W457" t="s">
        <v>506</v>
      </c>
      <c r="X457" t="s">
        <v>1572</v>
      </c>
      <c r="Y457" s="10">
        <v>24.55</v>
      </c>
      <c r="Z457" s="3">
        <v>45137</v>
      </c>
      <c r="AA457" s="3">
        <v>45147</v>
      </c>
      <c r="AB457" t="s">
        <v>2925</v>
      </c>
      <c r="AC457">
        <v>10</v>
      </c>
    </row>
    <row r="458" spans="1:29" x14ac:dyDescent="0.3">
      <c r="A458" s="3">
        <v>45517</v>
      </c>
      <c r="B458" s="3" t="str">
        <f>TEXT(CleanedTable[[#This Row],[OrderDate]],"mmm")</f>
        <v>Aug</v>
      </c>
      <c r="C458" s="3" t="str">
        <f>TEXT(CleanedTable[[#This Row],[OrderDate]],"yyyy")</f>
        <v>2024</v>
      </c>
      <c r="D458" s="3" t="str">
        <f>TEXT(CleanedTable[[#This Row],[OrderDate]],"mmm yyyy")</f>
        <v>Aug 2024</v>
      </c>
      <c r="E458" t="s">
        <v>21</v>
      </c>
      <c r="F458" t="s">
        <v>28</v>
      </c>
      <c r="G458" s="12">
        <v>16</v>
      </c>
      <c r="H458" s="8">
        <v>64.03</v>
      </c>
      <c r="I458" t="s">
        <v>32</v>
      </c>
      <c r="J458" t="s">
        <v>35</v>
      </c>
      <c r="K458" s="10">
        <v>0</v>
      </c>
      <c r="L458" t="s">
        <v>40</v>
      </c>
      <c r="M458">
        <v>1024.48</v>
      </c>
      <c r="N458">
        <v>614.68799999999999</v>
      </c>
      <c r="O458" s="10">
        <v>393.08200000000005</v>
      </c>
      <c r="P458" s="10">
        <v>0.38368928627206</v>
      </c>
      <c r="Q458" s="8">
        <v>1024.48</v>
      </c>
      <c r="R458" t="s">
        <v>44</v>
      </c>
      <c r="S458" t="s">
        <v>50</v>
      </c>
      <c r="T458" t="s">
        <v>2931</v>
      </c>
      <c r="U458">
        <v>1</v>
      </c>
      <c r="V458" t="str">
        <f>IF(CleanedTable[[#This Row],[Returned]] = 0,"NO","Yes")</f>
        <v>Yes</v>
      </c>
      <c r="W458" t="s">
        <v>507</v>
      </c>
      <c r="X458" t="s">
        <v>1994</v>
      </c>
      <c r="Y458" s="10">
        <v>16.71</v>
      </c>
      <c r="Z458" s="3">
        <v>45517</v>
      </c>
      <c r="AA458" s="3">
        <v>45527</v>
      </c>
      <c r="AB458" t="s">
        <v>2924</v>
      </c>
      <c r="AC458">
        <v>10</v>
      </c>
    </row>
    <row r="459" spans="1:29" x14ac:dyDescent="0.3">
      <c r="A459" s="3">
        <v>45234</v>
      </c>
      <c r="B459" s="3" t="str">
        <f>TEXT(CleanedTable[[#This Row],[OrderDate]],"mmm")</f>
        <v>Nov</v>
      </c>
      <c r="C459" s="3" t="str">
        <f>TEXT(CleanedTable[[#This Row],[OrderDate]],"yyyy")</f>
        <v>2023</v>
      </c>
      <c r="D459" s="3" t="str">
        <f>TEXT(CleanedTable[[#This Row],[OrderDate]],"mmm yyyy")</f>
        <v>Nov 2023</v>
      </c>
      <c r="E459" t="s">
        <v>21</v>
      </c>
      <c r="F459" t="s">
        <v>30</v>
      </c>
      <c r="G459" s="12">
        <v>13</v>
      </c>
      <c r="H459" s="8">
        <v>179.37</v>
      </c>
      <c r="I459" t="s">
        <v>32</v>
      </c>
      <c r="J459" t="s">
        <v>36</v>
      </c>
      <c r="K459" s="10">
        <v>0.05</v>
      </c>
      <c r="L459" t="s">
        <v>37</v>
      </c>
      <c r="M459">
        <v>2215.2194999999997</v>
      </c>
      <c r="N459">
        <v>1399.086</v>
      </c>
      <c r="O459" s="10">
        <v>780.85349999999971</v>
      </c>
      <c r="P459" s="10">
        <v>0.35249486563295412</v>
      </c>
      <c r="Q459" s="8">
        <v>2215.2195000000002</v>
      </c>
      <c r="R459" t="s">
        <v>43</v>
      </c>
      <c r="S459" t="s">
        <v>48</v>
      </c>
      <c r="T459" t="s">
        <v>2931</v>
      </c>
      <c r="U459">
        <v>0</v>
      </c>
      <c r="V459" t="str">
        <f>IF(CleanedTable[[#This Row],[Returned]] = 0,"NO","Yes")</f>
        <v>NO</v>
      </c>
      <c r="W459" t="s">
        <v>508</v>
      </c>
      <c r="X459" t="s">
        <v>1995</v>
      </c>
      <c r="Y459" s="10">
        <v>35.28</v>
      </c>
      <c r="Z459" s="3">
        <v>45234</v>
      </c>
      <c r="AA459" s="3">
        <v>45242</v>
      </c>
      <c r="AB459" t="s">
        <v>2924</v>
      </c>
      <c r="AC459">
        <v>8</v>
      </c>
    </row>
    <row r="460" spans="1:29" x14ac:dyDescent="0.3">
      <c r="A460" s="3">
        <v>45813</v>
      </c>
      <c r="B460" s="3" t="str">
        <f>TEXT(CleanedTable[[#This Row],[OrderDate]],"mmm")</f>
        <v>Jun</v>
      </c>
      <c r="C460" s="3" t="str">
        <f>TEXT(CleanedTable[[#This Row],[OrderDate]],"yyyy")</f>
        <v>2025</v>
      </c>
      <c r="D460" s="3" t="str">
        <f>TEXT(CleanedTable[[#This Row],[OrderDate]],"mmm yyyy")</f>
        <v>Jun 2025</v>
      </c>
      <c r="E460" t="s">
        <v>19</v>
      </c>
      <c r="F460" t="s">
        <v>30</v>
      </c>
      <c r="G460" s="12">
        <v>19</v>
      </c>
      <c r="H460" s="8">
        <v>491.15</v>
      </c>
      <c r="I460" t="s">
        <v>33</v>
      </c>
      <c r="J460" t="s">
        <v>36</v>
      </c>
      <c r="K460" s="10">
        <v>0</v>
      </c>
      <c r="L460" t="s">
        <v>39</v>
      </c>
      <c r="M460">
        <v>9331.85</v>
      </c>
      <c r="N460">
        <v>5599.11</v>
      </c>
      <c r="O460" s="10">
        <v>3684.0600000000009</v>
      </c>
      <c r="P460" s="10">
        <v>0.39478345665650444</v>
      </c>
      <c r="Q460" s="8">
        <v>9331.85</v>
      </c>
      <c r="R460" t="s">
        <v>43</v>
      </c>
      <c r="T460" t="s">
        <v>2932</v>
      </c>
      <c r="U460">
        <v>0</v>
      </c>
      <c r="V460" t="str">
        <f>IF(CleanedTable[[#This Row],[Returned]] = 0,"NO","Yes")</f>
        <v>NO</v>
      </c>
      <c r="W460" t="s">
        <v>509</v>
      </c>
      <c r="X460" t="s">
        <v>1996</v>
      </c>
      <c r="Y460" s="10">
        <v>48.68</v>
      </c>
      <c r="Z460" s="3">
        <v>45813</v>
      </c>
      <c r="AA460" s="3">
        <v>45823</v>
      </c>
      <c r="AB460" t="s">
        <v>2922</v>
      </c>
      <c r="AC460">
        <v>10</v>
      </c>
    </row>
    <row r="461" spans="1:29" x14ac:dyDescent="0.3">
      <c r="A461" s="3">
        <v>45100</v>
      </c>
      <c r="B461" s="3" t="str">
        <f>TEXT(CleanedTable[[#This Row],[OrderDate]],"mmm")</f>
        <v>Jun</v>
      </c>
      <c r="C461" s="3" t="str">
        <f>TEXT(CleanedTable[[#This Row],[OrderDate]],"yyyy")</f>
        <v>2023</v>
      </c>
      <c r="D461" s="3" t="str">
        <f>TEXT(CleanedTable[[#This Row],[OrderDate]],"mmm yyyy")</f>
        <v>Jun 2023</v>
      </c>
      <c r="E461" t="s">
        <v>21</v>
      </c>
      <c r="F461" t="s">
        <v>30</v>
      </c>
      <c r="G461" s="12">
        <v>5</v>
      </c>
      <c r="H461" s="8">
        <v>360.34</v>
      </c>
      <c r="I461" t="s">
        <v>33</v>
      </c>
      <c r="J461" t="s">
        <v>35</v>
      </c>
      <c r="K461" s="10">
        <v>0</v>
      </c>
      <c r="L461" t="s">
        <v>40</v>
      </c>
      <c r="M461">
        <v>1801.6999999999998</v>
      </c>
      <c r="N461">
        <v>1081.02</v>
      </c>
      <c r="O461" s="10">
        <v>686.91999999999985</v>
      </c>
      <c r="P461" s="10">
        <v>0.38126214131098402</v>
      </c>
      <c r="Q461" s="8">
        <v>1801.7</v>
      </c>
      <c r="R461" t="s">
        <v>44</v>
      </c>
      <c r="T461" t="s">
        <v>2932</v>
      </c>
      <c r="U461">
        <v>0</v>
      </c>
      <c r="V461" t="str">
        <f>IF(CleanedTable[[#This Row],[Returned]] = 0,"NO","Yes")</f>
        <v>NO</v>
      </c>
      <c r="W461" t="s">
        <v>510</v>
      </c>
      <c r="X461" t="s">
        <v>1997</v>
      </c>
      <c r="Y461" s="10">
        <v>33.76</v>
      </c>
      <c r="Z461" s="3">
        <v>45100</v>
      </c>
      <c r="AA461" s="3">
        <v>45105</v>
      </c>
      <c r="AB461" t="s">
        <v>2924</v>
      </c>
      <c r="AC461">
        <v>5</v>
      </c>
    </row>
    <row r="462" spans="1:29" x14ac:dyDescent="0.3">
      <c r="A462" s="3">
        <v>45556</v>
      </c>
      <c r="B462" s="3" t="str">
        <f>TEXT(CleanedTable[[#This Row],[OrderDate]],"mmm")</f>
        <v>Sep</v>
      </c>
      <c r="C462" s="3" t="str">
        <f>TEXT(CleanedTable[[#This Row],[OrderDate]],"yyyy")</f>
        <v>2024</v>
      </c>
      <c r="D462" s="3" t="str">
        <f>TEXT(CleanedTable[[#This Row],[OrderDate]],"mmm yyyy")</f>
        <v>Sep 2024</v>
      </c>
      <c r="E462" t="s">
        <v>20</v>
      </c>
      <c r="F462" t="s">
        <v>24</v>
      </c>
      <c r="G462" s="12">
        <v>20</v>
      </c>
      <c r="H462" s="8">
        <v>296.8</v>
      </c>
      <c r="I462" t="s">
        <v>32</v>
      </c>
      <c r="J462" t="s">
        <v>36</v>
      </c>
      <c r="K462" s="10">
        <v>0.1</v>
      </c>
      <c r="L462" t="s">
        <v>39</v>
      </c>
      <c r="M462">
        <v>5342.4000000000005</v>
      </c>
      <c r="N462">
        <v>3561.6000000000004</v>
      </c>
      <c r="O462" s="10">
        <v>1761.2300000000002</v>
      </c>
      <c r="P462" s="10">
        <v>0.32967018568433665</v>
      </c>
      <c r="Q462" s="8">
        <v>5342.4000000000005</v>
      </c>
      <c r="R462" t="s">
        <v>44</v>
      </c>
      <c r="T462" t="s">
        <v>2932</v>
      </c>
      <c r="U462">
        <v>0</v>
      </c>
      <c r="V462" t="str">
        <f>IF(CleanedTable[[#This Row],[Returned]] = 0,"NO","Yes")</f>
        <v>NO</v>
      </c>
      <c r="W462" t="s">
        <v>511</v>
      </c>
      <c r="X462" t="s">
        <v>1998</v>
      </c>
      <c r="Y462" s="10">
        <v>19.57</v>
      </c>
      <c r="Z462" s="3">
        <v>45556</v>
      </c>
      <c r="AA462" s="3">
        <v>45563</v>
      </c>
      <c r="AB462" t="s">
        <v>2923</v>
      </c>
      <c r="AC462">
        <v>7</v>
      </c>
    </row>
    <row r="463" spans="1:29" x14ac:dyDescent="0.3">
      <c r="A463" s="3">
        <v>45292</v>
      </c>
      <c r="B463" s="3" t="str">
        <f>TEXT(CleanedTable[[#This Row],[OrderDate]],"mmm")</f>
        <v>Jan</v>
      </c>
      <c r="C463" s="3" t="str">
        <f>TEXT(CleanedTable[[#This Row],[OrderDate]],"yyyy")</f>
        <v>2024</v>
      </c>
      <c r="D463" s="3" t="str">
        <f>TEXT(CleanedTable[[#This Row],[OrderDate]],"mmm yyyy")</f>
        <v>Jan 2024</v>
      </c>
      <c r="E463" t="s">
        <v>20</v>
      </c>
      <c r="F463" t="s">
        <v>26</v>
      </c>
      <c r="G463" s="12">
        <v>3</v>
      </c>
      <c r="H463" s="8">
        <v>599.41999999999996</v>
      </c>
      <c r="I463" t="s">
        <v>32</v>
      </c>
      <c r="J463" t="s">
        <v>35</v>
      </c>
      <c r="K463" s="10">
        <v>0.1</v>
      </c>
      <c r="L463" t="s">
        <v>42</v>
      </c>
      <c r="M463">
        <v>1618.4339999999997</v>
      </c>
      <c r="N463">
        <v>1078.9559999999999</v>
      </c>
      <c r="O463" s="10">
        <v>491.45799999999986</v>
      </c>
      <c r="P463" s="10">
        <v>0.30366267638964578</v>
      </c>
      <c r="Q463" s="8">
        <v>1618.434</v>
      </c>
      <c r="R463" t="s">
        <v>43</v>
      </c>
      <c r="S463" t="s">
        <v>49</v>
      </c>
      <c r="T463" t="s">
        <v>2931</v>
      </c>
      <c r="U463">
        <v>0</v>
      </c>
      <c r="V463" t="str">
        <f>IF(CleanedTable[[#This Row],[Returned]] = 0,"NO","Yes")</f>
        <v>NO</v>
      </c>
      <c r="W463" t="s">
        <v>512</v>
      </c>
      <c r="X463" t="s">
        <v>1999</v>
      </c>
      <c r="Y463" s="10">
        <v>48.02</v>
      </c>
      <c r="Z463" s="3">
        <v>45292</v>
      </c>
      <c r="AA463" s="3">
        <v>45294</v>
      </c>
      <c r="AB463" t="s">
        <v>2923</v>
      </c>
      <c r="AC463">
        <v>2</v>
      </c>
    </row>
    <row r="464" spans="1:29" x14ac:dyDescent="0.3">
      <c r="A464" s="3">
        <v>45659</v>
      </c>
      <c r="B464" s="3" t="str">
        <f>TEXT(CleanedTable[[#This Row],[OrderDate]],"mmm")</f>
        <v>Jan</v>
      </c>
      <c r="C464" s="3" t="str">
        <f>TEXT(CleanedTable[[#This Row],[OrderDate]],"yyyy")</f>
        <v>2025</v>
      </c>
      <c r="D464" s="3" t="str">
        <f>TEXT(CleanedTable[[#This Row],[OrderDate]],"mmm yyyy")</f>
        <v>Jan 2025</v>
      </c>
      <c r="E464" t="s">
        <v>23</v>
      </c>
      <c r="F464" t="s">
        <v>24</v>
      </c>
      <c r="G464" s="12">
        <v>1</v>
      </c>
      <c r="H464" s="8">
        <v>374.33</v>
      </c>
      <c r="I464" t="s">
        <v>31</v>
      </c>
      <c r="J464" t="s">
        <v>35</v>
      </c>
      <c r="K464" s="10">
        <v>0</v>
      </c>
      <c r="L464" t="s">
        <v>40</v>
      </c>
      <c r="M464">
        <v>374.33</v>
      </c>
      <c r="N464">
        <v>224.59799999999998</v>
      </c>
      <c r="O464" s="10">
        <v>116.422</v>
      </c>
      <c r="P464" s="10">
        <v>0.3110143456308605</v>
      </c>
      <c r="Q464" s="8">
        <v>374.33</v>
      </c>
      <c r="R464" t="s">
        <v>45</v>
      </c>
      <c r="S464" t="s">
        <v>48</v>
      </c>
      <c r="T464" t="s">
        <v>2931</v>
      </c>
      <c r="U464">
        <v>0</v>
      </c>
      <c r="V464" t="str">
        <f>IF(CleanedTable[[#This Row],[Returned]] = 0,"NO","Yes")</f>
        <v>NO</v>
      </c>
      <c r="W464" t="s">
        <v>513</v>
      </c>
      <c r="X464" t="s">
        <v>2000</v>
      </c>
      <c r="Y464" s="10">
        <v>33.31</v>
      </c>
      <c r="Z464" s="3">
        <v>45659</v>
      </c>
      <c r="AA464" s="3">
        <v>45669</v>
      </c>
      <c r="AB464" t="s">
        <v>2926</v>
      </c>
      <c r="AC464">
        <v>10</v>
      </c>
    </row>
    <row r="465" spans="1:29" x14ac:dyDescent="0.3">
      <c r="A465" s="3">
        <v>45365</v>
      </c>
      <c r="B465" s="3" t="str">
        <f>TEXT(CleanedTable[[#This Row],[OrderDate]],"mmm")</f>
        <v>Mar</v>
      </c>
      <c r="C465" s="3" t="str">
        <f>TEXT(CleanedTable[[#This Row],[OrderDate]],"yyyy")</f>
        <v>2024</v>
      </c>
      <c r="D465" s="3" t="str">
        <f>TEXT(CleanedTable[[#This Row],[OrderDate]],"mmm yyyy")</f>
        <v>Mar 2024</v>
      </c>
      <c r="E465" t="s">
        <v>21</v>
      </c>
      <c r="F465" t="s">
        <v>26</v>
      </c>
      <c r="G465" s="12">
        <v>13</v>
      </c>
      <c r="H465" s="8">
        <v>588.79999999999995</v>
      </c>
      <c r="I465" t="s">
        <v>34</v>
      </c>
      <c r="J465" t="s">
        <v>35</v>
      </c>
      <c r="K465" s="10">
        <v>0.15</v>
      </c>
      <c r="L465" t="s">
        <v>39</v>
      </c>
      <c r="M465">
        <v>6506.24</v>
      </c>
      <c r="N465">
        <v>4592.6399999999994</v>
      </c>
      <c r="O465" s="10">
        <v>1868.5700000000004</v>
      </c>
      <c r="P465" s="10">
        <v>0.28719659895730876</v>
      </c>
      <c r="Q465" s="8">
        <v>6506.24</v>
      </c>
      <c r="R465" t="s">
        <v>47</v>
      </c>
      <c r="S465" t="s">
        <v>49</v>
      </c>
      <c r="T465" t="s">
        <v>2931</v>
      </c>
      <c r="U465">
        <v>0</v>
      </c>
      <c r="V465" t="str">
        <f>IF(CleanedTable[[#This Row],[Returned]] = 0,"NO","Yes")</f>
        <v>NO</v>
      </c>
      <c r="W465" t="s">
        <v>514</v>
      </c>
      <c r="X465" t="s">
        <v>2001</v>
      </c>
      <c r="Y465" s="10">
        <v>45.03</v>
      </c>
      <c r="Z465" s="3">
        <v>45365</v>
      </c>
      <c r="AA465" s="3">
        <v>45372</v>
      </c>
      <c r="AB465" t="s">
        <v>2924</v>
      </c>
      <c r="AC465">
        <v>7</v>
      </c>
    </row>
    <row r="466" spans="1:29" x14ac:dyDescent="0.3">
      <c r="A466" s="3">
        <v>45416</v>
      </c>
      <c r="B466" s="3" t="str">
        <f>TEXT(CleanedTable[[#This Row],[OrderDate]],"mmm")</f>
        <v>May</v>
      </c>
      <c r="C466" s="3" t="str">
        <f>TEXT(CleanedTable[[#This Row],[OrderDate]],"yyyy")</f>
        <v>2024</v>
      </c>
      <c r="D466" s="3" t="str">
        <f>TEXT(CleanedTable[[#This Row],[OrderDate]],"mmm yyyy")</f>
        <v>May 2024</v>
      </c>
      <c r="E466" t="s">
        <v>23</v>
      </c>
      <c r="F466" t="s">
        <v>28</v>
      </c>
      <c r="G466" s="12">
        <v>13</v>
      </c>
      <c r="H466" s="8">
        <v>198.44</v>
      </c>
      <c r="I466" t="s">
        <v>34</v>
      </c>
      <c r="J466" t="s">
        <v>35</v>
      </c>
      <c r="K466" s="10">
        <v>0</v>
      </c>
      <c r="L466" t="s">
        <v>40</v>
      </c>
      <c r="M466">
        <v>2579.7199999999998</v>
      </c>
      <c r="N466">
        <v>1547.8319999999999</v>
      </c>
      <c r="O466" s="10">
        <v>1000.3779999999999</v>
      </c>
      <c r="P466" s="10">
        <v>0.38778549610035196</v>
      </c>
      <c r="Q466" s="8">
        <v>2579.7199999999998</v>
      </c>
      <c r="R466" t="s">
        <v>47</v>
      </c>
      <c r="S466" t="s">
        <v>49</v>
      </c>
      <c r="T466" t="s">
        <v>2931</v>
      </c>
      <c r="U466">
        <v>1</v>
      </c>
      <c r="V466" t="str">
        <f>IF(CleanedTable[[#This Row],[Returned]] = 0,"NO","Yes")</f>
        <v>Yes</v>
      </c>
      <c r="W466" t="s">
        <v>515</v>
      </c>
      <c r="X466" t="s">
        <v>2002</v>
      </c>
      <c r="Y466" s="10">
        <v>31.51</v>
      </c>
      <c r="Z466" s="3">
        <v>45416</v>
      </c>
      <c r="AA466" s="3">
        <v>45421</v>
      </c>
      <c r="AB466" t="s">
        <v>2926</v>
      </c>
      <c r="AC466">
        <v>5</v>
      </c>
    </row>
    <row r="467" spans="1:29" x14ac:dyDescent="0.3">
      <c r="A467" s="3">
        <v>45715</v>
      </c>
      <c r="B467" s="3" t="str">
        <f>TEXT(CleanedTable[[#This Row],[OrderDate]],"mmm")</f>
        <v>Feb</v>
      </c>
      <c r="C467" s="3" t="str">
        <f>TEXT(CleanedTable[[#This Row],[OrderDate]],"yyyy")</f>
        <v>2025</v>
      </c>
      <c r="D467" s="3" t="str">
        <f>TEXT(CleanedTable[[#This Row],[OrderDate]],"mmm yyyy")</f>
        <v>Feb 2025</v>
      </c>
      <c r="E467" t="s">
        <v>20</v>
      </c>
      <c r="F467" t="s">
        <v>30</v>
      </c>
      <c r="G467" s="12">
        <v>12</v>
      </c>
      <c r="H467" s="8">
        <v>384.2</v>
      </c>
      <c r="I467" t="s">
        <v>32</v>
      </c>
      <c r="J467" t="s">
        <v>36</v>
      </c>
      <c r="K467" s="10">
        <v>0</v>
      </c>
      <c r="L467" t="s">
        <v>37</v>
      </c>
      <c r="M467">
        <v>4610.3999999999996</v>
      </c>
      <c r="N467">
        <v>2766.24</v>
      </c>
      <c r="O467" s="10">
        <v>1805.1699999999998</v>
      </c>
      <c r="P467" s="10">
        <v>0.39154303314246053</v>
      </c>
      <c r="Q467" s="8">
        <v>4610.3999999999996</v>
      </c>
      <c r="R467" t="s">
        <v>47</v>
      </c>
      <c r="S467" t="s">
        <v>48</v>
      </c>
      <c r="T467" t="s">
        <v>2931</v>
      </c>
      <c r="U467">
        <v>0</v>
      </c>
      <c r="V467" t="str">
        <f>IF(CleanedTable[[#This Row],[Returned]] = 0,"NO","Yes")</f>
        <v>NO</v>
      </c>
      <c r="W467" t="s">
        <v>516</v>
      </c>
      <c r="X467" t="s">
        <v>1853</v>
      </c>
      <c r="Y467" s="10">
        <v>38.99</v>
      </c>
      <c r="Z467" s="3">
        <v>45715</v>
      </c>
      <c r="AA467" s="3">
        <v>45718</v>
      </c>
      <c r="AB467" t="s">
        <v>2923</v>
      </c>
      <c r="AC467">
        <v>3</v>
      </c>
    </row>
    <row r="468" spans="1:29" x14ac:dyDescent="0.3">
      <c r="A468" s="3">
        <v>45609</v>
      </c>
      <c r="B468" s="3" t="str">
        <f>TEXT(CleanedTable[[#This Row],[OrderDate]],"mmm")</f>
        <v>Nov</v>
      </c>
      <c r="C468" s="3" t="str">
        <f>TEXT(CleanedTable[[#This Row],[OrderDate]],"yyyy")</f>
        <v>2024</v>
      </c>
      <c r="D468" s="3" t="str">
        <f>TEXT(CleanedTable[[#This Row],[OrderDate]],"mmm yyyy")</f>
        <v>Nov 2024</v>
      </c>
      <c r="E468" t="s">
        <v>22</v>
      </c>
      <c r="F468" t="s">
        <v>25</v>
      </c>
      <c r="G468" s="12">
        <v>4</v>
      </c>
      <c r="H468" s="8">
        <v>475.49</v>
      </c>
      <c r="I468" t="s">
        <v>31</v>
      </c>
      <c r="J468" t="s">
        <v>35</v>
      </c>
      <c r="K468" s="10">
        <v>0.15</v>
      </c>
      <c r="L468" t="s">
        <v>39</v>
      </c>
      <c r="M468">
        <v>1616.6659999999999</v>
      </c>
      <c r="N468">
        <v>1141.1759999999999</v>
      </c>
      <c r="O468" s="10">
        <v>463.89</v>
      </c>
      <c r="P468" s="10">
        <v>0.28694238636799441</v>
      </c>
      <c r="Q468" s="8">
        <v>1616.6659999999999</v>
      </c>
      <c r="R468" t="s">
        <v>47</v>
      </c>
      <c r="S468" t="s">
        <v>50</v>
      </c>
      <c r="T468" t="s">
        <v>2931</v>
      </c>
      <c r="U468">
        <v>0</v>
      </c>
      <c r="V468" t="str">
        <f>IF(CleanedTable[[#This Row],[Returned]] = 0,"NO","Yes")</f>
        <v>NO</v>
      </c>
      <c r="W468" t="s">
        <v>517</v>
      </c>
      <c r="X468" t="s">
        <v>2003</v>
      </c>
      <c r="Y468" s="10">
        <v>11.6</v>
      </c>
      <c r="Z468" s="3">
        <v>45609</v>
      </c>
      <c r="AA468" s="3">
        <v>45613</v>
      </c>
      <c r="AB468" t="s">
        <v>2925</v>
      </c>
      <c r="AC468">
        <v>4</v>
      </c>
    </row>
    <row r="469" spans="1:29" x14ac:dyDescent="0.3">
      <c r="A469" s="3">
        <v>45230</v>
      </c>
      <c r="B469" s="3" t="str">
        <f>TEXT(CleanedTable[[#This Row],[OrderDate]],"mmm")</f>
        <v>Oct</v>
      </c>
      <c r="C469" s="3" t="str">
        <f>TEXT(CleanedTable[[#This Row],[OrderDate]],"yyyy")</f>
        <v>2023</v>
      </c>
      <c r="D469" s="3" t="str">
        <f>TEXT(CleanedTable[[#This Row],[OrderDate]],"mmm yyyy")</f>
        <v>Oct 2023</v>
      </c>
      <c r="E469" t="s">
        <v>23</v>
      </c>
      <c r="F469" t="s">
        <v>30</v>
      </c>
      <c r="G469" s="12">
        <v>6</v>
      </c>
      <c r="H469" s="8">
        <v>202.97</v>
      </c>
      <c r="I469" t="s">
        <v>33</v>
      </c>
      <c r="J469" t="s">
        <v>36</v>
      </c>
      <c r="K469" s="10">
        <v>0.1</v>
      </c>
      <c r="L469" t="s">
        <v>37</v>
      </c>
      <c r="M469">
        <v>1096.038</v>
      </c>
      <c r="N469">
        <v>730.69200000000001</v>
      </c>
      <c r="O469" s="10">
        <v>321.79599999999999</v>
      </c>
      <c r="P469" s="10">
        <v>0.29359930951299135</v>
      </c>
      <c r="Q469" s="8">
        <v>1096.038</v>
      </c>
      <c r="R469" t="s">
        <v>44</v>
      </c>
      <c r="S469" t="s">
        <v>50</v>
      </c>
      <c r="T469" t="s">
        <v>2931</v>
      </c>
      <c r="U469">
        <v>0</v>
      </c>
      <c r="V469" t="str">
        <f>IF(CleanedTable[[#This Row],[Returned]] = 0,"NO","Yes")</f>
        <v>NO</v>
      </c>
      <c r="W469" t="s">
        <v>518</v>
      </c>
      <c r="X469" t="s">
        <v>2004</v>
      </c>
      <c r="Y469" s="10">
        <v>43.55</v>
      </c>
      <c r="Z469" s="3">
        <v>45230</v>
      </c>
      <c r="AA469" s="3">
        <v>45240</v>
      </c>
      <c r="AB469" t="s">
        <v>2926</v>
      </c>
      <c r="AC469">
        <v>10</v>
      </c>
    </row>
    <row r="470" spans="1:29" x14ac:dyDescent="0.3">
      <c r="A470" s="3">
        <v>45279</v>
      </c>
      <c r="B470" s="3" t="str">
        <f>TEXT(CleanedTable[[#This Row],[OrderDate]],"mmm")</f>
        <v>Dec</v>
      </c>
      <c r="C470" s="3" t="str">
        <f>TEXT(CleanedTable[[#This Row],[OrderDate]],"yyyy")</f>
        <v>2023</v>
      </c>
      <c r="D470" s="3" t="str">
        <f>TEXT(CleanedTable[[#This Row],[OrderDate]],"mmm yyyy")</f>
        <v>Dec 2023</v>
      </c>
      <c r="E470" t="s">
        <v>22</v>
      </c>
      <c r="F470" t="s">
        <v>29</v>
      </c>
      <c r="G470" s="12">
        <v>18</v>
      </c>
      <c r="H470" s="8">
        <v>135.22999999999999</v>
      </c>
      <c r="I470" t="s">
        <v>33</v>
      </c>
      <c r="J470" t="s">
        <v>35</v>
      </c>
      <c r="K470" s="10">
        <v>0</v>
      </c>
      <c r="L470" t="s">
        <v>41</v>
      </c>
      <c r="M470">
        <v>2434.14</v>
      </c>
      <c r="N470">
        <v>1460.4839999999999</v>
      </c>
      <c r="O470" s="10">
        <v>927.55599999999993</v>
      </c>
      <c r="P470" s="10">
        <v>0.38106107290459873</v>
      </c>
      <c r="Q470" s="8">
        <v>2434.14</v>
      </c>
      <c r="R470" t="s">
        <v>43</v>
      </c>
      <c r="S470" t="s">
        <v>50</v>
      </c>
      <c r="T470" t="s">
        <v>2931</v>
      </c>
      <c r="U470">
        <v>1</v>
      </c>
      <c r="V470" t="str">
        <f>IF(CleanedTable[[#This Row],[Returned]] = 0,"NO","Yes")</f>
        <v>Yes</v>
      </c>
      <c r="W470" t="s">
        <v>519</v>
      </c>
      <c r="X470" t="s">
        <v>2005</v>
      </c>
      <c r="Y470" s="10">
        <v>46.1</v>
      </c>
      <c r="Z470" s="3">
        <v>45279</v>
      </c>
      <c r="AA470" s="3">
        <v>45284</v>
      </c>
      <c r="AB470" t="s">
        <v>2925</v>
      </c>
      <c r="AC470">
        <v>5</v>
      </c>
    </row>
    <row r="471" spans="1:29" x14ac:dyDescent="0.3">
      <c r="A471" s="3">
        <v>45257</v>
      </c>
      <c r="B471" s="3" t="str">
        <f>TEXT(CleanedTable[[#This Row],[OrderDate]],"mmm")</f>
        <v>Nov</v>
      </c>
      <c r="C471" s="3" t="str">
        <f>TEXT(CleanedTable[[#This Row],[OrderDate]],"yyyy")</f>
        <v>2023</v>
      </c>
      <c r="D471" s="3" t="str">
        <f>TEXT(CleanedTable[[#This Row],[OrderDate]],"mmm yyyy")</f>
        <v>Nov 2023</v>
      </c>
      <c r="E471" t="s">
        <v>20</v>
      </c>
      <c r="F471" t="s">
        <v>29</v>
      </c>
      <c r="G471" s="12">
        <v>20</v>
      </c>
      <c r="H471" s="8">
        <v>356.4</v>
      </c>
      <c r="I471" t="s">
        <v>33</v>
      </c>
      <c r="J471" t="s">
        <v>35</v>
      </c>
      <c r="K471" s="10">
        <v>0.05</v>
      </c>
      <c r="L471" t="s">
        <v>41</v>
      </c>
      <c r="M471">
        <v>6771.5999999999995</v>
      </c>
      <c r="N471">
        <v>4276.7999999999993</v>
      </c>
      <c r="O471" s="10">
        <v>2468.1000000000004</v>
      </c>
      <c r="P471" s="10">
        <v>0.36447811447811457</v>
      </c>
      <c r="Q471" s="8">
        <v>6771.5999999999995</v>
      </c>
      <c r="R471" t="s">
        <v>47</v>
      </c>
      <c r="S471" t="s">
        <v>48</v>
      </c>
      <c r="T471" t="s">
        <v>2931</v>
      </c>
      <c r="U471">
        <v>1</v>
      </c>
      <c r="V471" t="str">
        <f>IF(CleanedTable[[#This Row],[Returned]] = 0,"NO","Yes")</f>
        <v>Yes</v>
      </c>
      <c r="W471" t="s">
        <v>520</v>
      </c>
      <c r="X471" t="s">
        <v>2006</v>
      </c>
      <c r="Y471" s="10">
        <v>26.7</v>
      </c>
      <c r="Z471" s="3">
        <v>45257</v>
      </c>
      <c r="AA471" s="3">
        <v>45263</v>
      </c>
      <c r="AB471" t="s">
        <v>2923</v>
      </c>
      <c r="AC471">
        <v>6</v>
      </c>
    </row>
    <row r="472" spans="1:29" x14ac:dyDescent="0.3">
      <c r="A472" s="3">
        <v>45153</v>
      </c>
      <c r="B472" s="3" t="str">
        <f>TEXT(CleanedTable[[#This Row],[OrderDate]],"mmm")</f>
        <v>Aug</v>
      </c>
      <c r="C472" s="3" t="str">
        <f>TEXT(CleanedTable[[#This Row],[OrderDate]],"yyyy")</f>
        <v>2023</v>
      </c>
      <c r="D472" s="3" t="str">
        <f>TEXT(CleanedTable[[#This Row],[OrderDate]],"mmm yyyy")</f>
        <v>Aug 2023</v>
      </c>
      <c r="E472" t="s">
        <v>19</v>
      </c>
      <c r="F472" t="s">
        <v>24</v>
      </c>
      <c r="G472" s="12">
        <v>3</v>
      </c>
      <c r="H472" s="8">
        <v>294.72000000000003</v>
      </c>
      <c r="I472" t="s">
        <v>33</v>
      </c>
      <c r="J472" t="s">
        <v>35</v>
      </c>
      <c r="K472" s="10">
        <v>0.05</v>
      </c>
      <c r="L472" t="s">
        <v>38</v>
      </c>
      <c r="M472">
        <v>839.952</v>
      </c>
      <c r="N472">
        <v>530.49600000000009</v>
      </c>
      <c r="O472" s="10">
        <v>264.12599999999992</v>
      </c>
      <c r="P472" s="10">
        <v>0.3144536830676038</v>
      </c>
      <c r="Q472" s="8">
        <v>839.952</v>
      </c>
      <c r="R472" t="s">
        <v>47</v>
      </c>
      <c r="S472" t="s">
        <v>49</v>
      </c>
      <c r="T472" t="s">
        <v>2931</v>
      </c>
      <c r="U472">
        <v>0</v>
      </c>
      <c r="V472" t="str">
        <f>IF(CleanedTable[[#This Row],[Returned]] = 0,"NO","Yes")</f>
        <v>NO</v>
      </c>
      <c r="W472" t="s">
        <v>521</v>
      </c>
      <c r="X472" t="s">
        <v>2007</v>
      </c>
      <c r="Y472" s="10">
        <v>45.33</v>
      </c>
      <c r="Z472" s="3">
        <v>45153</v>
      </c>
      <c r="AA472" s="3">
        <v>45156</v>
      </c>
      <c r="AB472" t="s">
        <v>2922</v>
      </c>
      <c r="AC472">
        <v>3</v>
      </c>
    </row>
    <row r="473" spans="1:29" x14ac:dyDescent="0.3">
      <c r="A473" s="3">
        <v>44942</v>
      </c>
      <c r="B473" s="3" t="str">
        <f>TEXT(CleanedTable[[#This Row],[OrderDate]],"mmm")</f>
        <v>Jan</v>
      </c>
      <c r="C473" s="3" t="str">
        <f>TEXT(CleanedTable[[#This Row],[OrderDate]],"yyyy")</f>
        <v>2023</v>
      </c>
      <c r="D473" s="3" t="str">
        <f>TEXT(CleanedTable[[#This Row],[OrderDate]],"mmm yyyy")</f>
        <v>Jan 2023</v>
      </c>
      <c r="E473" t="s">
        <v>23</v>
      </c>
      <c r="F473" t="s">
        <v>25</v>
      </c>
      <c r="G473" s="12">
        <v>20</v>
      </c>
      <c r="H473" s="8">
        <v>553.85</v>
      </c>
      <c r="I473" t="s">
        <v>32</v>
      </c>
      <c r="J473" t="s">
        <v>36</v>
      </c>
      <c r="K473" s="10">
        <v>0</v>
      </c>
      <c r="L473" t="s">
        <v>39</v>
      </c>
      <c r="M473">
        <v>11077</v>
      </c>
      <c r="N473">
        <v>6646.2</v>
      </c>
      <c r="O473" s="10">
        <v>4397.59</v>
      </c>
      <c r="P473" s="10">
        <v>0.39700189582016793</v>
      </c>
      <c r="Q473" s="8">
        <v>11077</v>
      </c>
      <c r="R473" t="s">
        <v>47</v>
      </c>
      <c r="S473" t="s">
        <v>50</v>
      </c>
      <c r="T473" t="s">
        <v>2931</v>
      </c>
      <c r="U473">
        <v>0</v>
      </c>
      <c r="V473" t="str">
        <f>IF(CleanedTable[[#This Row],[Returned]] = 0,"NO","Yes")</f>
        <v>NO</v>
      </c>
      <c r="W473" t="s">
        <v>522</v>
      </c>
      <c r="X473" t="s">
        <v>2008</v>
      </c>
      <c r="Y473" s="10">
        <v>33.21</v>
      </c>
      <c r="Z473" s="3">
        <v>44942</v>
      </c>
      <c r="AA473" s="3">
        <v>44950</v>
      </c>
      <c r="AB473" t="s">
        <v>2926</v>
      </c>
      <c r="AC473">
        <v>8</v>
      </c>
    </row>
    <row r="474" spans="1:29" x14ac:dyDescent="0.3">
      <c r="A474" s="3">
        <v>45716</v>
      </c>
      <c r="B474" s="3" t="str">
        <f>TEXT(CleanedTable[[#This Row],[OrderDate]],"mmm")</f>
        <v>Feb</v>
      </c>
      <c r="C474" s="3" t="str">
        <f>TEXT(CleanedTable[[#This Row],[OrderDate]],"yyyy")</f>
        <v>2025</v>
      </c>
      <c r="D474" s="3" t="str">
        <f>TEXT(CleanedTable[[#This Row],[OrderDate]],"mmm yyyy")</f>
        <v>Feb 2025</v>
      </c>
      <c r="E474" t="s">
        <v>22</v>
      </c>
      <c r="F474" t="s">
        <v>29</v>
      </c>
      <c r="G474" s="12">
        <v>13</v>
      </c>
      <c r="H474" s="8">
        <v>81.17</v>
      </c>
      <c r="I474" t="s">
        <v>34</v>
      </c>
      <c r="J474" t="s">
        <v>36</v>
      </c>
      <c r="K474" s="10">
        <v>0.1</v>
      </c>
      <c r="L474" t="s">
        <v>39</v>
      </c>
      <c r="M474">
        <v>949.68900000000008</v>
      </c>
      <c r="N474">
        <v>633.12599999999998</v>
      </c>
      <c r="O474" s="10">
        <v>268.35300000000012</v>
      </c>
      <c r="P474" s="10">
        <v>0.28256934638602754</v>
      </c>
      <c r="Q474" s="8">
        <v>949.68900000000008</v>
      </c>
      <c r="R474" t="s">
        <v>47</v>
      </c>
      <c r="S474" t="s">
        <v>49</v>
      </c>
      <c r="T474" t="s">
        <v>2931</v>
      </c>
      <c r="U474">
        <v>1</v>
      </c>
      <c r="V474" t="str">
        <f>IF(CleanedTable[[#This Row],[Returned]] = 0,"NO","Yes")</f>
        <v>Yes</v>
      </c>
      <c r="W474" t="s">
        <v>523</v>
      </c>
      <c r="X474" t="s">
        <v>2009</v>
      </c>
      <c r="Y474" s="10">
        <v>48.21</v>
      </c>
      <c r="Z474" s="3">
        <v>45716</v>
      </c>
      <c r="AA474" s="3">
        <v>45724</v>
      </c>
      <c r="AB474" t="s">
        <v>2925</v>
      </c>
      <c r="AC474">
        <v>8</v>
      </c>
    </row>
    <row r="475" spans="1:29" x14ac:dyDescent="0.3">
      <c r="A475" s="3">
        <v>45258</v>
      </c>
      <c r="B475" s="3" t="str">
        <f>TEXT(CleanedTable[[#This Row],[OrderDate]],"mmm")</f>
        <v>Nov</v>
      </c>
      <c r="C475" s="3" t="str">
        <f>TEXT(CleanedTable[[#This Row],[OrderDate]],"yyyy")</f>
        <v>2023</v>
      </c>
      <c r="D475" s="3" t="str">
        <f>TEXT(CleanedTable[[#This Row],[OrderDate]],"mmm yyyy")</f>
        <v>Nov 2023</v>
      </c>
      <c r="E475" t="s">
        <v>23</v>
      </c>
      <c r="F475" t="s">
        <v>25</v>
      </c>
      <c r="G475" s="12">
        <v>2</v>
      </c>
      <c r="H475" s="8">
        <v>532.51</v>
      </c>
      <c r="I475" t="s">
        <v>31</v>
      </c>
      <c r="J475" t="s">
        <v>35</v>
      </c>
      <c r="K475" s="10">
        <v>0</v>
      </c>
      <c r="L475" t="s">
        <v>40</v>
      </c>
      <c r="M475">
        <v>1065.02</v>
      </c>
      <c r="N475">
        <v>639.01199999999994</v>
      </c>
      <c r="O475" s="10">
        <v>376.33800000000002</v>
      </c>
      <c r="P475" s="10">
        <v>0.35336237817130195</v>
      </c>
      <c r="Q475" s="8">
        <v>1065.02</v>
      </c>
      <c r="R475" t="s">
        <v>45</v>
      </c>
      <c r="S475" t="s">
        <v>50</v>
      </c>
      <c r="T475" t="s">
        <v>2931</v>
      </c>
      <c r="U475">
        <v>1</v>
      </c>
      <c r="V475" t="str">
        <f>IF(CleanedTable[[#This Row],[Returned]] = 0,"NO","Yes")</f>
        <v>Yes</v>
      </c>
      <c r="W475" t="s">
        <v>524</v>
      </c>
      <c r="X475" t="s">
        <v>2010</v>
      </c>
      <c r="Y475" s="10">
        <v>49.67</v>
      </c>
      <c r="Z475" s="3">
        <v>45258</v>
      </c>
      <c r="AA475" s="3">
        <v>45261</v>
      </c>
      <c r="AB475" t="s">
        <v>2926</v>
      </c>
      <c r="AC475">
        <v>3</v>
      </c>
    </row>
    <row r="476" spans="1:29" x14ac:dyDescent="0.3">
      <c r="A476" s="3">
        <v>45264</v>
      </c>
      <c r="B476" s="3" t="str">
        <f>TEXT(CleanedTable[[#This Row],[OrderDate]],"mmm")</f>
        <v>Dec</v>
      </c>
      <c r="C476" s="3" t="str">
        <f>TEXT(CleanedTable[[#This Row],[OrderDate]],"yyyy")</f>
        <v>2023</v>
      </c>
      <c r="D476" s="3" t="str">
        <f>TEXT(CleanedTable[[#This Row],[OrderDate]],"mmm yyyy")</f>
        <v>Dec 2023</v>
      </c>
      <c r="E476" t="s">
        <v>23</v>
      </c>
      <c r="F476" t="s">
        <v>30</v>
      </c>
      <c r="G476" s="12">
        <v>1</v>
      </c>
      <c r="H476" s="8">
        <v>268.19</v>
      </c>
      <c r="I476" t="s">
        <v>31</v>
      </c>
      <c r="J476" t="s">
        <v>35</v>
      </c>
      <c r="K476" s="10">
        <v>0.1</v>
      </c>
      <c r="L476" t="s">
        <v>40</v>
      </c>
      <c r="M476">
        <v>241.37100000000001</v>
      </c>
      <c r="N476">
        <v>160.91399999999999</v>
      </c>
      <c r="O476" s="10">
        <v>70.977000000000018</v>
      </c>
      <c r="P476" s="10">
        <v>0.2940576954149422</v>
      </c>
      <c r="Q476" s="8">
        <v>241.37100000000001</v>
      </c>
      <c r="R476" t="s">
        <v>44</v>
      </c>
      <c r="S476" t="s">
        <v>50</v>
      </c>
      <c r="T476" t="s">
        <v>2931</v>
      </c>
      <c r="U476">
        <v>0</v>
      </c>
      <c r="V476" t="str">
        <f>IF(CleanedTable[[#This Row],[Returned]] = 0,"NO","Yes")</f>
        <v>NO</v>
      </c>
      <c r="W476" t="s">
        <v>525</v>
      </c>
      <c r="X476" t="s">
        <v>2011</v>
      </c>
      <c r="Y476" s="10">
        <v>9.48</v>
      </c>
      <c r="Z476" s="3">
        <v>45264</v>
      </c>
      <c r="AA476" s="3">
        <v>45273</v>
      </c>
      <c r="AB476" t="s">
        <v>2926</v>
      </c>
      <c r="AC476">
        <v>9</v>
      </c>
    </row>
    <row r="477" spans="1:29" x14ac:dyDescent="0.3">
      <c r="A477" s="3">
        <v>45464</v>
      </c>
      <c r="B477" s="3" t="str">
        <f>TEXT(CleanedTable[[#This Row],[OrderDate]],"mmm")</f>
        <v>Jun</v>
      </c>
      <c r="C477" s="3" t="str">
        <f>TEXT(CleanedTable[[#This Row],[OrderDate]],"yyyy")</f>
        <v>2024</v>
      </c>
      <c r="D477" s="3" t="str">
        <f>TEXT(CleanedTable[[#This Row],[OrderDate]],"mmm yyyy")</f>
        <v>Jun 2024</v>
      </c>
      <c r="E477" t="s">
        <v>20</v>
      </c>
      <c r="F477" t="s">
        <v>30</v>
      </c>
      <c r="G477" s="12">
        <v>17</v>
      </c>
      <c r="H477" s="8">
        <v>432.65</v>
      </c>
      <c r="I477" t="s">
        <v>32</v>
      </c>
      <c r="J477" t="s">
        <v>36</v>
      </c>
      <c r="K477" s="10">
        <v>0.15</v>
      </c>
      <c r="L477" t="s">
        <v>39</v>
      </c>
      <c r="M477">
        <v>6251.7924999999996</v>
      </c>
      <c r="N477">
        <v>4413.03</v>
      </c>
      <c r="O477" s="10">
        <v>1819.9124999999999</v>
      </c>
      <c r="P477" s="10">
        <v>0.29110251179961588</v>
      </c>
      <c r="Q477" s="8">
        <v>6251.7924999999996</v>
      </c>
      <c r="R477" t="s">
        <v>47</v>
      </c>
      <c r="S477" t="s">
        <v>48</v>
      </c>
      <c r="T477" t="s">
        <v>2931</v>
      </c>
      <c r="U477">
        <v>0</v>
      </c>
      <c r="V477" t="str">
        <f>IF(CleanedTable[[#This Row],[Returned]] = 0,"NO","Yes")</f>
        <v>NO</v>
      </c>
      <c r="W477" t="s">
        <v>526</v>
      </c>
      <c r="X477" t="s">
        <v>2012</v>
      </c>
      <c r="Y477" s="10">
        <v>18.850000000000001</v>
      </c>
      <c r="Z477" s="3">
        <v>45464</v>
      </c>
      <c r="AA477" s="3">
        <v>45472</v>
      </c>
      <c r="AB477" t="s">
        <v>2923</v>
      </c>
      <c r="AC477">
        <v>8</v>
      </c>
    </row>
    <row r="478" spans="1:29" x14ac:dyDescent="0.3">
      <c r="A478" s="3">
        <v>45733</v>
      </c>
      <c r="B478" s="3" t="str">
        <f>TEXT(CleanedTable[[#This Row],[OrderDate]],"mmm")</f>
        <v>Mar</v>
      </c>
      <c r="C478" s="3" t="str">
        <f>TEXT(CleanedTable[[#This Row],[OrderDate]],"yyyy")</f>
        <v>2025</v>
      </c>
      <c r="D478" s="3" t="str">
        <f>TEXT(CleanedTable[[#This Row],[OrderDate]],"mmm yyyy")</f>
        <v>Mar 2025</v>
      </c>
      <c r="E478" t="s">
        <v>19</v>
      </c>
      <c r="F478" t="s">
        <v>26</v>
      </c>
      <c r="G478" s="12">
        <v>14</v>
      </c>
      <c r="H478" s="8">
        <v>123.04</v>
      </c>
      <c r="I478" t="s">
        <v>32</v>
      </c>
      <c r="J478" t="s">
        <v>35</v>
      </c>
      <c r="K478" s="10">
        <v>0.1</v>
      </c>
      <c r="L478" t="s">
        <v>41</v>
      </c>
      <c r="M478">
        <v>1550.3040000000001</v>
      </c>
      <c r="N478">
        <v>1033.5360000000001</v>
      </c>
      <c r="O478" s="10">
        <v>473.48800000000006</v>
      </c>
      <c r="P478" s="10">
        <v>0.3054162280430161</v>
      </c>
      <c r="Q478" s="8">
        <v>1550.3040000000001</v>
      </c>
      <c r="R478" t="s">
        <v>47</v>
      </c>
      <c r="S478" t="s">
        <v>50</v>
      </c>
      <c r="T478" t="s">
        <v>2931</v>
      </c>
      <c r="U478">
        <v>1</v>
      </c>
      <c r="V478" t="str">
        <f>IF(CleanedTable[[#This Row],[Returned]] = 0,"NO","Yes")</f>
        <v>Yes</v>
      </c>
      <c r="W478" t="s">
        <v>527</v>
      </c>
      <c r="X478" t="s">
        <v>2013</v>
      </c>
      <c r="Y478" s="10">
        <v>43.28</v>
      </c>
      <c r="Z478" s="3">
        <v>45733</v>
      </c>
      <c r="AA478" s="3">
        <v>45742</v>
      </c>
      <c r="AB478" t="s">
        <v>2922</v>
      </c>
      <c r="AC478">
        <v>9</v>
      </c>
    </row>
    <row r="479" spans="1:29" x14ac:dyDescent="0.3">
      <c r="A479" s="3">
        <v>45155</v>
      </c>
      <c r="B479" s="3" t="str">
        <f>TEXT(CleanedTable[[#This Row],[OrderDate]],"mmm")</f>
        <v>Aug</v>
      </c>
      <c r="C479" s="3" t="str">
        <f>TEXT(CleanedTable[[#This Row],[OrderDate]],"yyyy")</f>
        <v>2023</v>
      </c>
      <c r="D479" s="3" t="str">
        <f>TEXT(CleanedTable[[#This Row],[OrderDate]],"mmm yyyy")</f>
        <v>Aug 2023</v>
      </c>
      <c r="E479" t="s">
        <v>22</v>
      </c>
      <c r="F479" t="s">
        <v>26</v>
      </c>
      <c r="G479" s="12">
        <v>16</v>
      </c>
      <c r="H479" s="8">
        <v>454.54</v>
      </c>
      <c r="I479" t="s">
        <v>31</v>
      </c>
      <c r="J479" t="s">
        <v>36</v>
      </c>
      <c r="K479" s="10">
        <v>0.1</v>
      </c>
      <c r="L479" t="s">
        <v>42</v>
      </c>
      <c r="M479">
        <v>6545.3760000000002</v>
      </c>
      <c r="N479">
        <v>4363.5839999999998</v>
      </c>
      <c r="O479" s="10">
        <v>2161.2420000000002</v>
      </c>
      <c r="P479" s="10">
        <v>0.33019371232454792</v>
      </c>
      <c r="Q479" s="8">
        <v>6545.3760000000002</v>
      </c>
      <c r="R479" t="s">
        <v>43</v>
      </c>
      <c r="S479" t="s">
        <v>48</v>
      </c>
      <c r="T479" t="s">
        <v>2931</v>
      </c>
      <c r="U479">
        <v>0</v>
      </c>
      <c r="V479" t="str">
        <f>IF(CleanedTable[[#This Row],[Returned]] = 0,"NO","Yes")</f>
        <v>NO</v>
      </c>
      <c r="W479" t="s">
        <v>528</v>
      </c>
      <c r="X479" t="s">
        <v>2014</v>
      </c>
      <c r="Y479" s="10">
        <v>20.55</v>
      </c>
      <c r="Z479" s="3">
        <v>45155</v>
      </c>
      <c r="AA479" s="3">
        <v>45157</v>
      </c>
      <c r="AB479" t="s">
        <v>2925</v>
      </c>
      <c r="AC479">
        <v>2</v>
      </c>
    </row>
    <row r="480" spans="1:29" x14ac:dyDescent="0.3">
      <c r="A480" s="3">
        <v>45168</v>
      </c>
      <c r="B480" s="3" t="str">
        <f>TEXT(CleanedTable[[#This Row],[OrderDate]],"mmm")</f>
        <v>Aug</v>
      </c>
      <c r="C480" s="3" t="str">
        <f>TEXT(CleanedTable[[#This Row],[OrderDate]],"yyyy")</f>
        <v>2023</v>
      </c>
      <c r="D480" s="3" t="str">
        <f>TEXT(CleanedTable[[#This Row],[OrderDate]],"mmm yyyy")</f>
        <v>Aug 2023</v>
      </c>
      <c r="E480" t="s">
        <v>22</v>
      </c>
      <c r="F480" t="s">
        <v>28</v>
      </c>
      <c r="G480" s="12">
        <v>11</v>
      </c>
      <c r="H480" s="8">
        <v>414.58</v>
      </c>
      <c r="I480" t="s">
        <v>34</v>
      </c>
      <c r="J480" t="s">
        <v>35</v>
      </c>
      <c r="K480" s="10">
        <v>0.05</v>
      </c>
      <c r="L480" t="s">
        <v>41</v>
      </c>
      <c r="M480">
        <v>4332.3609999999999</v>
      </c>
      <c r="N480">
        <v>2736.2280000000001</v>
      </c>
      <c r="O480" s="10">
        <v>1570.8029999999999</v>
      </c>
      <c r="P480" s="10">
        <v>0.36257435610744349</v>
      </c>
      <c r="Q480" s="8">
        <v>4332.3609999999999</v>
      </c>
      <c r="R480" t="s">
        <v>47</v>
      </c>
      <c r="S480" t="s">
        <v>50</v>
      </c>
      <c r="T480" t="s">
        <v>2931</v>
      </c>
      <c r="U480">
        <v>0</v>
      </c>
      <c r="V480" t="str">
        <f>IF(CleanedTable[[#This Row],[Returned]] = 0,"NO","Yes")</f>
        <v>NO</v>
      </c>
      <c r="W480" t="s">
        <v>529</v>
      </c>
      <c r="X480" t="s">
        <v>1702</v>
      </c>
      <c r="Y480" s="10">
        <v>25.33</v>
      </c>
      <c r="Z480" s="3">
        <v>45168</v>
      </c>
      <c r="AA480" s="3">
        <v>45174</v>
      </c>
      <c r="AB480" t="s">
        <v>2925</v>
      </c>
      <c r="AC480">
        <v>6</v>
      </c>
    </row>
    <row r="481" spans="1:29" x14ac:dyDescent="0.3">
      <c r="A481" s="3">
        <v>45824</v>
      </c>
      <c r="B481" s="3" t="str">
        <f>TEXT(CleanedTable[[#This Row],[OrderDate]],"mmm")</f>
        <v>Jun</v>
      </c>
      <c r="C481" s="3" t="str">
        <f>TEXT(CleanedTable[[#This Row],[OrderDate]],"yyyy")</f>
        <v>2025</v>
      </c>
      <c r="D481" s="3" t="str">
        <f>TEXT(CleanedTable[[#This Row],[OrderDate]],"mmm yyyy")</f>
        <v>Jun 2025</v>
      </c>
      <c r="E481" t="s">
        <v>19</v>
      </c>
      <c r="F481" t="s">
        <v>25</v>
      </c>
      <c r="G481" s="12">
        <v>9</v>
      </c>
      <c r="H481" s="8">
        <v>352.91</v>
      </c>
      <c r="I481" t="s">
        <v>31</v>
      </c>
      <c r="J481" t="s">
        <v>35</v>
      </c>
      <c r="K481" s="10">
        <v>0.1</v>
      </c>
      <c r="L481" t="s">
        <v>42</v>
      </c>
      <c r="M481">
        <v>2858.5709999999999</v>
      </c>
      <c r="N481">
        <v>1905.7140000000002</v>
      </c>
      <c r="O481" s="10">
        <v>922.28699999999969</v>
      </c>
      <c r="P481" s="10">
        <v>0.32263917880647347</v>
      </c>
      <c r="Q481" s="8">
        <v>2858.5709999999999</v>
      </c>
      <c r="R481" t="s">
        <v>47</v>
      </c>
      <c r="S481" t="s">
        <v>48</v>
      </c>
      <c r="T481" t="s">
        <v>2931</v>
      </c>
      <c r="U481">
        <v>0</v>
      </c>
      <c r="V481" t="str">
        <f>IF(CleanedTable[[#This Row],[Returned]] = 0,"NO","Yes")</f>
        <v>NO</v>
      </c>
      <c r="W481" t="s">
        <v>530</v>
      </c>
      <c r="X481" t="s">
        <v>2015</v>
      </c>
      <c r="Y481" s="10">
        <v>30.57</v>
      </c>
      <c r="Z481" s="3">
        <v>45824</v>
      </c>
      <c r="AA481" s="3">
        <v>45826</v>
      </c>
      <c r="AB481" t="s">
        <v>2922</v>
      </c>
      <c r="AC481">
        <v>2</v>
      </c>
    </row>
    <row r="482" spans="1:29" x14ac:dyDescent="0.3">
      <c r="A482" s="3">
        <v>45106</v>
      </c>
      <c r="B482" s="3" t="str">
        <f>TEXT(CleanedTable[[#This Row],[OrderDate]],"mmm")</f>
        <v>Jun</v>
      </c>
      <c r="C482" s="3" t="str">
        <f>TEXT(CleanedTable[[#This Row],[OrderDate]],"yyyy")</f>
        <v>2023</v>
      </c>
      <c r="D482" s="3" t="str">
        <f>TEXT(CleanedTable[[#This Row],[OrderDate]],"mmm yyyy")</f>
        <v>Jun 2023</v>
      </c>
      <c r="E482" t="s">
        <v>21</v>
      </c>
      <c r="F482" t="s">
        <v>27</v>
      </c>
      <c r="G482" s="12">
        <v>10</v>
      </c>
      <c r="H482" s="8">
        <v>126.46</v>
      </c>
      <c r="I482" t="s">
        <v>32</v>
      </c>
      <c r="J482" t="s">
        <v>36</v>
      </c>
      <c r="K482" s="10">
        <v>0.1</v>
      </c>
      <c r="L482" t="s">
        <v>37</v>
      </c>
      <c r="M482">
        <v>1138.1399999999999</v>
      </c>
      <c r="N482">
        <v>758.75999999999988</v>
      </c>
      <c r="O482" s="10">
        <v>352.42</v>
      </c>
      <c r="P482" s="10">
        <v>0.30964556205739191</v>
      </c>
      <c r="Q482" s="8">
        <v>1138.1400000000001</v>
      </c>
      <c r="R482" t="s">
        <v>43</v>
      </c>
      <c r="S482" t="s">
        <v>50</v>
      </c>
      <c r="T482" t="s">
        <v>2931</v>
      </c>
      <c r="U482">
        <v>0</v>
      </c>
      <c r="V482" t="str">
        <f>IF(CleanedTable[[#This Row],[Returned]] = 0,"NO","Yes")</f>
        <v>NO</v>
      </c>
      <c r="W482" t="s">
        <v>531</v>
      </c>
      <c r="X482" t="s">
        <v>2016</v>
      </c>
      <c r="Y482" s="10">
        <v>26.96</v>
      </c>
      <c r="Z482" s="3">
        <v>45106</v>
      </c>
      <c r="AA482" s="3">
        <v>45116</v>
      </c>
      <c r="AB482" t="s">
        <v>2924</v>
      </c>
      <c r="AC482">
        <v>10</v>
      </c>
    </row>
    <row r="483" spans="1:29" x14ac:dyDescent="0.3">
      <c r="A483" s="3">
        <v>45151</v>
      </c>
      <c r="B483" s="3" t="str">
        <f>TEXT(CleanedTable[[#This Row],[OrderDate]],"mmm")</f>
        <v>Aug</v>
      </c>
      <c r="C483" s="3" t="str">
        <f>TEXT(CleanedTable[[#This Row],[OrderDate]],"yyyy")</f>
        <v>2023</v>
      </c>
      <c r="D483" s="3" t="str">
        <f>TEXT(CleanedTable[[#This Row],[OrderDate]],"mmm yyyy")</f>
        <v>Aug 2023</v>
      </c>
      <c r="E483" t="s">
        <v>21</v>
      </c>
      <c r="F483" t="s">
        <v>28</v>
      </c>
      <c r="G483" s="12">
        <v>7</v>
      </c>
      <c r="H483" s="8">
        <v>125.02</v>
      </c>
      <c r="I483" t="s">
        <v>34</v>
      </c>
      <c r="J483" t="s">
        <v>35</v>
      </c>
      <c r="K483" s="10">
        <v>0</v>
      </c>
      <c r="L483" t="s">
        <v>40</v>
      </c>
      <c r="M483">
        <v>875.14</v>
      </c>
      <c r="N483">
        <v>525.08400000000006</v>
      </c>
      <c r="O483" s="10">
        <v>337.60599999999994</v>
      </c>
      <c r="P483" s="10">
        <v>0.38577370477866391</v>
      </c>
      <c r="Q483" s="8">
        <v>875.14</v>
      </c>
      <c r="R483" t="s">
        <v>45</v>
      </c>
      <c r="S483" t="s">
        <v>48</v>
      </c>
      <c r="T483" t="s">
        <v>2931</v>
      </c>
      <c r="U483">
        <v>0</v>
      </c>
      <c r="V483" t="str">
        <f>IF(CleanedTable[[#This Row],[Returned]] = 0,"NO","Yes")</f>
        <v>NO</v>
      </c>
      <c r="W483" t="s">
        <v>532</v>
      </c>
      <c r="X483" t="s">
        <v>2017</v>
      </c>
      <c r="Y483" s="10">
        <v>12.45</v>
      </c>
      <c r="Z483" s="3">
        <v>45151</v>
      </c>
      <c r="AA483" s="3">
        <v>45158</v>
      </c>
      <c r="AB483" t="s">
        <v>2924</v>
      </c>
      <c r="AC483">
        <v>7</v>
      </c>
    </row>
    <row r="484" spans="1:29" x14ac:dyDescent="0.3">
      <c r="A484" s="3">
        <v>45411</v>
      </c>
      <c r="B484" s="3" t="str">
        <f>TEXT(CleanedTable[[#This Row],[OrderDate]],"mmm")</f>
        <v>Apr</v>
      </c>
      <c r="C484" s="3" t="str">
        <f>TEXT(CleanedTable[[#This Row],[OrderDate]],"yyyy")</f>
        <v>2024</v>
      </c>
      <c r="D484" s="3" t="str">
        <f>TEXT(CleanedTable[[#This Row],[OrderDate]],"mmm yyyy")</f>
        <v>Apr 2024</v>
      </c>
      <c r="E484" t="s">
        <v>23</v>
      </c>
      <c r="F484" t="s">
        <v>29</v>
      </c>
      <c r="G484" s="12">
        <v>20</v>
      </c>
      <c r="H484" s="8">
        <v>367.24</v>
      </c>
      <c r="I484" t="s">
        <v>32</v>
      </c>
      <c r="J484" t="s">
        <v>35</v>
      </c>
      <c r="K484" s="10">
        <v>0.05</v>
      </c>
      <c r="L484" t="s">
        <v>40</v>
      </c>
      <c r="M484">
        <v>6977.5599999999995</v>
      </c>
      <c r="N484">
        <v>4406.88</v>
      </c>
      <c r="O484" s="10">
        <v>2525.0099999999993</v>
      </c>
      <c r="P484" s="10">
        <v>0.36187578465824721</v>
      </c>
      <c r="Q484" s="8">
        <v>6977.5599999999986</v>
      </c>
      <c r="R484" t="s">
        <v>44</v>
      </c>
      <c r="S484" t="s">
        <v>48</v>
      </c>
      <c r="T484" t="s">
        <v>2931</v>
      </c>
      <c r="U484">
        <v>0</v>
      </c>
      <c r="V484" t="str">
        <f>IF(CleanedTable[[#This Row],[Returned]] = 0,"NO","Yes")</f>
        <v>NO</v>
      </c>
      <c r="W484" t="s">
        <v>533</v>
      </c>
      <c r="X484" t="s">
        <v>2018</v>
      </c>
      <c r="Y484" s="10">
        <v>45.67</v>
      </c>
      <c r="Z484" s="3">
        <v>45411</v>
      </c>
      <c r="AA484" s="3">
        <v>45419</v>
      </c>
      <c r="AB484" t="s">
        <v>2926</v>
      </c>
      <c r="AC484">
        <v>8</v>
      </c>
    </row>
    <row r="485" spans="1:29" x14ac:dyDescent="0.3">
      <c r="A485" s="3">
        <v>45122</v>
      </c>
      <c r="B485" s="3" t="str">
        <f>TEXT(CleanedTable[[#This Row],[OrderDate]],"mmm")</f>
        <v>Jul</v>
      </c>
      <c r="C485" s="3" t="str">
        <f>TEXT(CleanedTable[[#This Row],[OrderDate]],"yyyy")</f>
        <v>2023</v>
      </c>
      <c r="D485" s="3" t="str">
        <f>TEXT(CleanedTable[[#This Row],[OrderDate]],"mmm yyyy")</f>
        <v>Jul 2023</v>
      </c>
      <c r="E485" t="s">
        <v>23</v>
      </c>
      <c r="F485" t="s">
        <v>28</v>
      </c>
      <c r="G485" s="12">
        <v>8</v>
      </c>
      <c r="H485" s="8">
        <v>432.12</v>
      </c>
      <c r="I485" t="s">
        <v>31</v>
      </c>
      <c r="J485" t="s">
        <v>36</v>
      </c>
      <c r="K485" s="10">
        <v>0</v>
      </c>
      <c r="L485" t="s">
        <v>41</v>
      </c>
      <c r="M485">
        <v>3456.96</v>
      </c>
      <c r="N485">
        <v>2074.1759999999999</v>
      </c>
      <c r="O485" s="10">
        <v>1340.6840000000002</v>
      </c>
      <c r="P485" s="10">
        <v>0.38782166990650752</v>
      </c>
      <c r="Q485" s="8">
        <v>3456.96</v>
      </c>
      <c r="R485" t="s">
        <v>45</v>
      </c>
      <c r="S485" t="s">
        <v>50</v>
      </c>
      <c r="T485" t="s">
        <v>2931</v>
      </c>
      <c r="U485">
        <v>0</v>
      </c>
      <c r="V485" t="str">
        <f>IF(CleanedTable[[#This Row],[Returned]] = 0,"NO","Yes")</f>
        <v>NO</v>
      </c>
      <c r="W485" t="s">
        <v>534</v>
      </c>
      <c r="X485" t="s">
        <v>2019</v>
      </c>
      <c r="Y485" s="10">
        <v>42.1</v>
      </c>
      <c r="Z485" s="3">
        <v>45122</v>
      </c>
      <c r="AA485" s="3">
        <v>45132</v>
      </c>
      <c r="AB485" t="s">
        <v>2926</v>
      </c>
      <c r="AC485">
        <v>10</v>
      </c>
    </row>
    <row r="486" spans="1:29" x14ac:dyDescent="0.3">
      <c r="A486" s="3">
        <v>45674</v>
      </c>
      <c r="B486" s="3" t="str">
        <f>TEXT(CleanedTable[[#This Row],[OrderDate]],"mmm")</f>
        <v>Jan</v>
      </c>
      <c r="C486" s="3" t="str">
        <f>TEXT(CleanedTable[[#This Row],[OrderDate]],"yyyy")</f>
        <v>2025</v>
      </c>
      <c r="D486" s="3" t="str">
        <f>TEXT(CleanedTable[[#This Row],[OrderDate]],"mmm yyyy")</f>
        <v>Jan 2025</v>
      </c>
      <c r="E486" t="s">
        <v>21</v>
      </c>
      <c r="F486" t="s">
        <v>29</v>
      </c>
      <c r="G486" s="12">
        <v>3</v>
      </c>
      <c r="H486" s="8">
        <v>13.33</v>
      </c>
      <c r="I486" t="s">
        <v>34</v>
      </c>
      <c r="J486" t="s">
        <v>36</v>
      </c>
      <c r="K486" s="10">
        <v>0.1</v>
      </c>
      <c r="L486" t="s">
        <v>37</v>
      </c>
      <c r="M486">
        <v>35.991</v>
      </c>
      <c r="N486">
        <v>23.994</v>
      </c>
      <c r="O486" s="10">
        <v>-5.6230000000000011</v>
      </c>
      <c r="P486" s="10">
        <v>-0.15623350282014953</v>
      </c>
      <c r="Q486" s="8">
        <v>35.991</v>
      </c>
      <c r="R486" t="s">
        <v>47</v>
      </c>
      <c r="S486" t="s">
        <v>49</v>
      </c>
      <c r="T486" t="s">
        <v>2931</v>
      </c>
      <c r="U486">
        <v>0</v>
      </c>
      <c r="V486" t="str">
        <f>IF(CleanedTable[[#This Row],[Returned]] = 0,"NO","Yes")</f>
        <v>NO</v>
      </c>
      <c r="W486" t="s">
        <v>535</v>
      </c>
      <c r="X486" t="s">
        <v>2020</v>
      </c>
      <c r="Y486" s="10">
        <v>17.62</v>
      </c>
      <c r="Z486" s="3">
        <v>45674</v>
      </c>
      <c r="AA486" s="3">
        <v>45680</v>
      </c>
      <c r="AB486" t="s">
        <v>2924</v>
      </c>
      <c r="AC486">
        <v>6</v>
      </c>
    </row>
    <row r="487" spans="1:29" x14ac:dyDescent="0.3">
      <c r="A487" s="3">
        <v>45709</v>
      </c>
      <c r="B487" s="3" t="str">
        <f>TEXT(CleanedTable[[#This Row],[OrderDate]],"mmm")</f>
        <v>Feb</v>
      </c>
      <c r="C487" s="3" t="str">
        <f>TEXT(CleanedTable[[#This Row],[OrderDate]],"yyyy")</f>
        <v>2025</v>
      </c>
      <c r="D487" s="3" t="str">
        <f>TEXT(CleanedTable[[#This Row],[OrderDate]],"mmm yyyy")</f>
        <v>Feb 2025</v>
      </c>
      <c r="E487" t="s">
        <v>19</v>
      </c>
      <c r="F487" t="s">
        <v>30</v>
      </c>
      <c r="G487" s="12">
        <v>13</v>
      </c>
      <c r="H487" s="8">
        <v>105.93</v>
      </c>
      <c r="I487" t="s">
        <v>33</v>
      </c>
      <c r="J487" t="s">
        <v>36</v>
      </c>
      <c r="K487" s="10">
        <v>0</v>
      </c>
      <c r="L487" t="s">
        <v>42</v>
      </c>
      <c r="M487">
        <v>1377.0900000000001</v>
      </c>
      <c r="N487">
        <v>826.25400000000002</v>
      </c>
      <c r="O487" s="10">
        <v>511.87600000000015</v>
      </c>
      <c r="P487" s="10">
        <v>0.37170845768976618</v>
      </c>
      <c r="Q487" s="8">
        <v>1377.09</v>
      </c>
      <c r="R487" t="s">
        <v>46</v>
      </c>
      <c r="S487" t="s">
        <v>48</v>
      </c>
      <c r="T487" t="s">
        <v>2931</v>
      </c>
      <c r="U487">
        <v>0</v>
      </c>
      <c r="V487" t="str">
        <f>IF(CleanedTable[[#This Row],[Returned]] = 0,"NO","Yes")</f>
        <v>NO</v>
      </c>
      <c r="W487" t="s">
        <v>536</v>
      </c>
      <c r="X487" t="s">
        <v>2021</v>
      </c>
      <c r="Y487" s="10">
        <v>38.96</v>
      </c>
      <c r="Z487" s="3">
        <v>45709</v>
      </c>
      <c r="AA487" s="3">
        <v>45719</v>
      </c>
      <c r="AB487" t="s">
        <v>2922</v>
      </c>
      <c r="AC487">
        <v>10</v>
      </c>
    </row>
    <row r="488" spans="1:29" x14ac:dyDescent="0.3">
      <c r="A488" s="3">
        <v>45126</v>
      </c>
      <c r="B488" s="3" t="str">
        <f>TEXT(CleanedTable[[#This Row],[OrderDate]],"mmm")</f>
        <v>Jul</v>
      </c>
      <c r="C488" s="3" t="str">
        <f>TEXT(CleanedTable[[#This Row],[OrderDate]],"yyyy")</f>
        <v>2023</v>
      </c>
      <c r="D488" s="3" t="str">
        <f>TEXT(CleanedTable[[#This Row],[OrderDate]],"mmm yyyy")</f>
        <v>Jul 2023</v>
      </c>
      <c r="E488" t="s">
        <v>23</v>
      </c>
      <c r="F488" t="s">
        <v>28</v>
      </c>
      <c r="G488" s="12">
        <v>20</v>
      </c>
      <c r="H488" s="8">
        <v>526.54999999999995</v>
      </c>
      <c r="I488" t="s">
        <v>32</v>
      </c>
      <c r="J488" t="s">
        <v>35</v>
      </c>
      <c r="K488" s="10">
        <v>0</v>
      </c>
      <c r="L488" t="s">
        <v>38</v>
      </c>
      <c r="M488">
        <v>10531</v>
      </c>
      <c r="N488">
        <v>6318.5999999999985</v>
      </c>
      <c r="O488" s="10">
        <v>4186.7600000000011</v>
      </c>
      <c r="P488" s="10">
        <v>0.39756528344886538</v>
      </c>
      <c r="Q488" s="8">
        <v>10531</v>
      </c>
      <c r="R488" t="s">
        <v>46</v>
      </c>
      <c r="S488" t="s">
        <v>48</v>
      </c>
      <c r="T488" t="s">
        <v>2931</v>
      </c>
      <c r="U488">
        <v>1</v>
      </c>
      <c r="V488" t="str">
        <f>IF(CleanedTable[[#This Row],[Returned]] = 0,"NO","Yes")</f>
        <v>Yes</v>
      </c>
      <c r="W488" t="s">
        <v>537</v>
      </c>
      <c r="X488" t="s">
        <v>2022</v>
      </c>
      <c r="Y488" s="10">
        <v>25.64</v>
      </c>
      <c r="Z488" s="3">
        <v>45126</v>
      </c>
      <c r="AA488" s="3">
        <v>45133</v>
      </c>
      <c r="AB488" t="s">
        <v>2926</v>
      </c>
      <c r="AC488">
        <v>7</v>
      </c>
    </row>
    <row r="489" spans="1:29" x14ac:dyDescent="0.3">
      <c r="A489" s="3">
        <v>45564</v>
      </c>
      <c r="B489" s="3" t="str">
        <f>TEXT(CleanedTable[[#This Row],[OrderDate]],"mmm")</f>
        <v>Sep</v>
      </c>
      <c r="C489" s="3" t="str">
        <f>TEXT(CleanedTable[[#This Row],[OrderDate]],"yyyy")</f>
        <v>2024</v>
      </c>
      <c r="D489" s="3" t="str">
        <f>TEXT(CleanedTable[[#This Row],[OrderDate]],"mmm yyyy")</f>
        <v>Sep 2024</v>
      </c>
      <c r="E489" t="s">
        <v>23</v>
      </c>
      <c r="F489" t="s">
        <v>25</v>
      </c>
      <c r="G489" s="12">
        <v>11</v>
      </c>
      <c r="H489" s="8">
        <v>339.78</v>
      </c>
      <c r="I489" t="s">
        <v>32</v>
      </c>
      <c r="J489" t="s">
        <v>36</v>
      </c>
      <c r="K489" s="10">
        <v>0.05</v>
      </c>
      <c r="L489" t="s">
        <v>41</v>
      </c>
      <c r="M489">
        <v>3550.7009999999996</v>
      </c>
      <c r="N489">
        <v>2242.5479999999998</v>
      </c>
      <c r="O489" s="10">
        <v>1296.5929999999998</v>
      </c>
      <c r="P489" s="10">
        <v>0.36516535748856355</v>
      </c>
      <c r="Q489" s="8">
        <v>3550.701</v>
      </c>
      <c r="R489" t="s">
        <v>46</v>
      </c>
      <c r="S489" t="s">
        <v>50</v>
      </c>
      <c r="T489" t="s">
        <v>2931</v>
      </c>
      <c r="U489">
        <v>1</v>
      </c>
      <c r="V489" t="str">
        <f>IF(CleanedTable[[#This Row],[Returned]] = 0,"NO","Yes")</f>
        <v>Yes</v>
      </c>
      <c r="W489" t="s">
        <v>538</v>
      </c>
      <c r="X489" t="s">
        <v>2023</v>
      </c>
      <c r="Y489" s="10">
        <v>11.56</v>
      </c>
      <c r="Z489" s="3">
        <v>45564</v>
      </c>
      <c r="AA489" s="3">
        <v>45571</v>
      </c>
      <c r="AB489" t="s">
        <v>2926</v>
      </c>
      <c r="AC489">
        <v>7</v>
      </c>
    </row>
    <row r="490" spans="1:29" x14ac:dyDescent="0.3">
      <c r="A490" s="3">
        <v>45582</v>
      </c>
      <c r="B490" s="3" t="str">
        <f>TEXT(CleanedTable[[#This Row],[OrderDate]],"mmm")</f>
        <v>Oct</v>
      </c>
      <c r="C490" s="3" t="str">
        <f>TEXT(CleanedTable[[#This Row],[OrderDate]],"yyyy")</f>
        <v>2024</v>
      </c>
      <c r="D490" s="3" t="str">
        <f>TEXT(CleanedTable[[#This Row],[OrderDate]],"mmm yyyy")</f>
        <v>Oct 2024</v>
      </c>
      <c r="E490" t="s">
        <v>19</v>
      </c>
      <c r="F490" t="s">
        <v>24</v>
      </c>
      <c r="G490" s="12">
        <v>10</v>
      </c>
      <c r="H490" s="8">
        <v>91.75</v>
      </c>
      <c r="I490" t="s">
        <v>34</v>
      </c>
      <c r="J490" t="s">
        <v>35</v>
      </c>
      <c r="K490" s="10">
        <v>0.15</v>
      </c>
      <c r="L490" t="s">
        <v>39</v>
      </c>
      <c r="M490">
        <v>779.875</v>
      </c>
      <c r="N490">
        <v>550.5</v>
      </c>
      <c r="O490" s="10">
        <v>192.10499999999999</v>
      </c>
      <c r="P490" s="10">
        <v>0.24632793716941817</v>
      </c>
      <c r="Q490" s="8">
        <v>779.875</v>
      </c>
      <c r="R490" t="s">
        <v>47</v>
      </c>
      <c r="S490" t="s">
        <v>50</v>
      </c>
      <c r="T490" t="s">
        <v>2931</v>
      </c>
      <c r="U490">
        <v>0</v>
      </c>
      <c r="V490" t="str">
        <f>IF(CleanedTable[[#This Row],[Returned]] = 0,"NO","Yes")</f>
        <v>NO</v>
      </c>
      <c r="W490" t="s">
        <v>539</v>
      </c>
      <c r="X490" t="s">
        <v>2024</v>
      </c>
      <c r="Y490" s="10">
        <v>37.270000000000003</v>
      </c>
      <c r="Z490" s="3">
        <v>45582</v>
      </c>
      <c r="AA490" s="3">
        <v>45586</v>
      </c>
      <c r="AB490" t="s">
        <v>2922</v>
      </c>
      <c r="AC490">
        <v>4</v>
      </c>
    </row>
    <row r="491" spans="1:29" x14ac:dyDescent="0.3">
      <c r="A491" s="3">
        <v>45819</v>
      </c>
      <c r="B491" s="3" t="str">
        <f>TEXT(CleanedTable[[#This Row],[OrderDate]],"mmm")</f>
        <v>Jun</v>
      </c>
      <c r="C491" s="3" t="str">
        <f>TEXT(CleanedTable[[#This Row],[OrderDate]],"yyyy")</f>
        <v>2025</v>
      </c>
      <c r="D491" s="3" t="str">
        <f>TEXT(CleanedTable[[#This Row],[OrderDate]],"mmm yyyy")</f>
        <v>Jun 2025</v>
      </c>
      <c r="E491" t="s">
        <v>19</v>
      </c>
      <c r="F491" t="s">
        <v>25</v>
      </c>
      <c r="G491" s="12">
        <v>15</v>
      </c>
      <c r="H491" s="8">
        <v>13.66</v>
      </c>
      <c r="I491" t="s">
        <v>31</v>
      </c>
      <c r="J491" t="s">
        <v>36</v>
      </c>
      <c r="K491" s="10">
        <v>0.1</v>
      </c>
      <c r="L491" t="s">
        <v>38</v>
      </c>
      <c r="M491">
        <v>184.41</v>
      </c>
      <c r="N491">
        <v>122.94</v>
      </c>
      <c r="O491" s="10">
        <v>23.43</v>
      </c>
      <c r="P491" s="10">
        <v>0.12705384740523834</v>
      </c>
      <c r="Q491" s="8">
        <v>184.41</v>
      </c>
      <c r="R491" t="s">
        <v>46</v>
      </c>
      <c r="S491" t="s">
        <v>48</v>
      </c>
      <c r="T491" t="s">
        <v>2931</v>
      </c>
      <c r="U491">
        <v>0</v>
      </c>
      <c r="V491" t="str">
        <f>IF(CleanedTable[[#This Row],[Returned]] = 0,"NO","Yes")</f>
        <v>NO</v>
      </c>
      <c r="W491" t="s">
        <v>540</v>
      </c>
      <c r="X491" t="s">
        <v>2025</v>
      </c>
      <c r="Y491" s="10">
        <v>38.04</v>
      </c>
      <c r="Z491" s="3">
        <v>45819</v>
      </c>
      <c r="AA491" s="3">
        <v>45825</v>
      </c>
      <c r="AB491" t="s">
        <v>2922</v>
      </c>
      <c r="AC491">
        <v>6</v>
      </c>
    </row>
    <row r="492" spans="1:29" x14ac:dyDescent="0.3">
      <c r="A492" s="3">
        <v>45310</v>
      </c>
      <c r="B492" s="3" t="str">
        <f>TEXT(CleanedTable[[#This Row],[OrderDate]],"mmm")</f>
        <v>Jan</v>
      </c>
      <c r="C492" s="3" t="str">
        <f>TEXT(CleanedTable[[#This Row],[OrderDate]],"yyyy")</f>
        <v>2024</v>
      </c>
      <c r="D492" s="3" t="str">
        <f>TEXT(CleanedTable[[#This Row],[OrderDate]],"mmm yyyy")</f>
        <v>Jan 2024</v>
      </c>
      <c r="E492" t="s">
        <v>23</v>
      </c>
      <c r="F492" t="s">
        <v>26</v>
      </c>
      <c r="G492" s="12">
        <v>6</v>
      </c>
      <c r="H492" s="8">
        <v>148.22999999999999</v>
      </c>
      <c r="I492" t="s">
        <v>31</v>
      </c>
      <c r="J492" t="s">
        <v>36</v>
      </c>
      <c r="K492" s="10">
        <v>0.1</v>
      </c>
      <c r="L492" t="s">
        <v>37</v>
      </c>
      <c r="M492">
        <v>800.44199999999989</v>
      </c>
      <c r="N492">
        <v>533.62799999999993</v>
      </c>
      <c r="O492" s="10">
        <v>247.23399999999998</v>
      </c>
      <c r="P492" s="10">
        <v>0.30887184830381215</v>
      </c>
      <c r="Q492" s="8">
        <v>800.44199999999989</v>
      </c>
      <c r="R492" t="s">
        <v>45</v>
      </c>
      <c r="S492" t="s">
        <v>48</v>
      </c>
      <c r="T492" t="s">
        <v>2931</v>
      </c>
      <c r="U492">
        <v>0</v>
      </c>
      <c r="V492" t="str">
        <f>IF(CleanedTable[[#This Row],[Returned]] = 0,"NO","Yes")</f>
        <v>NO</v>
      </c>
      <c r="W492" t="s">
        <v>541</v>
      </c>
      <c r="X492" t="s">
        <v>2026</v>
      </c>
      <c r="Y492" s="10">
        <v>19.579999999999998</v>
      </c>
      <c r="Z492" s="3">
        <v>45310</v>
      </c>
      <c r="AA492" s="3">
        <v>45320</v>
      </c>
      <c r="AB492" t="s">
        <v>2926</v>
      </c>
      <c r="AC492">
        <v>10</v>
      </c>
    </row>
    <row r="493" spans="1:29" x14ac:dyDescent="0.3">
      <c r="A493" s="3">
        <v>45263</v>
      </c>
      <c r="B493" s="3" t="str">
        <f>TEXT(CleanedTable[[#This Row],[OrderDate]],"mmm")</f>
        <v>Dec</v>
      </c>
      <c r="C493" s="3" t="str">
        <f>TEXT(CleanedTable[[#This Row],[OrderDate]],"yyyy")</f>
        <v>2023</v>
      </c>
      <c r="D493" s="3" t="str">
        <f>TEXT(CleanedTable[[#This Row],[OrderDate]],"mmm yyyy")</f>
        <v>Dec 2023</v>
      </c>
      <c r="E493" t="s">
        <v>19</v>
      </c>
      <c r="F493" t="s">
        <v>27</v>
      </c>
      <c r="G493" s="12">
        <v>11</v>
      </c>
      <c r="H493" s="8">
        <v>495.03</v>
      </c>
      <c r="I493" t="s">
        <v>34</v>
      </c>
      <c r="J493" t="s">
        <v>35</v>
      </c>
      <c r="K493" s="10">
        <v>0.15</v>
      </c>
      <c r="L493" t="s">
        <v>39</v>
      </c>
      <c r="M493">
        <v>4628.5304999999998</v>
      </c>
      <c r="N493">
        <v>3267.1979999999999</v>
      </c>
      <c r="O493" s="10">
        <v>1333.9625000000001</v>
      </c>
      <c r="P493" s="10">
        <v>0.28820432316477124</v>
      </c>
      <c r="Q493" s="8">
        <v>4628.5304999999998</v>
      </c>
      <c r="R493" t="s">
        <v>47</v>
      </c>
      <c r="S493" t="s">
        <v>50</v>
      </c>
      <c r="T493" t="s">
        <v>2931</v>
      </c>
      <c r="U493">
        <v>0</v>
      </c>
      <c r="V493" t="str">
        <f>IF(CleanedTable[[#This Row],[Returned]] = 0,"NO","Yes")</f>
        <v>NO</v>
      </c>
      <c r="W493" t="s">
        <v>542</v>
      </c>
      <c r="X493" t="s">
        <v>2027</v>
      </c>
      <c r="Y493" s="10">
        <v>27.37</v>
      </c>
      <c r="Z493" s="3">
        <v>45263</v>
      </c>
      <c r="AA493" s="3">
        <v>45265</v>
      </c>
      <c r="AB493" t="s">
        <v>2922</v>
      </c>
      <c r="AC493">
        <v>2</v>
      </c>
    </row>
    <row r="494" spans="1:29" x14ac:dyDescent="0.3">
      <c r="A494" s="3">
        <v>45462</v>
      </c>
      <c r="B494" s="3" t="str">
        <f>TEXT(CleanedTable[[#This Row],[OrderDate]],"mmm")</f>
        <v>Jun</v>
      </c>
      <c r="C494" s="3" t="str">
        <f>TEXT(CleanedTable[[#This Row],[OrderDate]],"yyyy")</f>
        <v>2024</v>
      </c>
      <c r="D494" s="3" t="str">
        <f>TEXT(CleanedTable[[#This Row],[OrderDate]],"mmm yyyy")</f>
        <v>Jun 2024</v>
      </c>
      <c r="E494" t="s">
        <v>22</v>
      </c>
      <c r="F494" t="s">
        <v>27</v>
      </c>
      <c r="G494" s="12">
        <v>6</v>
      </c>
      <c r="H494" s="8">
        <v>247.2</v>
      </c>
      <c r="I494" t="s">
        <v>32</v>
      </c>
      <c r="J494" t="s">
        <v>35</v>
      </c>
      <c r="K494" s="10">
        <v>0.05</v>
      </c>
      <c r="L494" t="s">
        <v>41</v>
      </c>
      <c r="M494">
        <v>1409.0399999999997</v>
      </c>
      <c r="N494">
        <v>889.92</v>
      </c>
      <c r="O494" s="10">
        <v>500.36999999999978</v>
      </c>
      <c r="P494" s="10">
        <v>0.35511412025208644</v>
      </c>
      <c r="Q494" s="8">
        <v>1409.04</v>
      </c>
      <c r="R494" t="s">
        <v>45</v>
      </c>
      <c r="S494" t="s">
        <v>48</v>
      </c>
      <c r="T494" t="s">
        <v>2931</v>
      </c>
      <c r="U494">
        <v>0</v>
      </c>
      <c r="V494" t="str">
        <f>IF(CleanedTable[[#This Row],[Returned]] = 0,"NO","Yes")</f>
        <v>NO</v>
      </c>
      <c r="W494" t="s">
        <v>543</v>
      </c>
      <c r="X494" t="s">
        <v>1997</v>
      </c>
      <c r="Y494" s="10">
        <v>18.75</v>
      </c>
      <c r="Z494" s="3">
        <v>45462</v>
      </c>
      <c r="AA494" s="3">
        <v>45470</v>
      </c>
      <c r="AB494" t="s">
        <v>2925</v>
      </c>
      <c r="AC494">
        <v>8</v>
      </c>
    </row>
    <row r="495" spans="1:29" x14ac:dyDescent="0.3">
      <c r="A495" s="3">
        <v>45581</v>
      </c>
      <c r="B495" s="3" t="str">
        <f>TEXT(CleanedTable[[#This Row],[OrderDate]],"mmm")</f>
        <v>Oct</v>
      </c>
      <c r="C495" s="3" t="str">
        <f>TEXT(CleanedTable[[#This Row],[OrderDate]],"yyyy")</f>
        <v>2024</v>
      </c>
      <c r="D495" s="3" t="str">
        <f>TEXT(CleanedTable[[#This Row],[OrderDate]],"mmm yyyy")</f>
        <v>Oct 2024</v>
      </c>
      <c r="E495" t="s">
        <v>23</v>
      </c>
      <c r="F495" t="s">
        <v>29</v>
      </c>
      <c r="G495" s="12">
        <v>19</v>
      </c>
      <c r="H495" s="8">
        <v>207.45</v>
      </c>
      <c r="I495" t="s">
        <v>33</v>
      </c>
      <c r="J495" t="s">
        <v>36</v>
      </c>
      <c r="K495" s="10">
        <v>0.05</v>
      </c>
      <c r="L495" t="s">
        <v>42</v>
      </c>
      <c r="M495">
        <v>3744.4724999999994</v>
      </c>
      <c r="N495">
        <v>2364.9299999999998</v>
      </c>
      <c r="O495" s="10">
        <v>1368.0424999999996</v>
      </c>
      <c r="P495" s="10">
        <v>0.3653498590255369</v>
      </c>
      <c r="Q495" s="8">
        <v>3744.4724999999989</v>
      </c>
      <c r="R495" t="s">
        <v>46</v>
      </c>
      <c r="S495" t="s">
        <v>49</v>
      </c>
      <c r="T495" t="s">
        <v>2931</v>
      </c>
      <c r="U495">
        <v>0</v>
      </c>
      <c r="V495" t="str">
        <f>IF(CleanedTable[[#This Row],[Returned]] = 0,"NO","Yes")</f>
        <v>NO</v>
      </c>
      <c r="W495" t="s">
        <v>544</v>
      </c>
      <c r="X495" t="s">
        <v>2028</v>
      </c>
      <c r="Y495" s="10">
        <v>11.5</v>
      </c>
      <c r="Z495" s="3">
        <v>45581</v>
      </c>
      <c r="AA495" s="3">
        <v>45586</v>
      </c>
      <c r="AB495" t="s">
        <v>2926</v>
      </c>
      <c r="AC495">
        <v>5</v>
      </c>
    </row>
    <row r="496" spans="1:29" x14ac:dyDescent="0.3">
      <c r="A496" s="3">
        <v>45680</v>
      </c>
      <c r="B496" s="3" t="str">
        <f>TEXT(CleanedTable[[#This Row],[OrderDate]],"mmm")</f>
        <v>Jan</v>
      </c>
      <c r="C496" s="3" t="str">
        <f>TEXT(CleanedTable[[#This Row],[OrderDate]],"yyyy")</f>
        <v>2025</v>
      </c>
      <c r="D496" s="3" t="str">
        <f>TEXT(CleanedTable[[#This Row],[OrderDate]],"mmm yyyy")</f>
        <v>Jan 2025</v>
      </c>
      <c r="E496" t="s">
        <v>19</v>
      </c>
      <c r="F496" t="s">
        <v>24</v>
      </c>
      <c r="G496" s="12">
        <v>2</v>
      </c>
      <c r="H496" s="8">
        <v>370.78</v>
      </c>
      <c r="I496" t="s">
        <v>34</v>
      </c>
      <c r="J496" t="s">
        <v>35</v>
      </c>
      <c r="K496" s="10">
        <v>0.15</v>
      </c>
      <c r="L496" t="s">
        <v>41</v>
      </c>
      <c r="M496">
        <v>630.32599999999991</v>
      </c>
      <c r="N496">
        <v>444.93599999999998</v>
      </c>
      <c r="O496" s="10">
        <v>164.93999999999994</v>
      </c>
      <c r="P496" s="10">
        <v>0.26167411783743644</v>
      </c>
      <c r="Q496" s="8">
        <v>630.32599999999991</v>
      </c>
      <c r="R496" t="s">
        <v>43</v>
      </c>
      <c r="S496" t="s">
        <v>48</v>
      </c>
      <c r="T496" t="s">
        <v>2931</v>
      </c>
      <c r="U496">
        <v>0</v>
      </c>
      <c r="V496" t="str">
        <f>IF(CleanedTable[[#This Row],[Returned]] = 0,"NO","Yes")</f>
        <v>NO</v>
      </c>
      <c r="W496" t="s">
        <v>545</v>
      </c>
      <c r="X496" t="s">
        <v>2029</v>
      </c>
      <c r="Y496" s="10">
        <v>20.45</v>
      </c>
      <c r="Z496" s="3">
        <v>45680</v>
      </c>
      <c r="AA496" s="3">
        <v>45684</v>
      </c>
      <c r="AB496" t="s">
        <v>2922</v>
      </c>
      <c r="AC496">
        <v>4</v>
      </c>
    </row>
    <row r="497" spans="1:29" x14ac:dyDescent="0.3">
      <c r="A497" s="3">
        <v>45201</v>
      </c>
      <c r="B497" s="3" t="str">
        <f>TEXT(CleanedTable[[#This Row],[OrderDate]],"mmm")</f>
        <v>Oct</v>
      </c>
      <c r="C497" s="3" t="str">
        <f>TEXT(CleanedTable[[#This Row],[OrderDate]],"yyyy")</f>
        <v>2023</v>
      </c>
      <c r="D497" s="3" t="str">
        <f>TEXT(CleanedTable[[#This Row],[OrderDate]],"mmm yyyy")</f>
        <v>Oct 2023</v>
      </c>
      <c r="E497" t="s">
        <v>22</v>
      </c>
      <c r="F497" t="s">
        <v>24</v>
      </c>
      <c r="G497" s="12">
        <v>9</v>
      </c>
      <c r="H497" s="8">
        <v>146.72</v>
      </c>
      <c r="I497" t="s">
        <v>32</v>
      </c>
      <c r="J497" t="s">
        <v>35</v>
      </c>
      <c r="K497" s="10">
        <v>0.1</v>
      </c>
      <c r="L497" t="s">
        <v>41</v>
      </c>
      <c r="M497">
        <v>1188.432</v>
      </c>
      <c r="N497">
        <v>792.28800000000001</v>
      </c>
      <c r="O497" s="10">
        <v>385.69400000000002</v>
      </c>
      <c r="P497" s="10">
        <v>0.32454023452751191</v>
      </c>
      <c r="Q497" s="8">
        <v>1188.432</v>
      </c>
      <c r="R497" t="s">
        <v>45</v>
      </c>
      <c r="T497" t="s">
        <v>2932</v>
      </c>
      <c r="U497">
        <v>0</v>
      </c>
      <c r="V497" t="str">
        <f>IF(CleanedTable[[#This Row],[Returned]] = 0,"NO","Yes")</f>
        <v>NO</v>
      </c>
      <c r="W497" t="s">
        <v>546</v>
      </c>
      <c r="X497" t="s">
        <v>2030</v>
      </c>
      <c r="Y497" s="10">
        <v>10.45</v>
      </c>
      <c r="Z497" s="3">
        <v>45201</v>
      </c>
      <c r="AA497" s="3">
        <v>45209</v>
      </c>
      <c r="AB497" t="s">
        <v>2925</v>
      </c>
      <c r="AC497">
        <v>8</v>
      </c>
    </row>
    <row r="498" spans="1:29" x14ac:dyDescent="0.3">
      <c r="A498" s="3">
        <v>45235</v>
      </c>
      <c r="B498" s="3" t="str">
        <f>TEXT(CleanedTable[[#This Row],[OrderDate]],"mmm")</f>
        <v>Nov</v>
      </c>
      <c r="C498" s="3" t="str">
        <f>TEXT(CleanedTable[[#This Row],[OrderDate]],"yyyy")</f>
        <v>2023</v>
      </c>
      <c r="D498" s="3" t="str">
        <f>TEXT(CleanedTable[[#This Row],[OrderDate]],"mmm yyyy")</f>
        <v>Nov 2023</v>
      </c>
      <c r="E498" t="s">
        <v>19</v>
      </c>
      <c r="F498" t="s">
        <v>26</v>
      </c>
      <c r="G498" s="12">
        <v>12</v>
      </c>
      <c r="H498" s="8">
        <v>159.85</v>
      </c>
      <c r="I498" t="s">
        <v>34</v>
      </c>
      <c r="J498" t="s">
        <v>36</v>
      </c>
      <c r="K498" s="10">
        <v>0.1</v>
      </c>
      <c r="L498" t="s">
        <v>38</v>
      </c>
      <c r="M498">
        <v>1726.3799999999999</v>
      </c>
      <c r="N498">
        <v>1150.92</v>
      </c>
      <c r="O498" s="10">
        <v>542.8499999999998</v>
      </c>
      <c r="P498" s="10">
        <v>0.31444409689639585</v>
      </c>
      <c r="Q498" s="8">
        <v>1726.38</v>
      </c>
      <c r="R498" t="s">
        <v>47</v>
      </c>
      <c r="S498" t="s">
        <v>50</v>
      </c>
      <c r="T498" t="s">
        <v>2931</v>
      </c>
      <c r="U498">
        <v>0</v>
      </c>
      <c r="V498" t="str">
        <f>IF(CleanedTable[[#This Row],[Returned]] = 0,"NO","Yes")</f>
        <v>NO</v>
      </c>
      <c r="W498" t="s">
        <v>547</v>
      </c>
      <c r="X498" t="s">
        <v>2031</v>
      </c>
      <c r="Y498" s="10">
        <v>32.61</v>
      </c>
      <c r="Z498" s="3">
        <v>45235</v>
      </c>
      <c r="AA498" s="3">
        <v>45237</v>
      </c>
      <c r="AB498" t="s">
        <v>2922</v>
      </c>
      <c r="AC498">
        <v>2</v>
      </c>
    </row>
    <row r="499" spans="1:29" x14ac:dyDescent="0.3">
      <c r="A499" s="3">
        <v>45095</v>
      </c>
      <c r="B499" s="3" t="str">
        <f>TEXT(CleanedTable[[#This Row],[OrderDate]],"mmm")</f>
        <v>Jun</v>
      </c>
      <c r="C499" s="3" t="str">
        <f>TEXT(CleanedTable[[#This Row],[OrderDate]],"yyyy")</f>
        <v>2023</v>
      </c>
      <c r="D499" s="3" t="str">
        <f>TEXT(CleanedTable[[#This Row],[OrderDate]],"mmm yyyy")</f>
        <v>Jun 2023</v>
      </c>
      <c r="E499" t="s">
        <v>20</v>
      </c>
      <c r="F499" t="s">
        <v>30</v>
      </c>
      <c r="G499" s="12">
        <v>13</v>
      </c>
      <c r="H499" s="8">
        <v>181.68</v>
      </c>
      <c r="I499" t="s">
        <v>33</v>
      </c>
      <c r="J499" t="s">
        <v>35</v>
      </c>
      <c r="K499" s="10">
        <v>0.05</v>
      </c>
      <c r="L499" t="s">
        <v>41</v>
      </c>
      <c r="M499">
        <v>2243.748</v>
      </c>
      <c r="N499">
        <v>1417.104</v>
      </c>
      <c r="O499" s="10">
        <v>811.95399999999995</v>
      </c>
      <c r="P499" s="10">
        <v>0.36187397158682699</v>
      </c>
      <c r="Q499" s="8">
        <v>2243.748</v>
      </c>
      <c r="R499" t="s">
        <v>44</v>
      </c>
      <c r="S499" t="s">
        <v>49</v>
      </c>
      <c r="T499" t="s">
        <v>2931</v>
      </c>
      <c r="U499">
        <v>0</v>
      </c>
      <c r="V499" t="str">
        <f>IF(CleanedTable[[#This Row],[Returned]] = 0,"NO","Yes")</f>
        <v>NO</v>
      </c>
      <c r="W499" t="s">
        <v>548</v>
      </c>
      <c r="X499" t="s">
        <v>2032</v>
      </c>
      <c r="Y499" s="10">
        <v>14.69</v>
      </c>
      <c r="Z499" s="3">
        <v>45095</v>
      </c>
      <c r="AA499" s="3">
        <v>45100</v>
      </c>
      <c r="AB499" t="s">
        <v>2923</v>
      </c>
      <c r="AC499">
        <v>5</v>
      </c>
    </row>
    <row r="500" spans="1:29" x14ac:dyDescent="0.3">
      <c r="A500" s="3">
        <v>45488</v>
      </c>
      <c r="B500" s="3" t="str">
        <f>TEXT(CleanedTable[[#This Row],[OrderDate]],"mmm")</f>
        <v>Jul</v>
      </c>
      <c r="C500" s="3" t="str">
        <f>TEXT(CleanedTable[[#This Row],[OrderDate]],"yyyy")</f>
        <v>2024</v>
      </c>
      <c r="D500" s="3" t="str">
        <f>TEXT(CleanedTable[[#This Row],[OrderDate]],"mmm yyyy")</f>
        <v>Jul 2024</v>
      </c>
      <c r="E500" t="s">
        <v>22</v>
      </c>
      <c r="F500" t="s">
        <v>25</v>
      </c>
      <c r="G500" s="12">
        <v>16</v>
      </c>
      <c r="H500" s="8">
        <v>34.159999999999997</v>
      </c>
      <c r="I500" t="s">
        <v>32</v>
      </c>
      <c r="J500" t="s">
        <v>36</v>
      </c>
      <c r="K500" s="10">
        <v>0.15</v>
      </c>
      <c r="L500" t="s">
        <v>42</v>
      </c>
      <c r="M500">
        <v>464.57599999999996</v>
      </c>
      <c r="N500">
        <v>327.93599999999998</v>
      </c>
      <c r="O500" s="10">
        <v>100.30999999999999</v>
      </c>
      <c r="P500" s="10">
        <v>0.21591730954676952</v>
      </c>
      <c r="Q500" s="8">
        <v>464.57600000000002</v>
      </c>
      <c r="R500" t="s">
        <v>47</v>
      </c>
      <c r="S500" t="s">
        <v>49</v>
      </c>
      <c r="T500" t="s">
        <v>2931</v>
      </c>
      <c r="U500">
        <v>0</v>
      </c>
      <c r="V500" t="str">
        <f>IF(CleanedTable[[#This Row],[Returned]] = 0,"NO","Yes")</f>
        <v>NO</v>
      </c>
      <c r="W500" t="s">
        <v>549</v>
      </c>
      <c r="X500" t="s">
        <v>2033</v>
      </c>
      <c r="Y500" s="10">
        <v>36.33</v>
      </c>
      <c r="Z500" s="3">
        <v>45488</v>
      </c>
      <c r="AA500" s="3">
        <v>45494</v>
      </c>
      <c r="AB500" t="s">
        <v>2925</v>
      </c>
      <c r="AC500">
        <v>6</v>
      </c>
    </row>
    <row r="501" spans="1:29" x14ac:dyDescent="0.3">
      <c r="A501" s="3">
        <v>45457</v>
      </c>
      <c r="B501" s="3" t="str">
        <f>TEXT(CleanedTable[[#This Row],[OrderDate]],"mmm")</f>
        <v>Jun</v>
      </c>
      <c r="C501" s="3" t="str">
        <f>TEXT(CleanedTable[[#This Row],[OrderDate]],"yyyy")</f>
        <v>2024</v>
      </c>
      <c r="D501" s="3" t="str">
        <f>TEXT(CleanedTable[[#This Row],[OrderDate]],"mmm yyyy")</f>
        <v>Jun 2024</v>
      </c>
      <c r="E501" t="s">
        <v>22</v>
      </c>
      <c r="F501" t="s">
        <v>24</v>
      </c>
      <c r="G501" s="12">
        <v>2</v>
      </c>
      <c r="H501" s="8">
        <v>287.43</v>
      </c>
      <c r="I501" t="s">
        <v>33</v>
      </c>
      <c r="J501" t="s">
        <v>35</v>
      </c>
      <c r="K501" s="10">
        <v>0.1</v>
      </c>
      <c r="L501" t="s">
        <v>41</v>
      </c>
      <c r="M501">
        <v>517.37400000000002</v>
      </c>
      <c r="N501">
        <v>344.916</v>
      </c>
      <c r="O501" s="10">
        <v>147.11800000000002</v>
      </c>
      <c r="P501" s="10">
        <v>0.28435522465373214</v>
      </c>
      <c r="Q501" s="8">
        <v>517.37400000000002</v>
      </c>
      <c r="R501" t="s">
        <v>47</v>
      </c>
      <c r="S501" t="s">
        <v>50</v>
      </c>
      <c r="T501" t="s">
        <v>2931</v>
      </c>
      <c r="U501">
        <v>0</v>
      </c>
      <c r="V501" t="str">
        <f>IF(CleanedTable[[#This Row],[Returned]] = 0,"NO","Yes")</f>
        <v>NO</v>
      </c>
      <c r="W501" t="s">
        <v>550</v>
      </c>
      <c r="X501" t="s">
        <v>1774</v>
      </c>
      <c r="Y501" s="10">
        <v>25.34</v>
      </c>
      <c r="Z501" s="3">
        <v>45457</v>
      </c>
      <c r="AA501" s="3">
        <v>45466</v>
      </c>
      <c r="AB501" t="s">
        <v>2925</v>
      </c>
      <c r="AC501">
        <v>9</v>
      </c>
    </row>
    <row r="502" spans="1:29" x14ac:dyDescent="0.3">
      <c r="A502" s="3">
        <v>45387</v>
      </c>
      <c r="B502" s="3" t="str">
        <f>TEXT(CleanedTable[[#This Row],[OrderDate]],"mmm")</f>
        <v>Apr</v>
      </c>
      <c r="C502" s="3" t="str">
        <f>TEXT(CleanedTable[[#This Row],[OrderDate]],"yyyy")</f>
        <v>2024</v>
      </c>
      <c r="D502" s="3" t="str">
        <f>TEXT(CleanedTable[[#This Row],[OrderDate]],"mmm yyyy")</f>
        <v>Apr 2024</v>
      </c>
      <c r="E502" t="s">
        <v>19</v>
      </c>
      <c r="F502" t="s">
        <v>28</v>
      </c>
      <c r="G502" s="12">
        <v>15</v>
      </c>
      <c r="H502" s="8">
        <v>405.95</v>
      </c>
      <c r="I502" t="s">
        <v>34</v>
      </c>
      <c r="J502" t="s">
        <v>35</v>
      </c>
      <c r="K502" s="10">
        <v>0.15</v>
      </c>
      <c r="L502" t="s">
        <v>37</v>
      </c>
      <c r="M502">
        <v>5175.8625000000002</v>
      </c>
      <c r="N502">
        <v>3653.5499999999997</v>
      </c>
      <c r="O502" s="10">
        <v>1490.2725000000005</v>
      </c>
      <c r="P502" s="10">
        <v>0.28792737442310345</v>
      </c>
      <c r="Q502" s="8">
        <v>5175.8625000000002</v>
      </c>
      <c r="R502" t="s">
        <v>44</v>
      </c>
      <c r="T502" t="s">
        <v>2932</v>
      </c>
      <c r="U502">
        <v>0</v>
      </c>
      <c r="V502" t="str">
        <f>IF(CleanedTable[[#This Row],[Returned]] = 0,"NO","Yes")</f>
        <v>NO</v>
      </c>
      <c r="W502" t="s">
        <v>551</v>
      </c>
      <c r="X502" t="s">
        <v>2034</v>
      </c>
      <c r="Y502" s="10">
        <v>32.04</v>
      </c>
      <c r="Z502" s="3">
        <v>45387</v>
      </c>
      <c r="AA502" s="3">
        <v>45392</v>
      </c>
      <c r="AB502" t="s">
        <v>2922</v>
      </c>
      <c r="AC502">
        <v>5</v>
      </c>
    </row>
    <row r="503" spans="1:29" x14ac:dyDescent="0.3">
      <c r="A503" s="3">
        <v>44984</v>
      </c>
      <c r="B503" s="3" t="str">
        <f>TEXT(CleanedTable[[#This Row],[OrderDate]],"mmm")</f>
        <v>Feb</v>
      </c>
      <c r="C503" s="3" t="str">
        <f>TEXT(CleanedTable[[#This Row],[OrderDate]],"yyyy")</f>
        <v>2023</v>
      </c>
      <c r="D503" s="3" t="str">
        <f>TEXT(CleanedTable[[#This Row],[OrderDate]],"mmm yyyy")</f>
        <v>Feb 2023</v>
      </c>
      <c r="E503" t="s">
        <v>21</v>
      </c>
      <c r="F503" t="s">
        <v>24</v>
      </c>
      <c r="G503" s="12">
        <v>1</v>
      </c>
      <c r="H503" s="8">
        <v>430.61</v>
      </c>
      <c r="I503" t="s">
        <v>31</v>
      </c>
      <c r="J503" t="s">
        <v>36</v>
      </c>
      <c r="K503" s="10">
        <v>0</v>
      </c>
      <c r="L503" t="s">
        <v>38</v>
      </c>
      <c r="M503">
        <v>430.61</v>
      </c>
      <c r="N503">
        <v>258.36599999999999</v>
      </c>
      <c r="O503" s="10">
        <v>157.71400000000003</v>
      </c>
      <c r="P503" s="10">
        <v>0.36625717006107622</v>
      </c>
      <c r="Q503" s="8">
        <v>430.61</v>
      </c>
      <c r="R503" t="s">
        <v>44</v>
      </c>
      <c r="S503" t="s">
        <v>50</v>
      </c>
      <c r="T503" t="s">
        <v>2931</v>
      </c>
      <c r="U503">
        <v>0</v>
      </c>
      <c r="V503" t="str">
        <f>IF(CleanedTable[[#This Row],[Returned]] = 0,"NO","Yes")</f>
        <v>NO</v>
      </c>
      <c r="W503" t="s">
        <v>552</v>
      </c>
      <c r="X503" t="s">
        <v>2035</v>
      </c>
      <c r="Y503" s="10">
        <v>14.53</v>
      </c>
      <c r="Z503" s="3">
        <v>44984</v>
      </c>
      <c r="AA503" s="3">
        <v>44992</v>
      </c>
      <c r="AB503" t="s">
        <v>2924</v>
      </c>
      <c r="AC503">
        <v>8</v>
      </c>
    </row>
    <row r="504" spans="1:29" x14ac:dyDescent="0.3">
      <c r="A504" s="3">
        <v>45138</v>
      </c>
      <c r="B504" s="3" t="str">
        <f>TEXT(CleanedTable[[#This Row],[OrderDate]],"mmm")</f>
        <v>Jul</v>
      </c>
      <c r="C504" s="3" t="str">
        <f>TEXT(CleanedTable[[#This Row],[OrderDate]],"yyyy")</f>
        <v>2023</v>
      </c>
      <c r="D504" s="3" t="str">
        <f>TEXT(CleanedTable[[#This Row],[OrderDate]],"mmm yyyy")</f>
        <v>Jul 2023</v>
      </c>
      <c r="E504" t="s">
        <v>23</v>
      </c>
      <c r="F504" t="s">
        <v>24</v>
      </c>
      <c r="G504" s="12">
        <v>5</v>
      </c>
      <c r="H504" s="8">
        <v>508.05</v>
      </c>
      <c r="I504" t="s">
        <v>34</v>
      </c>
      <c r="J504" t="s">
        <v>36</v>
      </c>
      <c r="K504" s="10">
        <v>0</v>
      </c>
      <c r="L504" t="s">
        <v>39</v>
      </c>
      <c r="M504">
        <v>2540.25</v>
      </c>
      <c r="N504">
        <v>1524.1499999999999</v>
      </c>
      <c r="O504" s="10">
        <v>980.47000000000014</v>
      </c>
      <c r="P504" s="10">
        <v>0.3859738214742644</v>
      </c>
      <c r="Q504" s="8">
        <v>2540.25</v>
      </c>
      <c r="R504" t="s">
        <v>45</v>
      </c>
      <c r="S504" t="s">
        <v>50</v>
      </c>
      <c r="T504" t="s">
        <v>2931</v>
      </c>
      <c r="U504">
        <v>1</v>
      </c>
      <c r="V504" t="str">
        <f>IF(CleanedTable[[#This Row],[Returned]] = 0,"NO","Yes")</f>
        <v>Yes</v>
      </c>
      <c r="W504" t="s">
        <v>553</v>
      </c>
      <c r="X504" t="s">
        <v>2036</v>
      </c>
      <c r="Y504" s="10">
        <v>35.630000000000003</v>
      </c>
      <c r="Z504" s="3">
        <v>45138</v>
      </c>
      <c r="AA504" s="3">
        <v>45147</v>
      </c>
      <c r="AB504" t="s">
        <v>2926</v>
      </c>
      <c r="AC504">
        <v>9</v>
      </c>
    </row>
    <row r="505" spans="1:29" x14ac:dyDescent="0.3">
      <c r="A505" s="3">
        <v>44988</v>
      </c>
      <c r="B505" s="3" t="str">
        <f>TEXT(CleanedTable[[#This Row],[OrderDate]],"mmm")</f>
        <v>Mar</v>
      </c>
      <c r="C505" s="3" t="str">
        <f>TEXT(CleanedTable[[#This Row],[OrderDate]],"yyyy")</f>
        <v>2023</v>
      </c>
      <c r="D505" s="3" t="str">
        <f>TEXT(CleanedTable[[#This Row],[OrderDate]],"mmm yyyy")</f>
        <v>Mar 2023</v>
      </c>
      <c r="E505" t="s">
        <v>23</v>
      </c>
      <c r="F505" t="s">
        <v>24</v>
      </c>
      <c r="G505" s="12">
        <v>13</v>
      </c>
      <c r="H505" s="8">
        <v>522.97</v>
      </c>
      <c r="I505" t="s">
        <v>33</v>
      </c>
      <c r="J505" t="s">
        <v>36</v>
      </c>
      <c r="K505" s="10">
        <v>0.15</v>
      </c>
      <c r="L505" t="s">
        <v>40</v>
      </c>
      <c r="M505">
        <v>5778.8185000000003</v>
      </c>
      <c r="N505">
        <v>4079.1659999999997</v>
      </c>
      <c r="O505" s="10">
        <v>1665.7525000000005</v>
      </c>
      <c r="P505" s="10">
        <v>0.2882513960249834</v>
      </c>
      <c r="Q505" s="8">
        <v>5778.8185000000003</v>
      </c>
      <c r="R505" t="s">
        <v>46</v>
      </c>
      <c r="S505" t="s">
        <v>48</v>
      </c>
      <c r="T505" t="s">
        <v>2931</v>
      </c>
      <c r="U505">
        <v>0</v>
      </c>
      <c r="V505" t="str">
        <f>IF(CleanedTable[[#This Row],[Returned]] = 0,"NO","Yes")</f>
        <v>NO</v>
      </c>
      <c r="W505" t="s">
        <v>554</v>
      </c>
      <c r="X505" t="s">
        <v>2037</v>
      </c>
      <c r="Y505" s="10">
        <v>33.9</v>
      </c>
      <c r="Z505" s="3">
        <v>44988</v>
      </c>
      <c r="AA505" s="3">
        <v>44995</v>
      </c>
      <c r="AB505" t="s">
        <v>2926</v>
      </c>
      <c r="AC505">
        <v>7</v>
      </c>
    </row>
    <row r="506" spans="1:29" x14ac:dyDescent="0.3">
      <c r="A506" s="3">
        <v>45042</v>
      </c>
      <c r="B506" s="3" t="str">
        <f>TEXT(CleanedTable[[#This Row],[OrderDate]],"mmm")</f>
        <v>Apr</v>
      </c>
      <c r="C506" s="3" t="str">
        <f>TEXT(CleanedTable[[#This Row],[OrderDate]],"yyyy")</f>
        <v>2023</v>
      </c>
      <c r="D506" s="3" t="str">
        <f>TEXT(CleanedTable[[#This Row],[OrderDate]],"mmm yyyy")</f>
        <v>Apr 2023</v>
      </c>
      <c r="E506" t="s">
        <v>20</v>
      </c>
      <c r="F506" t="s">
        <v>24</v>
      </c>
      <c r="G506" s="12">
        <v>17</v>
      </c>
      <c r="H506" s="8">
        <v>260.25</v>
      </c>
      <c r="I506" t="s">
        <v>34</v>
      </c>
      <c r="J506" t="s">
        <v>35</v>
      </c>
      <c r="K506" s="10">
        <v>0.1</v>
      </c>
      <c r="L506" t="s">
        <v>39</v>
      </c>
      <c r="M506">
        <v>3981.8250000000003</v>
      </c>
      <c r="N506">
        <v>2654.55</v>
      </c>
      <c r="O506" s="10">
        <v>1304.0150000000001</v>
      </c>
      <c r="P506" s="10">
        <v>0.32749179082455909</v>
      </c>
      <c r="Q506" s="8">
        <v>3981.8249999999998</v>
      </c>
      <c r="R506" t="s">
        <v>45</v>
      </c>
      <c r="S506" t="s">
        <v>49</v>
      </c>
      <c r="T506" t="s">
        <v>2931</v>
      </c>
      <c r="U506">
        <v>0</v>
      </c>
      <c r="V506" t="str">
        <f>IF(CleanedTable[[#This Row],[Returned]] = 0,"NO","Yes")</f>
        <v>NO</v>
      </c>
      <c r="W506" t="s">
        <v>555</v>
      </c>
      <c r="X506" t="s">
        <v>2038</v>
      </c>
      <c r="Y506" s="10">
        <v>23.26</v>
      </c>
      <c r="Z506" s="3">
        <v>45042</v>
      </c>
      <c r="AA506" s="3">
        <v>45044</v>
      </c>
      <c r="AB506" t="s">
        <v>2923</v>
      </c>
      <c r="AC506">
        <v>2</v>
      </c>
    </row>
    <row r="507" spans="1:29" x14ac:dyDescent="0.3">
      <c r="A507" s="3">
        <v>45584</v>
      </c>
      <c r="B507" s="3" t="str">
        <f>TEXT(CleanedTable[[#This Row],[OrderDate]],"mmm")</f>
        <v>Oct</v>
      </c>
      <c r="C507" s="3" t="str">
        <f>TEXT(CleanedTable[[#This Row],[OrderDate]],"yyyy")</f>
        <v>2024</v>
      </c>
      <c r="D507" s="3" t="str">
        <f>TEXT(CleanedTable[[#This Row],[OrderDate]],"mmm yyyy")</f>
        <v>Oct 2024</v>
      </c>
      <c r="E507" t="s">
        <v>19</v>
      </c>
      <c r="F507" t="s">
        <v>25</v>
      </c>
      <c r="G507" s="12">
        <v>6</v>
      </c>
      <c r="H507" s="8">
        <v>549.21</v>
      </c>
      <c r="I507" t="s">
        <v>31</v>
      </c>
      <c r="J507" t="s">
        <v>36</v>
      </c>
      <c r="K507" s="10">
        <v>0.1</v>
      </c>
      <c r="L507" t="s">
        <v>37</v>
      </c>
      <c r="M507">
        <v>2965.7340000000004</v>
      </c>
      <c r="N507">
        <v>1977.1559999999999</v>
      </c>
      <c r="O507" s="10">
        <v>976.28800000000047</v>
      </c>
      <c r="P507" s="10">
        <v>0.32918933390519861</v>
      </c>
      <c r="Q507" s="8">
        <v>2965.7339999999999</v>
      </c>
      <c r="R507" t="s">
        <v>45</v>
      </c>
      <c r="S507" t="s">
        <v>50</v>
      </c>
      <c r="T507" t="s">
        <v>2931</v>
      </c>
      <c r="U507">
        <v>1</v>
      </c>
      <c r="V507" t="str">
        <f>IF(CleanedTable[[#This Row],[Returned]] = 0,"NO","Yes")</f>
        <v>Yes</v>
      </c>
      <c r="W507" t="s">
        <v>556</v>
      </c>
      <c r="X507" t="s">
        <v>2039</v>
      </c>
      <c r="Y507" s="10">
        <v>12.29</v>
      </c>
      <c r="Z507" s="3">
        <v>45584</v>
      </c>
      <c r="AA507" s="3">
        <v>45592</v>
      </c>
      <c r="AB507" t="s">
        <v>2922</v>
      </c>
      <c r="AC507">
        <v>8</v>
      </c>
    </row>
    <row r="508" spans="1:29" x14ac:dyDescent="0.3">
      <c r="A508" s="3">
        <v>45473</v>
      </c>
      <c r="B508" s="3" t="str">
        <f>TEXT(CleanedTable[[#This Row],[OrderDate]],"mmm")</f>
        <v>Jun</v>
      </c>
      <c r="C508" s="3" t="str">
        <f>TEXT(CleanedTable[[#This Row],[OrderDate]],"yyyy")</f>
        <v>2024</v>
      </c>
      <c r="D508" s="3" t="str">
        <f>TEXT(CleanedTable[[#This Row],[OrderDate]],"mmm yyyy")</f>
        <v>Jun 2024</v>
      </c>
      <c r="E508" t="s">
        <v>22</v>
      </c>
      <c r="F508" t="s">
        <v>30</v>
      </c>
      <c r="G508" s="12">
        <v>17</v>
      </c>
      <c r="H508" s="8">
        <v>472.33</v>
      </c>
      <c r="I508" t="s">
        <v>33</v>
      </c>
      <c r="J508" t="s">
        <v>36</v>
      </c>
      <c r="K508" s="10">
        <v>0.15</v>
      </c>
      <c r="L508" t="s">
        <v>40</v>
      </c>
      <c r="M508">
        <v>6825.1684999999998</v>
      </c>
      <c r="N508">
        <v>4817.7659999999996</v>
      </c>
      <c r="O508" s="10">
        <v>1984.7725</v>
      </c>
      <c r="P508" s="10">
        <v>0.29080197800244789</v>
      </c>
      <c r="Q508" s="8">
        <v>6825.1684999999998</v>
      </c>
      <c r="R508" t="s">
        <v>46</v>
      </c>
      <c r="S508" t="s">
        <v>50</v>
      </c>
      <c r="T508" t="s">
        <v>2931</v>
      </c>
      <c r="U508">
        <v>0</v>
      </c>
      <c r="V508" t="str">
        <f>IF(CleanedTable[[#This Row],[Returned]] = 0,"NO","Yes")</f>
        <v>NO</v>
      </c>
      <c r="W508" t="s">
        <v>557</v>
      </c>
      <c r="X508" t="s">
        <v>2040</v>
      </c>
      <c r="Y508" s="10">
        <v>22.63</v>
      </c>
      <c r="Z508" s="3">
        <v>45473</v>
      </c>
      <c r="AA508" s="3">
        <v>45477</v>
      </c>
      <c r="AB508" t="s">
        <v>2925</v>
      </c>
      <c r="AC508">
        <v>4</v>
      </c>
    </row>
    <row r="509" spans="1:29" x14ac:dyDescent="0.3">
      <c r="A509" s="3">
        <v>45576</v>
      </c>
      <c r="B509" s="3" t="str">
        <f>TEXT(CleanedTable[[#This Row],[OrderDate]],"mmm")</f>
        <v>Oct</v>
      </c>
      <c r="C509" s="3" t="str">
        <f>TEXT(CleanedTable[[#This Row],[OrderDate]],"yyyy")</f>
        <v>2024</v>
      </c>
      <c r="D509" s="3" t="str">
        <f>TEXT(CleanedTable[[#This Row],[OrderDate]],"mmm yyyy")</f>
        <v>Oct 2024</v>
      </c>
      <c r="E509" t="s">
        <v>23</v>
      </c>
      <c r="F509" t="s">
        <v>24</v>
      </c>
      <c r="G509" s="12">
        <v>9</v>
      </c>
      <c r="H509" s="8">
        <v>596.83000000000004</v>
      </c>
      <c r="I509" t="s">
        <v>32</v>
      </c>
      <c r="J509" t="s">
        <v>36</v>
      </c>
      <c r="K509" s="10">
        <v>0</v>
      </c>
      <c r="L509" t="s">
        <v>37</v>
      </c>
      <c r="M509">
        <v>5371.47</v>
      </c>
      <c r="N509">
        <v>3222.8820000000001</v>
      </c>
      <c r="O509" s="10">
        <v>2142.1580000000004</v>
      </c>
      <c r="P509" s="10">
        <v>0.39880293476459894</v>
      </c>
      <c r="Q509" s="8">
        <v>5371.47</v>
      </c>
      <c r="R509" t="s">
        <v>47</v>
      </c>
      <c r="S509" t="s">
        <v>50</v>
      </c>
      <c r="T509" t="s">
        <v>2931</v>
      </c>
      <c r="U509">
        <v>0</v>
      </c>
      <c r="V509" t="str">
        <f>IF(CleanedTable[[#This Row],[Returned]] = 0,"NO","Yes")</f>
        <v>NO</v>
      </c>
      <c r="W509" t="s">
        <v>558</v>
      </c>
      <c r="X509" t="s">
        <v>1627</v>
      </c>
      <c r="Y509" s="10">
        <v>6.43</v>
      </c>
      <c r="Z509" s="3">
        <v>45576</v>
      </c>
      <c r="AA509" s="3">
        <v>45584</v>
      </c>
      <c r="AB509" t="s">
        <v>2926</v>
      </c>
      <c r="AC509">
        <v>8</v>
      </c>
    </row>
    <row r="510" spans="1:29" x14ac:dyDescent="0.3">
      <c r="A510" s="3">
        <v>45822</v>
      </c>
      <c r="B510" s="3" t="str">
        <f>TEXT(CleanedTable[[#This Row],[OrderDate]],"mmm")</f>
        <v>Jun</v>
      </c>
      <c r="C510" s="3" t="str">
        <f>TEXT(CleanedTable[[#This Row],[OrderDate]],"yyyy")</f>
        <v>2025</v>
      </c>
      <c r="D510" s="3" t="str">
        <f>TEXT(CleanedTable[[#This Row],[OrderDate]],"mmm yyyy")</f>
        <v>Jun 2025</v>
      </c>
      <c r="E510" t="s">
        <v>22</v>
      </c>
      <c r="F510" t="s">
        <v>28</v>
      </c>
      <c r="G510" s="12">
        <v>15</v>
      </c>
      <c r="H510" s="8">
        <v>154.04</v>
      </c>
      <c r="I510" t="s">
        <v>34</v>
      </c>
      <c r="J510" t="s">
        <v>36</v>
      </c>
      <c r="K510" s="10">
        <v>0.1</v>
      </c>
      <c r="L510" t="s">
        <v>38</v>
      </c>
      <c r="M510">
        <v>2079.54</v>
      </c>
      <c r="N510">
        <v>1386.36</v>
      </c>
      <c r="O510" s="10">
        <v>668.65000000000009</v>
      </c>
      <c r="P510" s="10">
        <v>0.32153745539879014</v>
      </c>
      <c r="Q510" s="8">
        <v>2079.54</v>
      </c>
      <c r="R510" t="s">
        <v>47</v>
      </c>
      <c r="S510" t="s">
        <v>48</v>
      </c>
      <c r="T510" t="s">
        <v>2931</v>
      </c>
      <c r="U510">
        <v>1</v>
      </c>
      <c r="V510" t="str">
        <f>IF(CleanedTable[[#This Row],[Returned]] = 0,"NO","Yes")</f>
        <v>Yes</v>
      </c>
      <c r="W510" t="s">
        <v>559</v>
      </c>
      <c r="X510" t="s">
        <v>2041</v>
      </c>
      <c r="Y510" s="10">
        <v>24.53</v>
      </c>
      <c r="Z510" s="3">
        <v>45822</v>
      </c>
      <c r="AA510" s="3">
        <v>45831</v>
      </c>
      <c r="AB510" t="s">
        <v>2925</v>
      </c>
      <c r="AC510">
        <v>9</v>
      </c>
    </row>
    <row r="511" spans="1:29" x14ac:dyDescent="0.3">
      <c r="A511" s="3">
        <v>45648</v>
      </c>
      <c r="B511" s="3" t="str">
        <f>TEXT(CleanedTable[[#This Row],[OrderDate]],"mmm")</f>
        <v>Dec</v>
      </c>
      <c r="C511" s="3" t="str">
        <f>TEXT(CleanedTable[[#This Row],[OrderDate]],"yyyy")</f>
        <v>2024</v>
      </c>
      <c r="D511" s="3" t="str">
        <f>TEXT(CleanedTable[[#This Row],[OrderDate]],"mmm yyyy")</f>
        <v>Dec 2024</v>
      </c>
      <c r="E511" t="s">
        <v>19</v>
      </c>
      <c r="F511" t="s">
        <v>24</v>
      </c>
      <c r="G511" s="12">
        <v>18</v>
      </c>
      <c r="H511" s="8">
        <v>500.44</v>
      </c>
      <c r="I511" t="s">
        <v>34</v>
      </c>
      <c r="J511" t="s">
        <v>35</v>
      </c>
      <c r="K511" s="10">
        <v>0.1</v>
      </c>
      <c r="L511" t="s">
        <v>42</v>
      </c>
      <c r="M511">
        <v>8107.1280000000006</v>
      </c>
      <c r="N511">
        <v>5404.7520000000004</v>
      </c>
      <c r="O511" s="10">
        <v>2693.5060000000003</v>
      </c>
      <c r="P511" s="10">
        <v>0.33223923441198905</v>
      </c>
      <c r="Q511" s="8">
        <v>8107.1280000000006</v>
      </c>
      <c r="R511" t="s">
        <v>45</v>
      </c>
      <c r="T511" t="s">
        <v>2932</v>
      </c>
      <c r="U511">
        <v>0</v>
      </c>
      <c r="V511" t="str">
        <f>IF(CleanedTable[[#This Row],[Returned]] = 0,"NO","Yes")</f>
        <v>NO</v>
      </c>
      <c r="W511" t="s">
        <v>560</v>
      </c>
      <c r="X511" t="s">
        <v>2042</v>
      </c>
      <c r="Y511" s="10">
        <v>8.8699999999999992</v>
      </c>
      <c r="Z511" s="3">
        <v>45648</v>
      </c>
      <c r="AA511" s="3">
        <v>45656</v>
      </c>
      <c r="AB511" t="s">
        <v>2922</v>
      </c>
      <c r="AC511">
        <v>8</v>
      </c>
    </row>
    <row r="512" spans="1:29" x14ac:dyDescent="0.3">
      <c r="A512" s="3">
        <v>45404</v>
      </c>
      <c r="B512" s="3" t="str">
        <f>TEXT(CleanedTable[[#This Row],[OrderDate]],"mmm")</f>
        <v>Apr</v>
      </c>
      <c r="C512" s="3" t="str">
        <f>TEXT(CleanedTable[[#This Row],[OrderDate]],"yyyy")</f>
        <v>2024</v>
      </c>
      <c r="D512" s="3" t="str">
        <f>TEXT(CleanedTable[[#This Row],[OrderDate]],"mmm yyyy")</f>
        <v>Apr 2024</v>
      </c>
      <c r="E512" t="s">
        <v>23</v>
      </c>
      <c r="F512" t="s">
        <v>29</v>
      </c>
      <c r="G512" s="12">
        <v>5</v>
      </c>
      <c r="H512" s="8">
        <v>382.17</v>
      </c>
      <c r="I512" t="s">
        <v>33</v>
      </c>
      <c r="J512" t="s">
        <v>35</v>
      </c>
      <c r="K512" s="10">
        <v>0</v>
      </c>
      <c r="L512" t="s">
        <v>41</v>
      </c>
      <c r="M512">
        <v>1910.8500000000001</v>
      </c>
      <c r="N512">
        <v>1146.51</v>
      </c>
      <c r="O512" s="10">
        <v>746.62000000000012</v>
      </c>
      <c r="P512" s="10">
        <v>0.39072663997697366</v>
      </c>
      <c r="Q512" s="8">
        <v>1910.85</v>
      </c>
      <c r="R512" t="s">
        <v>45</v>
      </c>
      <c r="S512" t="s">
        <v>48</v>
      </c>
      <c r="T512" t="s">
        <v>2931</v>
      </c>
      <c r="U512">
        <v>0</v>
      </c>
      <c r="V512" t="str">
        <f>IF(CleanedTable[[#This Row],[Returned]] = 0,"NO","Yes")</f>
        <v>NO</v>
      </c>
      <c r="W512" t="s">
        <v>561</v>
      </c>
      <c r="X512" t="s">
        <v>2043</v>
      </c>
      <c r="Y512" s="10">
        <v>17.72</v>
      </c>
      <c r="Z512" s="3">
        <v>45404</v>
      </c>
      <c r="AA512" s="3">
        <v>45407</v>
      </c>
      <c r="AB512" t="s">
        <v>2926</v>
      </c>
      <c r="AC512">
        <v>3</v>
      </c>
    </row>
    <row r="513" spans="1:29" x14ac:dyDescent="0.3">
      <c r="A513" s="3">
        <v>45682</v>
      </c>
      <c r="B513" s="3" t="str">
        <f>TEXT(CleanedTable[[#This Row],[OrderDate]],"mmm")</f>
        <v>Jan</v>
      </c>
      <c r="C513" s="3" t="str">
        <f>TEXT(CleanedTable[[#This Row],[OrderDate]],"yyyy")</f>
        <v>2025</v>
      </c>
      <c r="D513" s="3" t="str">
        <f>TEXT(CleanedTable[[#This Row],[OrderDate]],"mmm yyyy")</f>
        <v>Jan 2025</v>
      </c>
      <c r="E513" t="s">
        <v>21</v>
      </c>
      <c r="F513" t="s">
        <v>27</v>
      </c>
      <c r="G513" s="12">
        <v>3</v>
      </c>
      <c r="H513" s="8">
        <v>365.54</v>
      </c>
      <c r="I513" t="s">
        <v>31</v>
      </c>
      <c r="J513" t="s">
        <v>36</v>
      </c>
      <c r="K513" s="10">
        <v>0.15</v>
      </c>
      <c r="L513" t="s">
        <v>39</v>
      </c>
      <c r="M513">
        <v>932.12700000000007</v>
      </c>
      <c r="N513">
        <v>657.97199999999998</v>
      </c>
      <c r="O513" s="10">
        <v>228.2650000000001</v>
      </c>
      <c r="P513" s="10">
        <v>0.24488615821663795</v>
      </c>
      <c r="Q513" s="8">
        <v>932.12700000000007</v>
      </c>
      <c r="R513" t="s">
        <v>43</v>
      </c>
      <c r="T513" t="s">
        <v>2932</v>
      </c>
      <c r="U513">
        <v>0</v>
      </c>
      <c r="V513" t="str">
        <f>IF(CleanedTable[[#This Row],[Returned]] = 0,"NO","Yes")</f>
        <v>NO</v>
      </c>
      <c r="W513" t="s">
        <v>562</v>
      </c>
      <c r="X513" t="s">
        <v>2044</v>
      </c>
      <c r="Y513" s="10">
        <v>45.89</v>
      </c>
      <c r="Z513" s="3">
        <v>45682</v>
      </c>
      <c r="AA513" s="3">
        <v>45686</v>
      </c>
      <c r="AB513" t="s">
        <v>2924</v>
      </c>
      <c r="AC513">
        <v>4</v>
      </c>
    </row>
    <row r="514" spans="1:29" x14ac:dyDescent="0.3">
      <c r="A514" s="3">
        <v>45609</v>
      </c>
      <c r="B514" s="3" t="str">
        <f>TEXT(CleanedTable[[#This Row],[OrderDate]],"mmm")</f>
        <v>Nov</v>
      </c>
      <c r="C514" s="3" t="str">
        <f>TEXT(CleanedTable[[#This Row],[OrderDate]],"yyyy")</f>
        <v>2024</v>
      </c>
      <c r="D514" s="3" t="str">
        <f>TEXT(CleanedTable[[#This Row],[OrderDate]],"mmm yyyy")</f>
        <v>Nov 2024</v>
      </c>
      <c r="E514" t="s">
        <v>21</v>
      </c>
      <c r="F514" t="s">
        <v>24</v>
      </c>
      <c r="G514" s="12">
        <v>5</v>
      </c>
      <c r="H514" s="8">
        <v>270.13</v>
      </c>
      <c r="I514" t="s">
        <v>33</v>
      </c>
      <c r="J514" t="s">
        <v>36</v>
      </c>
      <c r="K514" s="10">
        <v>0.15</v>
      </c>
      <c r="L514" t="s">
        <v>37</v>
      </c>
      <c r="M514">
        <v>1148.0525</v>
      </c>
      <c r="N514">
        <v>810.39</v>
      </c>
      <c r="O514" s="10">
        <v>321.92250000000001</v>
      </c>
      <c r="P514" s="10">
        <v>0.28040747265477844</v>
      </c>
      <c r="Q514" s="8">
        <v>1148.0525</v>
      </c>
      <c r="R514" t="s">
        <v>45</v>
      </c>
      <c r="T514" t="s">
        <v>2932</v>
      </c>
      <c r="U514">
        <v>0</v>
      </c>
      <c r="V514" t="str">
        <f>IF(CleanedTable[[#This Row],[Returned]] = 0,"NO","Yes")</f>
        <v>NO</v>
      </c>
      <c r="W514" t="s">
        <v>563</v>
      </c>
      <c r="X514" t="s">
        <v>2045</v>
      </c>
      <c r="Y514" s="10">
        <v>15.74</v>
      </c>
      <c r="Z514" s="3">
        <v>45609</v>
      </c>
      <c r="AA514" s="3">
        <v>45615</v>
      </c>
      <c r="AB514" t="s">
        <v>2924</v>
      </c>
      <c r="AC514">
        <v>6</v>
      </c>
    </row>
    <row r="515" spans="1:29" x14ac:dyDescent="0.3">
      <c r="A515" s="3">
        <v>45001</v>
      </c>
      <c r="B515" s="3" t="str">
        <f>TEXT(CleanedTable[[#This Row],[OrderDate]],"mmm")</f>
        <v>Mar</v>
      </c>
      <c r="C515" s="3" t="str">
        <f>TEXT(CleanedTable[[#This Row],[OrderDate]],"yyyy")</f>
        <v>2023</v>
      </c>
      <c r="D515" s="3" t="str">
        <f>TEXT(CleanedTable[[#This Row],[OrderDate]],"mmm yyyy")</f>
        <v>Mar 2023</v>
      </c>
      <c r="E515" t="s">
        <v>19</v>
      </c>
      <c r="F515" t="s">
        <v>29</v>
      </c>
      <c r="G515" s="12">
        <v>2</v>
      </c>
      <c r="H515" s="8">
        <v>480.15</v>
      </c>
      <c r="I515" t="s">
        <v>34</v>
      </c>
      <c r="J515" t="s">
        <v>36</v>
      </c>
      <c r="K515" s="10">
        <v>0.15</v>
      </c>
      <c r="L515" t="s">
        <v>41</v>
      </c>
      <c r="M515">
        <v>816.255</v>
      </c>
      <c r="N515">
        <v>576.17999999999995</v>
      </c>
      <c r="O515" s="10">
        <v>198.00500000000005</v>
      </c>
      <c r="P515" s="10">
        <v>0.24257738084299643</v>
      </c>
      <c r="Q515" s="8">
        <v>816.255</v>
      </c>
      <c r="R515" t="s">
        <v>43</v>
      </c>
      <c r="T515" t="s">
        <v>2932</v>
      </c>
      <c r="U515">
        <v>0</v>
      </c>
      <c r="V515" t="str">
        <f>IF(CleanedTable[[#This Row],[Returned]] = 0,"NO","Yes")</f>
        <v>NO</v>
      </c>
      <c r="W515" t="s">
        <v>564</v>
      </c>
      <c r="X515" t="s">
        <v>2046</v>
      </c>
      <c r="Y515" s="10">
        <v>42.07</v>
      </c>
      <c r="Z515" s="3">
        <v>45001</v>
      </c>
      <c r="AA515" s="3">
        <v>45006</v>
      </c>
      <c r="AB515" t="s">
        <v>2922</v>
      </c>
      <c r="AC515">
        <v>5</v>
      </c>
    </row>
    <row r="516" spans="1:29" x14ac:dyDescent="0.3">
      <c r="A516" s="3">
        <v>45052</v>
      </c>
      <c r="B516" s="3" t="str">
        <f>TEXT(CleanedTable[[#This Row],[OrderDate]],"mmm")</f>
        <v>May</v>
      </c>
      <c r="C516" s="3" t="str">
        <f>TEXT(CleanedTable[[#This Row],[OrderDate]],"yyyy")</f>
        <v>2023</v>
      </c>
      <c r="D516" s="3" t="str">
        <f>TEXT(CleanedTable[[#This Row],[OrderDate]],"mmm yyyy")</f>
        <v>May 2023</v>
      </c>
      <c r="E516" t="s">
        <v>21</v>
      </c>
      <c r="F516" t="s">
        <v>24</v>
      </c>
      <c r="G516" s="12">
        <v>18</v>
      </c>
      <c r="H516" s="8">
        <v>414.77</v>
      </c>
      <c r="I516" t="s">
        <v>33</v>
      </c>
      <c r="J516" t="s">
        <v>35</v>
      </c>
      <c r="K516" s="10">
        <v>0.1</v>
      </c>
      <c r="L516" t="s">
        <v>37</v>
      </c>
      <c r="M516">
        <v>6719.2739999999994</v>
      </c>
      <c r="N516">
        <v>4479.5159999999996</v>
      </c>
      <c r="O516" s="10">
        <v>2211.2079999999996</v>
      </c>
      <c r="P516" s="10">
        <v>0.32908436238796035</v>
      </c>
      <c r="Q516" s="8">
        <v>6719.2739999999994</v>
      </c>
      <c r="R516" t="s">
        <v>45</v>
      </c>
      <c r="T516" t="s">
        <v>2932</v>
      </c>
      <c r="U516">
        <v>1</v>
      </c>
      <c r="V516" t="str">
        <f>IF(CleanedTable[[#This Row],[Returned]] = 0,"NO","Yes")</f>
        <v>Yes</v>
      </c>
      <c r="W516" t="s">
        <v>565</v>
      </c>
      <c r="X516" t="s">
        <v>2047</v>
      </c>
      <c r="Y516" s="10">
        <v>28.55</v>
      </c>
      <c r="Z516" s="3">
        <v>45052</v>
      </c>
      <c r="AA516" s="3">
        <v>45061</v>
      </c>
      <c r="AB516" t="s">
        <v>2924</v>
      </c>
      <c r="AC516">
        <v>9</v>
      </c>
    </row>
    <row r="517" spans="1:29" x14ac:dyDescent="0.3">
      <c r="A517" s="3">
        <v>45611</v>
      </c>
      <c r="B517" s="3" t="str">
        <f>TEXT(CleanedTable[[#This Row],[OrderDate]],"mmm")</f>
        <v>Nov</v>
      </c>
      <c r="C517" s="3" t="str">
        <f>TEXT(CleanedTable[[#This Row],[OrderDate]],"yyyy")</f>
        <v>2024</v>
      </c>
      <c r="D517" s="3" t="str">
        <f>TEXT(CleanedTable[[#This Row],[OrderDate]],"mmm yyyy")</f>
        <v>Nov 2024</v>
      </c>
      <c r="E517" t="s">
        <v>19</v>
      </c>
      <c r="F517" t="s">
        <v>28</v>
      </c>
      <c r="G517" s="12">
        <v>10</v>
      </c>
      <c r="H517" s="8">
        <v>98.24</v>
      </c>
      <c r="I517" t="s">
        <v>33</v>
      </c>
      <c r="J517" t="s">
        <v>35</v>
      </c>
      <c r="K517" s="10">
        <v>0</v>
      </c>
      <c r="L517" t="s">
        <v>39</v>
      </c>
      <c r="M517">
        <v>982.4</v>
      </c>
      <c r="N517">
        <v>589.43999999999994</v>
      </c>
      <c r="O517" s="10">
        <v>371.95000000000005</v>
      </c>
      <c r="P517" s="10">
        <v>0.37861359934853428</v>
      </c>
      <c r="Q517" s="8">
        <v>982.4</v>
      </c>
      <c r="R517" t="s">
        <v>45</v>
      </c>
      <c r="S517" t="s">
        <v>48</v>
      </c>
      <c r="T517" t="s">
        <v>2931</v>
      </c>
      <c r="U517">
        <v>1</v>
      </c>
      <c r="V517" t="str">
        <f>IF(CleanedTable[[#This Row],[Returned]] = 0,"NO","Yes")</f>
        <v>Yes</v>
      </c>
      <c r="W517" t="s">
        <v>566</v>
      </c>
      <c r="X517" t="s">
        <v>1835</v>
      </c>
      <c r="Y517" s="10">
        <v>21.01</v>
      </c>
      <c r="Z517" s="3">
        <v>45611</v>
      </c>
      <c r="AA517" s="3">
        <v>45613</v>
      </c>
      <c r="AB517" t="s">
        <v>2922</v>
      </c>
      <c r="AC517">
        <v>2</v>
      </c>
    </row>
    <row r="518" spans="1:29" x14ac:dyDescent="0.3">
      <c r="A518" s="3">
        <v>45471</v>
      </c>
      <c r="B518" s="3" t="str">
        <f>TEXT(CleanedTable[[#This Row],[OrderDate]],"mmm")</f>
        <v>Jun</v>
      </c>
      <c r="C518" s="3" t="str">
        <f>TEXT(CleanedTable[[#This Row],[OrderDate]],"yyyy")</f>
        <v>2024</v>
      </c>
      <c r="D518" s="3" t="str">
        <f>TEXT(CleanedTable[[#This Row],[OrderDate]],"mmm yyyy")</f>
        <v>Jun 2024</v>
      </c>
      <c r="E518" t="s">
        <v>22</v>
      </c>
      <c r="F518" t="s">
        <v>24</v>
      </c>
      <c r="G518" s="12">
        <v>6</v>
      </c>
      <c r="H518" s="8">
        <v>227.6</v>
      </c>
      <c r="I518" t="s">
        <v>34</v>
      </c>
      <c r="J518" t="s">
        <v>36</v>
      </c>
      <c r="K518" s="10">
        <v>0.05</v>
      </c>
      <c r="L518" t="s">
        <v>40</v>
      </c>
      <c r="M518">
        <v>1297.32</v>
      </c>
      <c r="N518">
        <v>819.36</v>
      </c>
      <c r="O518" s="10">
        <v>439.7399999999999</v>
      </c>
      <c r="P518" s="10">
        <v>0.33896031819443151</v>
      </c>
      <c r="Q518" s="8">
        <v>1297.32</v>
      </c>
      <c r="R518" t="s">
        <v>46</v>
      </c>
      <c r="S518" t="s">
        <v>48</v>
      </c>
      <c r="T518" t="s">
        <v>2931</v>
      </c>
      <c r="U518">
        <v>0</v>
      </c>
      <c r="V518" t="str">
        <f>IF(CleanedTable[[#This Row],[Returned]] = 0,"NO","Yes")</f>
        <v>NO</v>
      </c>
      <c r="W518" t="s">
        <v>567</v>
      </c>
      <c r="X518" t="s">
        <v>2048</v>
      </c>
      <c r="Y518" s="10">
        <v>38.22</v>
      </c>
      <c r="Z518" s="3">
        <v>45471</v>
      </c>
      <c r="AA518" s="3">
        <v>45478</v>
      </c>
      <c r="AB518" t="s">
        <v>2925</v>
      </c>
      <c r="AC518">
        <v>7</v>
      </c>
    </row>
    <row r="519" spans="1:29" x14ac:dyDescent="0.3">
      <c r="A519" s="3">
        <v>45788</v>
      </c>
      <c r="B519" s="3" t="str">
        <f>TEXT(CleanedTable[[#This Row],[OrderDate]],"mmm")</f>
        <v>May</v>
      </c>
      <c r="C519" s="3" t="str">
        <f>TEXT(CleanedTable[[#This Row],[OrderDate]],"yyyy")</f>
        <v>2025</v>
      </c>
      <c r="D519" s="3" t="str">
        <f>TEXT(CleanedTable[[#This Row],[OrderDate]],"mmm yyyy")</f>
        <v>May 2025</v>
      </c>
      <c r="E519" t="s">
        <v>22</v>
      </c>
      <c r="F519" t="s">
        <v>28</v>
      </c>
      <c r="G519" s="12">
        <v>5</v>
      </c>
      <c r="H519" s="8">
        <v>136.13</v>
      </c>
      <c r="I519" t="s">
        <v>33</v>
      </c>
      <c r="J519" t="s">
        <v>36</v>
      </c>
      <c r="K519" s="10">
        <v>0.15</v>
      </c>
      <c r="L519" t="s">
        <v>40</v>
      </c>
      <c r="M519">
        <v>578.55250000000001</v>
      </c>
      <c r="N519">
        <v>408.39</v>
      </c>
      <c r="O519" s="10">
        <v>160.14250000000001</v>
      </c>
      <c r="P519" s="10">
        <v>0.27679856192826063</v>
      </c>
      <c r="Q519" s="8">
        <v>578.55250000000001</v>
      </c>
      <c r="R519" t="s">
        <v>43</v>
      </c>
      <c r="T519" t="s">
        <v>2932</v>
      </c>
      <c r="U519">
        <v>0</v>
      </c>
      <c r="V519" t="str">
        <f>IF(CleanedTable[[#This Row],[Returned]] = 0,"NO","Yes")</f>
        <v>NO</v>
      </c>
      <c r="W519" t="s">
        <v>568</v>
      </c>
      <c r="X519" t="s">
        <v>2049</v>
      </c>
      <c r="Y519" s="10">
        <v>10.02</v>
      </c>
      <c r="Z519" s="3">
        <v>45788</v>
      </c>
      <c r="AA519" s="3">
        <v>45797</v>
      </c>
      <c r="AB519" t="s">
        <v>2925</v>
      </c>
      <c r="AC519">
        <v>9</v>
      </c>
    </row>
    <row r="520" spans="1:29" x14ac:dyDescent="0.3">
      <c r="A520" s="3">
        <v>44983</v>
      </c>
      <c r="B520" s="3" t="str">
        <f>TEXT(CleanedTable[[#This Row],[OrderDate]],"mmm")</f>
        <v>Feb</v>
      </c>
      <c r="C520" s="3" t="str">
        <f>TEXT(CleanedTable[[#This Row],[OrderDate]],"yyyy")</f>
        <v>2023</v>
      </c>
      <c r="D520" s="3" t="str">
        <f>TEXT(CleanedTable[[#This Row],[OrderDate]],"mmm yyyy")</f>
        <v>Feb 2023</v>
      </c>
      <c r="E520" t="s">
        <v>22</v>
      </c>
      <c r="F520" t="s">
        <v>29</v>
      </c>
      <c r="G520" s="12">
        <v>5</v>
      </c>
      <c r="H520" s="8">
        <v>489.13</v>
      </c>
      <c r="I520" t="s">
        <v>33</v>
      </c>
      <c r="J520" t="s">
        <v>36</v>
      </c>
      <c r="K520" s="10">
        <v>0.1</v>
      </c>
      <c r="L520" t="s">
        <v>41</v>
      </c>
      <c r="M520">
        <v>2201.085</v>
      </c>
      <c r="N520">
        <v>1467.39</v>
      </c>
      <c r="O520" s="10">
        <v>688.96499999999992</v>
      </c>
      <c r="P520" s="10">
        <v>0.31301153749173699</v>
      </c>
      <c r="Q520" s="8">
        <v>2201.085</v>
      </c>
      <c r="R520" t="s">
        <v>44</v>
      </c>
      <c r="S520" t="s">
        <v>48</v>
      </c>
      <c r="T520" t="s">
        <v>2931</v>
      </c>
      <c r="U520">
        <v>0</v>
      </c>
      <c r="V520" t="str">
        <f>IF(CleanedTable[[#This Row],[Returned]] = 0,"NO","Yes")</f>
        <v>NO</v>
      </c>
      <c r="W520" t="s">
        <v>569</v>
      </c>
      <c r="X520" t="s">
        <v>2050</v>
      </c>
      <c r="Y520" s="10">
        <v>44.73</v>
      </c>
      <c r="Z520" s="3">
        <v>44983</v>
      </c>
      <c r="AA520" s="3">
        <v>44989</v>
      </c>
      <c r="AB520" t="s">
        <v>2925</v>
      </c>
      <c r="AC520">
        <v>6</v>
      </c>
    </row>
    <row r="521" spans="1:29" x14ac:dyDescent="0.3">
      <c r="A521" s="3">
        <v>45412</v>
      </c>
      <c r="B521" s="3" t="str">
        <f>TEXT(CleanedTable[[#This Row],[OrderDate]],"mmm")</f>
        <v>Apr</v>
      </c>
      <c r="C521" s="3" t="str">
        <f>TEXT(CleanedTable[[#This Row],[OrderDate]],"yyyy")</f>
        <v>2024</v>
      </c>
      <c r="D521" s="3" t="str">
        <f>TEXT(CleanedTable[[#This Row],[OrderDate]],"mmm yyyy")</f>
        <v>Apr 2024</v>
      </c>
      <c r="E521" t="s">
        <v>20</v>
      </c>
      <c r="F521" t="s">
        <v>24</v>
      </c>
      <c r="G521" s="12">
        <v>4</v>
      </c>
      <c r="H521" s="8">
        <v>414.36</v>
      </c>
      <c r="I521" t="s">
        <v>32</v>
      </c>
      <c r="J521" t="s">
        <v>36</v>
      </c>
      <c r="K521" s="10">
        <v>0</v>
      </c>
      <c r="L521" t="s">
        <v>42</v>
      </c>
      <c r="M521">
        <v>1657.44</v>
      </c>
      <c r="N521">
        <v>994.46399999999994</v>
      </c>
      <c r="O521" s="10">
        <v>654.95600000000013</v>
      </c>
      <c r="P521" s="10">
        <v>0.39516121247224645</v>
      </c>
      <c r="Q521" s="8">
        <v>1657.44</v>
      </c>
      <c r="R521" t="s">
        <v>46</v>
      </c>
      <c r="S521" t="s">
        <v>48</v>
      </c>
      <c r="T521" t="s">
        <v>2931</v>
      </c>
      <c r="U521">
        <v>0</v>
      </c>
      <c r="V521" t="str">
        <f>IF(CleanedTable[[#This Row],[Returned]] = 0,"NO","Yes")</f>
        <v>NO</v>
      </c>
      <c r="W521" t="s">
        <v>570</v>
      </c>
      <c r="X521" t="s">
        <v>2051</v>
      </c>
      <c r="Y521" s="10">
        <v>8.02</v>
      </c>
      <c r="Z521" s="3">
        <v>45412</v>
      </c>
      <c r="AA521" s="3">
        <v>45419</v>
      </c>
      <c r="AB521" t="s">
        <v>2923</v>
      </c>
      <c r="AC521">
        <v>7</v>
      </c>
    </row>
    <row r="522" spans="1:29" x14ac:dyDescent="0.3">
      <c r="A522" s="3">
        <v>45727</v>
      </c>
      <c r="B522" s="3" t="str">
        <f>TEXT(CleanedTable[[#This Row],[OrderDate]],"mmm")</f>
        <v>Mar</v>
      </c>
      <c r="C522" s="3" t="str">
        <f>TEXT(CleanedTable[[#This Row],[OrderDate]],"yyyy")</f>
        <v>2025</v>
      </c>
      <c r="D522" s="3" t="str">
        <f>TEXT(CleanedTable[[#This Row],[OrderDate]],"mmm yyyy")</f>
        <v>Mar 2025</v>
      </c>
      <c r="E522" t="s">
        <v>19</v>
      </c>
      <c r="F522" t="s">
        <v>24</v>
      </c>
      <c r="G522" s="12">
        <v>6</v>
      </c>
      <c r="H522" s="8">
        <v>138.26</v>
      </c>
      <c r="I522" t="s">
        <v>31</v>
      </c>
      <c r="J522" t="s">
        <v>36</v>
      </c>
      <c r="K522" s="10">
        <v>0.15</v>
      </c>
      <c r="L522" t="s">
        <v>37</v>
      </c>
      <c r="M522">
        <v>705.12599999999998</v>
      </c>
      <c r="N522">
        <v>497.73599999999993</v>
      </c>
      <c r="O522" s="10">
        <v>175.99000000000004</v>
      </c>
      <c r="P522" s="10">
        <v>0.24958659870718147</v>
      </c>
      <c r="Q522" s="8">
        <v>705.12599999999998</v>
      </c>
      <c r="R522" t="s">
        <v>43</v>
      </c>
      <c r="T522" t="s">
        <v>2932</v>
      </c>
      <c r="U522">
        <v>1</v>
      </c>
      <c r="V522" t="str">
        <f>IF(CleanedTable[[#This Row],[Returned]] = 0,"NO","Yes")</f>
        <v>Yes</v>
      </c>
      <c r="W522" t="s">
        <v>571</v>
      </c>
      <c r="X522" t="s">
        <v>2052</v>
      </c>
      <c r="Y522" s="10">
        <v>31.4</v>
      </c>
      <c r="Z522" s="3">
        <v>45727</v>
      </c>
      <c r="AA522" s="3">
        <v>45729</v>
      </c>
      <c r="AB522" t="s">
        <v>2922</v>
      </c>
      <c r="AC522">
        <v>2</v>
      </c>
    </row>
    <row r="523" spans="1:29" x14ac:dyDescent="0.3">
      <c r="A523" s="3">
        <v>45838</v>
      </c>
      <c r="B523" s="3" t="str">
        <f>TEXT(CleanedTable[[#This Row],[OrderDate]],"mmm")</f>
        <v>Jun</v>
      </c>
      <c r="C523" s="3" t="str">
        <f>TEXT(CleanedTable[[#This Row],[OrderDate]],"yyyy")</f>
        <v>2025</v>
      </c>
      <c r="D523" s="3" t="str">
        <f>TEXT(CleanedTable[[#This Row],[OrderDate]],"mmm yyyy")</f>
        <v>Jun 2025</v>
      </c>
      <c r="E523" t="s">
        <v>19</v>
      </c>
      <c r="F523" t="s">
        <v>25</v>
      </c>
      <c r="G523" s="12">
        <v>12</v>
      </c>
      <c r="H523" s="8">
        <v>487.57</v>
      </c>
      <c r="I523" t="s">
        <v>32</v>
      </c>
      <c r="J523" t="s">
        <v>35</v>
      </c>
      <c r="K523" s="10">
        <v>0.05</v>
      </c>
      <c r="L523" t="s">
        <v>37</v>
      </c>
      <c r="M523">
        <v>5558.2979999999998</v>
      </c>
      <c r="N523">
        <v>3510.5039999999999</v>
      </c>
      <c r="O523" s="10">
        <v>2010.4639999999999</v>
      </c>
      <c r="P523" s="10">
        <v>0.36170496795961643</v>
      </c>
      <c r="Q523" s="8">
        <v>5558.2979999999998</v>
      </c>
      <c r="R523" t="s">
        <v>47</v>
      </c>
      <c r="T523" t="s">
        <v>2932</v>
      </c>
      <c r="U523">
        <v>0</v>
      </c>
      <c r="V523" t="str">
        <f>IF(CleanedTable[[#This Row],[Returned]] = 0,"NO","Yes")</f>
        <v>NO</v>
      </c>
      <c r="W523" t="s">
        <v>572</v>
      </c>
      <c r="X523" t="s">
        <v>2053</v>
      </c>
      <c r="Y523" s="10">
        <v>37.33</v>
      </c>
      <c r="Z523" s="3">
        <v>45838</v>
      </c>
      <c r="AA523" s="3">
        <v>45848</v>
      </c>
      <c r="AB523" t="s">
        <v>2922</v>
      </c>
      <c r="AC523">
        <v>10</v>
      </c>
    </row>
    <row r="524" spans="1:29" x14ac:dyDescent="0.3">
      <c r="A524" s="3">
        <v>45445</v>
      </c>
      <c r="B524" s="3" t="str">
        <f>TEXT(CleanedTable[[#This Row],[OrderDate]],"mmm")</f>
        <v>Jun</v>
      </c>
      <c r="C524" s="3" t="str">
        <f>TEXT(CleanedTable[[#This Row],[OrderDate]],"yyyy")</f>
        <v>2024</v>
      </c>
      <c r="D524" s="3" t="str">
        <f>TEXT(CleanedTable[[#This Row],[OrderDate]],"mmm yyyy")</f>
        <v>Jun 2024</v>
      </c>
      <c r="E524" t="s">
        <v>21</v>
      </c>
      <c r="F524" t="s">
        <v>27</v>
      </c>
      <c r="G524" s="12">
        <v>20</v>
      </c>
      <c r="H524" s="8">
        <v>427.3</v>
      </c>
      <c r="I524" t="s">
        <v>33</v>
      </c>
      <c r="J524" t="s">
        <v>35</v>
      </c>
      <c r="K524" s="10">
        <v>0.05</v>
      </c>
      <c r="L524" t="s">
        <v>39</v>
      </c>
      <c r="M524">
        <v>8118.7</v>
      </c>
      <c r="N524">
        <v>5127.6000000000004</v>
      </c>
      <c r="O524" s="10">
        <v>2965.9099999999994</v>
      </c>
      <c r="P524" s="10">
        <v>0.36531833914296619</v>
      </c>
      <c r="Q524" s="8">
        <v>8118.7</v>
      </c>
      <c r="R524" t="s">
        <v>44</v>
      </c>
      <c r="S524" t="s">
        <v>48</v>
      </c>
      <c r="T524" t="s">
        <v>2931</v>
      </c>
      <c r="U524">
        <v>1</v>
      </c>
      <c r="V524" t="str">
        <f>IF(CleanedTable[[#This Row],[Returned]] = 0,"NO","Yes")</f>
        <v>Yes</v>
      </c>
      <c r="W524" t="s">
        <v>573</v>
      </c>
      <c r="X524" t="s">
        <v>2054</v>
      </c>
      <c r="Y524" s="10">
        <v>25.19</v>
      </c>
      <c r="Z524" s="3">
        <v>45445</v>
      </c>
      <c r="AA524" s="3">
        <v>45451</v>
      </c>
      <c r="AB524" t="s">
        <v>2924</v>
      </c>
      <c r="AC524">
        <v>6</v>
      </c>
    </row>
    <row r="525" spans="1:29" x14ac:dyDescent="0.3">
      <c r="A525" s="3">
        <v>45536</v>
      </c>
      <c r="B525" s="3" t="str">
        <f>TEXT(CleanedTable[[#This Row],[OrderDate]],"mmm")</f>
        <v>Sep</v>
      </c>
      <c r="C525" s="3" t="str">
        <f>TEXT(CleanedTable[[#This Row],[OrderDate]],"yyyy")</f>
        <v>2024</v>
      </c>
      <c r="D525" s="3" t="str">
        <f>TEXT(CleanedTable[[#This Row],[OrderDate]],"mmm yyyy")</f>
        <v>Sep 2024</v>
      </c>
      <c r="E525" t="s">
        <v>20</v>
      </c>
      <c r="F525" t="s">
        <v>24</v>
      </c>
      <c r="G525" s="12">
        <v>16</v>
      </c>
      <c r="H525" s="8">
        <v>588.91999999999996</v>
      </c>
      <c r="I525" t="s">
        <v>34</v>
      </c>
      <c r="J525" t="s">
        <v>35</v>
      </c>
      <c r="K525" s="10">
        <v>0.15</v>
      </c>
      <c r="L525" t="s">
        <v>38</v>
      </c>
      <c r="M525">
        <v>8009.311999999999</v>
      </c>
      <c r="N525">
        <v>5653.6319999999996</v>
      </c>
      <c r="O525" s="10">
        <v>2347.7899999999995</v>
      </c>
      <c r="P525" s="10">
        <v>0.29313254371911091</v>
      </c>
      <c r="Q525" s="8">
        <v>8009.311999999999</v>
      </c>
      <c r="R525" t="s">
        <v>47</v>
      </c>
      <c r="S525" t="s">
        <v>48</v>
      </c>
      <c r="T525" t="s">
        <v>2931</v>
      </c>
      <c r="U525">
        <v>0</v>
      </c>
      <c r="V525" t="str">
        <f>IF(CleanedTable[[#This Row],[Returned]] = 0,"NO","Yes")</f>
        <v>NO</v>
      </c>
      <c r="W525" t="s">
        <v>574</v>
      </c>
      <c r="X525" t="s">
        <v>2055</v>
      </c>
      <c r="Y525" s="10">
        <v>7.89</v>
      </c>
      <c r="Z525" s="3">
        <v>45536</v>
      </c>
      <c r="AA525" s="3">
        <v>45540</v>
      </c>
      <c r="AB525" t="s">
        <v>2923</v>
      </c>
      <c r="AC525">
        <v>4</v>
      </c>
    </row>
    <row r="526" spans="1:29" x14ac:dyDescent="0.3">
      <c r="A526" s="3">
        <v>45668</v>
      </c>
      <c r="B526" s="3" t="str">
        <f>TEXT(CleanedTable[[#This Row],[OrderDate]],"mmm")</f>
        <v>Jan</v>
      </c>
      <c r="C526" s="3" t="str">
        <f>TEXT(CleanedTable[[#This Row],[OrderDate]],"yyyy")</f>
        <v>2025</v>
      </c>
      <c r="D526" s="3" t="str">
        <f>TEXT(CleanedTable[[#This Row],[OrderDate]],"mmm yyyy")</f>
        <v>Jan 2025</v>
      </c>
      <c r="E526" t="s">
        <v>20</v>
      </c>
      <c r="F526" t="s">
        <v>24</v>
      </c>
      <c r="G526" s="12">
        <v>6</v>
      </c>
      <c r="H526" s="8">
        <v>429.45</v>
      </c>
      <c r="I526" t="s">
        <v>31</v>
      </c>
      <c r="J526" t="s">
        <v>36</v>
      </c>
      <c r="K526" s="10">
        <v>0.1</v>
      </c>
      <c r="L526" t="s">
        <v>38</v>
      </c>
      <c r="M526">
        <v>2319.0299999999997</v>
      </c>
      <c r="N526">
        <v>1546.0199999999998</v>
      </c>
      <c r="O526" s="10">
        <v>725.83</v>
      </c>
      <c r="P526" s="10">
        <v>0.31298862024208401</v>
      </c>
      <c r="Q526" s="8">
        <v>2319.0300000000002</v>
      </c>
      <c r="R526" t="s">
        <v>47</v>
      </c>
      <c r="T526" t="s">
        <v>2932</v>
      </c>
      <c r="U526">
        <v>0</v>
      </c>
      <c r="V526" t="str">
        <f>IF(CleanedTable[[#This Row],[Returned]] = 0,"NO","Yes")</f>
        <v>NO</v>
      </c>
      <c r="W526" t="s">
        <v>575</v>
      </c>
      <c r="X526" t="s">
        <v>2056</v>
      </c>
      <c r="Y526" s="10">
        <v>47.18</v>
      </c>
      <c r="Z526" s="3">
        <v>45668</v>
      </c>
      <c r="AA526" s="3">
        <v>45675</v>
      </c>
      <c r="AB526" t="s">
        <v>2923</v>
      </c>
      <c r="AC526">
        <v>7</v>
      </c>
    </row>
    <row r="527" spans="1:29" x14ac:dyDescent="0.3">
      <c r="A527" s="3">
        <v>45747</v>
      </c>
      <c r="B527" s="3" t="str">
        <f>TEXT(CleanedTable[[#This Row],[OrderDate]],"mmm")</f>
        <v>Mar</v>
      </c>
      <c r="C527" s="3" t="str">
        <f>TEXT(CleanedTable[[#This Row],[OrderDate]],"yyyy")</f>
        <v>2025</v>
      </c>
      <c r="D527" s="3" t="str">
        <f>TEXT(CleanedTable[[#This Row],[OrderDate]],"mmm yyyy")</f>
        <v>Mar 2025</v>
      </c>
      <c r="E527" t="s">
        <v>20</v>
      </c>
      <c r="F527" t="s">
        <v>25</v>
      </c>
      <c r="G527" s="12">
        <v>1</v>
      </c>
      <c r="H527" s="8">
        <v>476</v>
      </c>
      <c r="I527" t="s">
        <v>32</v>
      </c>
      <c r="J527" t="s">
        <v>35</v>
      </c>
      <c r="K527" s="10">
        <v>0.15</v>
      </c>
      <c r="L527" t="s">
        <v>40</v>
      </c>
      <c r="M527">
        <v>404.59999999999997</v>
      </c>
      <c r="N527">
        <v>285.59999999999997</v>
      </c>
      <c r="O527" s="10">
        <v>100.05</v>
      </c>
      <c r="P527" s="10">
        <v>0.24728126544735543</v>
      </c>
      <c r="Q527" s="8">
        <v>404.6</v>
      </c>
      <c r="R527" t="s">
        <v>47</v>
      </c>
      <c r="S527" t="s">
        <v>48</v>
      </c>
      <c r="T527" t="s">
        <v>2931</v>
      </c>
      <c r="U527">
        <v>0</v>
      </c>
      <c r="V527" t="str">
        <f>IF(CleanedTable[[#This Row],[Returned]] = 0,"NO","Yes")</f>
        <v>NO</v>
      </c>
      <c r="W527" t="s">
        <v>576</v>
      </c>
      <c r="X527" t="s">
        <v>2057</v>
      </c>
      <c r="Y527" s="10">
        <v>18.95</v>
      </c>
      <c r="Z527" s="3">
        <v>45747</v>
      </c>
      <c r="AA527" s="3">
        <v>45750</v>
      </c>
      <c r="AB527" t="s">
        <v>2923</v>
      </c>
      <c r="AC527">
        <v>3</v>
      </c>
    </row>
    <row r="528" spans="1:29" x14ac:dyDescent="0.3">
      <c r="A528" s="3">
        <v>45624</v>
      </c>
      <c r="B528" s="3" t="str">
        <f>TEXT(CleanedTable[[#This Row],[OrderDate]],"mmm")</f>
        <v>Nov</v>
      </c>
      <c r="C528" s="3" t="str">
        <f>TEXT(CleanedTable[[#This Row],[OrderDate]],"yyyy")</f>
        <v>2024</v>
      </c>
      <c r="D528" s="3" t="str">
        <f>TEXT(CleanedTable[[#This Row],[OrderDate]],"mmm yyyy")</f>
        <v>Nov 2024</v>
      </c>
      <c r="E528" t="s">
        <v>20</v>
      </c>
      <c r="F528" t="s">
        <v>25</v>
      </c>
      <c r="G528" s="12">
        <v>13</v>
      </c>
      <c r="H528" s="8">
        <v>141.26</v>
      </c>
      <c r="I528" t="s">
        <v>31</v>
      </c>
      <c r="J528" t="s">
        <v>36</v>
      </c>
      <c r="K528" s="10">
        <v>0</v>
      </c>
      <c r="L528" t="s">
        <v>39</v>
      </c>
      <c r="M528">
        <v>1836.3799999999999</v>
      </c>
      <c r="N528">
        <v>1101.8279999999997</v>
      </c>
      <c r="O528" s="10">
        <v>710.87200000000018</v>
      </c>
      <c r="P528" s="10">
        <v>0.38710506540040746</v>
      </c>
      <c r="Q528" s="8">
        <v>1836.38</v>
      </c>
      <c r="R528" t="s">
        <v>43</v>
      </c>
      <c r="T528" t="s">
        <v>2932</v>
      </c>
      <c r="U528">
        <v>0</v>
      </c>
      <c r="V528" t="str">
        <f>IF(CleanedTable[[#This Row],[Returned]] = 0,"NO","Yes")</f>
        <v>NO</v>
      </c>
      <c r="W528" t="s">
        <v>577</v>
      </c>
      <c r="X528" t="s">
        <v>1871</v>
      </c>
      <c r="Y528" s="10">
        <v>23.68</v>
      </c>
      <c r="Z528" s="3">
        <v>45624</v>
      </c>
      <c r="AA528" s="3">
        <v>45631</v>
      </c>
      <c r="AB528" t="s">
        <v>2923</v>
      </c>
      <c r="AC528">
        <v>7</v>
      </c>
    </row>
    <row r="529" spans="1:29" x14ac:dyDescent="0.3">
      <c r="A529" s="3">
        <v>45112</v>
      </c>
      <c r="B529" s="3" t="str">
        <f>TEXT(CleanedTable[[#This Row],[OrderDate]],"mmm")</f>
        <v>Jul</v>
      </c>
      <c r="C529" s="3" t="str">
        <f>TEXT(CleanedTable[[#This Row],[OrderDate]],"yyyy")</f>
        <v>2023</v>
      </c>
      <c r="D529" s="3" t="str">
        <f>TEXT(CleanedTable[[#This Row],[OrderDate]],"mmm yyyy")</f>
        <v>Jul 2023</v>
      </c>
      <c r="E529" t="s">
        <v>21</v>
      </c>
      <c r="F529" t="s">
        <v>27</v>
      </c>
      <c r="G529" s="12">
        <v>3</v>
      </c>
      <c r="H529" s="8">
        <v>250.65</v>
      </c>
      <c r="I529" t="s">
        <v>34</v>
      </c>
      <c r="J529" t="s">
        <v>36</v>
      </c>
      <c r="K529" s="10">
        <v>0.15</v>
      </c>
      <c r="L529" t="s">
        <v>37</v>
      </c>
      <c r="M529">
        <v>639.15750000000003</v>
      </c>
      <c r="N529">
        <v>451.16999999999996</v>
      </c>
      <c r="O529" s="10">
        <v>143.52750000000006</v>
      </c>
      <c r="P529" s="10">
        <v>0.22455732741929815</v>
      </c>
      <c r="Q529" s="8">
        <v>639.15750000000003</v>
      </c>
      <c r="R529" t="s">
        <v>45</v>
      </c>
      <c r="S529" t="s">
        <v>49</v>
      </c>
      <c r="T529" t="s">
        <v>2931</v>
      </c>
      <c r="U529">
        <v>0</v>
      </c>
      <c r="V529" t="str">
        <f>IF(CleanedTable[[#This Row],[Returned]] = 0,"NO","Yes")</f>
        <v>NO</v>
      </c>
      <c r="W529" t="s">
        <v>578</v>
      </c>
      <c r="X529" t="s">
        <v>2058</v>
      </c>
      <c r="Y529" s="10">
        <v>44.46</v>
      </c>
      <c r="Z529" s="3">
        <v>45112</v>
      </c>
      <c r="AA529" s="3">
        <v>45114</v>
      </c>
      <c r="AB529" t="s">
        <v>2924</v>
      </c>
      <c r="AC529">
        <v>2</v>
      </c>
    </row>
    <row r="530" spans="1:29" x14ac:dyDescent="0.3">
      <c r="A530" s="3">
        <v>45589</v>
      </c>
      <c r="B530" s="3" t="str">
        <f>TEXT(CleanedTable[[#This Row],[OrderDate]],"mmm")</f>
        <v>Oct</v>
      </c>
      <c r="C530" s="3" t="str">
        <f>TEXT(CleanedTable[[#This Row],[OrderDate]],"yyyy")</f>
        <v>2024</v>
      </c>
      <c r="D530" s="3" t="str">
        <f>TEXT(CleanedTable[[#This Row],[OrderDate]],"mmm yyyy")</f>
        <v>Oct 2024</v>
      </c>
      <c r="E530" t="s">
        <v>23</v>
      </c>
      <c r="F530" t="s">
        <v>28</v>
      </c>
      <c r="G530" s="12">
        <v>19</v>
      </c>
      <c r="H530" s="8">
        <v>301.17</v>
      </c>
      <c r="I530" t="s">
        <v>34</v>
      </c>
      <c r="J530" t="s">
        <v>36</v>
      </c>
      <c r="K530" s="10">
        <v>0.05</v>
      </c>
      <c r="L530" t="s">
        <v>38</v>
      </c>
      <c r="M530">
        <v>5436.1185000000005</v>
      </c>
      <c r="N530">
        <v>3433.3379999999997</v>
      </c>
      <c r="O530" s="10">
        <v>1997.0705000000007</v>
      </c>
      <c r="P530" s="10">
        <v>0.36737067081962993</v>
      </c>
      <c r="Q530" s="8">
        <v>5436.1184999999996</v>
      </c>
      <c r="R530" t="s">
        <v>46</v>
      </c>
      <c r="S530" t="s">
        <v>50</v>
      </c>
      <c r="T530" t="s">
        <v>2931</v>
      </c>
      <c r="U530">
        <v>0</v>
      </c>
      <c r="V530" t="str">
        <f>IF(CleanedTable[[#This Row],[Returned]] = 0,"NO","Yes")</f>
        <v>NO</v>
      </c>
      <c r="W530" t="s">
        <v>579</v>
      </c>
      <c r="X530" t="s">
        <v>2059</v>
      </c>
      <c r="Y530" s="10">
        <v>5.71</v>
      </c>
      <c r="Z530" s="3">
        <v>45589</v>
      </c>
      <c r="AA530" s="3">
        <v>45599</v>
      </c>
      <c r="AB530" t="s">
        <v>2926</v>
      </c>
      <c r="AC530">
        <v>10</v>
      </c>
    </row>
    <row r="531" spans="1:29" x14ac:dyDescent="0.3">
      <c r="A531" s="3">
        <v>45755</v>
      </c>
      <c r="B531" s="3" t="str">
        <f>TEXT(CleanedTable[[#This Row],[OrderDate]],"mmm")</f>
        <v>Apr</v>
      </c>
      <c r="C531" s="3" t="str">
        <f>TEXT(CleanedTable[[#This Row],[OrderDate]],"yyyy")</f>
        <v>2025</v>
      </c>
      <c r="D531" s="3" t="str">
        <f>TEXT(CleanedTable[[#This Row],[OrderDate]],"mmm yyyy")</f>
        <v>Apr 2025</v>
      </c>
      <c r="E531" t="s">
        <v>21</v>
      </c>
      <c r="F531" t="s">
        <v>27</v>
      </c>
      <c r="G531" s="12">
        <v>7</v>
      </c>
      <c r="H531" s="8">
        <v>30.79</v>
      </c>
      <c r="I531" t="s">
        <v>33</v>
      </c>
      <c r="J531" t="s">
        <v>36</v>
      </c>
      <c r="K531" s="10">
        <v>0.1</v>
      </c>
      <c r="L531" t="s">
        <v>42</v>
      </c>
      <c r="M531">
        <v>193.977</v>
      </c>
      <c r="N531">
        <v>129.31800000000001</v>
      </c>
      <c r="O531" s="10">
        <v>53.268999999999991</v>
      </c>
      <c r="P531" s="10">
        <v>0.27461503167901347</v>
      </c>
      <c r="Q531" s="8">
        <v>193.977</v>
      </c>
      <c r="R531" t="s">
        <v>47</v>
      </c>
      <c r="S531" t="s">
        <v>50</v>
      </c>
      <c r="T531" t="s">
        <v>2931</v>
      </c>
      <c r="U531">
        <v>1</v>
      </c>
      <c r="V531" t="str">
        <f>IF(CleanedTable[[#This Row],[Returned]] = 0,"NO","Yes")</f>
        <v>Yes</v>
      </c>
      <c r="W531" t="s">
        <v>580</v>
      </c>
      <c r="X531" t="s">
        <v>2060</v>
      </c>
      <c r="Y531" s="10">
        <v>11.39</v>
      </c>
      <c r="Z531" s="3">
        <v>45755</v>
      </c>
      <c r="AA531" s="3">
        <v>45763</v>
      </c>
      <c r="AB531" t="s">
        <v>2924</v>
      </c>
      <c r="AC531">
        <v>8</v>
      </c>
    </row>
    <row r="532" spans="1:29" x14ac:dyDescent="0.3">
      <c r="A532" s="3">
        <v>45448</v>
      </c>
      <c r="B532" s="3" t="str">
        <f>TEXT(CleanedTable[[#This Row],[OrderDate]],"mmm")</f>
        <v>Jun</v>
      </c>
      <c r="C532" s="3" t="str">
        <f>TEXT(CleanedTable[[#This Row],[OrderDate]],"yyyy")</f>
        <v>2024</v>
      </c>
      <c r="D532" s="3" t="str">
        <f>TEXT(CleanedTable[[#This Row],[OrderDate]],"mmm yyyy")</f>
        <v>Jun 2024</v>
      </c>
      <c r="E532" t="s">
        <v>19</v>
      </c>
      <c r="F532" t="s">
        <v>24</v>
      </c>
      <c r="G532" s="12">
        <v>1</v>
      </c>
      <c r="H532" s="8">
        <v>561.6</v>
      </c>
      <c r="I532" t="s">
        <v>32</v>
      </c>
      <c r="J532" t="s">
        <v>35</v>
      </c>
      <c r="K532" s="10">
        <v>0.15</v>
      </c>
      <c r="L532" t="s">
        <v>38</v>
      </c>
      <c r="M532">
        <v>477.36</v>
      </c>
      <c r="N532">
        <v>336.96</v>
      </c>
      <c r="O532" s="10">
        <v>102.38000000000002</v>
      </c>
      <c r="P532" s="10">
        <v>0.2144712585889057</v>
      </c>
      <c r="Q532" s="8">
        <v>477.36</v>
      </c>
      <c r="R532" t="s">
        <v>46</v>
      </c>
      <c r="S532" t="s">
        <v>49</v>
      </c>
      <c r="T532" t="s">
        <v>2931</v>
      </c>
      <c r="U532">
        <v>0</v>
      </c>
      <c r="V532" t="str">
        <f>IF(CleanedTable[[#This Row],[Returned]] = 0,"NO","Yes")</f>
        <v>NO</v>
      </c>
      <c r="W532" t="s">
        <v>581</v>
      </c>
      <c r="X532" t="s">
        <v>1682</v>
      </c>
      <c r="Y532" s="10">
        <v>38.020000000000003</v>
      </c>
      <c r="Z532" s="3">
        <v>45448</v>
      </c>
      <c r="AA532" s="3">
        <v>45453</v>
      </c>
      <c r="AB532" t="s">
        <v>2922</v>
      </c>
      <c r="AC532">
        <v>5</v>
      </c>
    </row>
    <row r="533" spans="1:29" x14ac:dyDescent="0.3">
      <c r="A533" s="3">
        <v>45680</v>
      </c>
      <c r="B533" s="3" t="str">
        <f>TEXT(CleanedTable[[#This Row],[OrderDate]],"mmm")</f>
        <v>Jan</v>
      </c>
      <c r="C533" s="3" t="str">
        <f>TEXT(CleanedTable[[#This Row],[OrderDate]],"yyyy")</f>
        <v>2025</v>
      </c>
      <c r="D533" s="3" t="str">
        <f>TEXT(CleanedTable[[#This Row],[OrderDate]],"mmm yyyy")</f>
        <v>Jan 2025</v>
      </c>
      <c r="E533" t="s">
        <v>23</v>
      </c>
      <c r="F533" t="s">
        <v>25</v>
      </c>
      <c r="G533" s="12">
        <v>16</v>
      </c>
      <c r="H533" s="8">
        <v>193.7</v>
      </c>
      <c r="I533" t="s">
        <v>32</v>
      </c>
      <c r="J533" t="s">
        <v>36</v>
      </c>
      <c r="K533" s="10">
        <v>0.15</v>
      </c>
      <c r="L533" t="s">
        <v>42</v>
      </c>
      <c r="M533">
        <v>2634.3199999999997</v>
      </c>
      <c r="N533">
        <v>1859.5199999999998</v>
      </c>
      <c r="O533" s="10">
        <v>767.96999999999991</v>
      </c>
      <c r="P533" s="10">
        <v>0.29152494761456466</v>
      </c>
      <c r="Q533" s="8">
        <v>2634.32</v>
      </c>
      <c r="R533" t="s">
        <v>45</v>
      </c>
      <c r="S533" t="s">
        <v>49</v>
      </c>
      <c r="T533" t="s">
        <v>2931</v>
      </c>
      <c r="U533">
        <v>0</v>
      </c>
      <c r="V533" t="str">
        <f>IF(CleanedTable[[#This Row],[Returned]] = 0,"NO","Yes")</f>
        <v>NO</v>
      </c>
      <c r="W533" t="s">
        <v>582</v>
      </c>
      <c r="X533" t="s">
        <v>2061</v>
      </c>
      <c r="Y533" s="10">
        <v>6.83</v>
      </c>
      <c r="Z533" s="3">
        <v>45680</v>
      </c>
      <c r="AA533" s="3">
        <v>45686</v>
      </c>
      <c r="AB533" t="s">
        <v>2926</v>
      </c>
      <c r="AC533">
        <v>6</v>
      </c>
    </row>
    <row r="534" spans="1:29" x14ac:dyDescent="0.3">
      <c r="A534" s="3">
        <v>45600</v>
      </c>
      <c r="B534" s="3" t="str">
        <f>TEXT(CleanedTable[[#This Row],[OrderDate]],"mmm")</f>
        <v>Nov</v>
      </c>
      <c r="C534" s="3" t="str">
        <f>TEXT(CleanedTable[[#This Row],[OrderDate]],"yyyy")</f>
        <v>2024</v>
      </c>
      <c r="D534" s="3" t="str">
        <f>TEXT(CleanedTable[[#This Row],[OrderDate]],"mmm yyyy")</f>
        <v>Nov 2024</v>
      </c>
      <c r="E534" t="s">
        <v>22</v>
      </c>
      <c r="F534" t="s">
        <v>29</v>
      </c>
      <c r="G534" s="12">
        <v>17</v>
      </c>
      <c r="H534" s="8">
        <v>310.02999999999997</v>
      </c>
      <c r="I534" t="s">
        <v>34</v>
      </c>
      <c r="J534" t="s">
        <v>36</v>
      </c>
      <c r="K534" s="10">
        <v>0.05</v>
      </c>
      <c r="L534" t="s">
        <v>40</v>
      </c>
      <c r="M534">
        <v>5006.9844999999987</v>
      </c>
      <c r="N534">
        <v>3162.3059999999996</v>
      </c>
      <c r="O534" s="10">
        <v>1836.6184999999991</v>
      </c>
      <c r="P534" s="10">
        <v>0.36681130129322342</v>
      </c>
      <c r="Q534" s="8">
        <v>5006.9844999999987</v>
      </c>
      <c r="R534" t="s">
        <v>43</v>
      </c>
      <c r="S534" t="s">
        <v>48</v>
      </c>
      <c r="T534" t="s">
        <v>2931</v>
      </c>
      <c r="U534">
        <v>0</v>
      </c>
      <c r="V534" t="str">
        <f>IF(CleanedTable[[#This Row],[Returned]] = 0,"NO","Yes")</f>
        <v>NO</v>
      </c>
      <c r="W534" t="s">
        <v>583</v>
      </c>
      <c r="X534" t="s">
        <v>2062</v>
      </c>
      <c r="Y534" s="10">
        <v>8.06</v>
      </c>
      <c r="Z534" s="3">
        <v>45600</v>
      </c>
      <c r="AA534" s="3">
        <v>45608</v>
      </c>
      <c r="AB534" t="s">
        <v>2925</v>
      </c>
      <c r="AC534">
        <v>8</v>
      </c>
    </row>
    <row r="535" spans="1:29" x14ac:dyDescent="0.3">
      <c r="A535" s="3">
        <v>45292</v>
      </c>
      <c r="B535" s="3" t="str">
        <f>TEXT(CleanedTable[[#This Row],[OrderDate]],"mmm")</f>
        <v>Jan</v>
      </c>
      <c r="C535" s="3" t="str">
        <f>TEXT(CleanedTable[[#This Row],[OrderDate]],"yyyy")</f>
        <v>2024</v>
      </c>
      <c r="D535" s="3" t="str">
        <f>TEXT(CleanedTable[[#This Row],[OrderDate]],"mmm yyyy")</f>
        <v>Jan 2024</v>
      </c>
      <c r="E535" t="s">
        <v>23</v>
      </c>
      <c r="F535" t="s">
        <v>30</v>
      </c>
      <c r="G535" s="12">
        <v>13</v>
      </c>
      <c r="H535" s="8">
        <v>204.67</v>
      </c>
      <c r="I535" t="s">
        <v>32</v>
      </c>
      <c r="J535" t="s">
        <v>36</v>
      </c>
      <c r="K535" s="10">
        <v>0.15</v>
      </c>
      <c r="L535" t="s">
        <v>38</v>
      </c>
      <c r="M535">
        <v>2261.6035000000002</v>
      </c>
      <c r="N535">
        <v>1596.4259999999999</v>
      </c>
      <c r="O535" s="10">
        <v>658.41750000000025</v>
      </c>
      <c r="P535" s="10">
        <v>0.2911286173725855</v>
      </c>
      <c r="Q535" s="8">
        <v>2261.6035000000002</v>
      </c>
      <c r="R535" t="s">
        <v>43</v>
      </c>
      <c r="T535" t="s">
        <v>2932</v>
      </c>
      <c r="U535">
        <v>0</v>
      </c>
      <c r="V535" t="str">
        <f>IF(CleanedTable[[#This Row],[Returned]] = 0,"NO","Yes")</f>
        <v>NO</v>
      </c>
      <c r="W535" t="s">
        <v>584</v>
      </c>
      <c r="X535" t="s">
        <v>2063</v>
      </c>
      <c r="Y535" s="10">
        <v>6.76</v>
      </c>
      <c r="Z535" s="3">
        <v>45292</v>
      </c>
      <c r="AA535" s="3">
        <v>45296</v>
      </c>
      <c r="AB535" t="s">
        <v>2926</v>
      </c>
      <c r="AC535">
        <v>4</v>
      </c>
    </row>
    <row r="536" spans="1:29" x14ac:dyDescent="0.3">
      <c r="A536" s="3">
        <v>45391</v>
      </c>
      <c r="B536" s="3" t="str">
        <f>TEXT(CleanedTable[[#This Row],[OrderDate]],"mmm")</f>
        <v>Apr</v>
      </c>
      <c r="C536" s="3" t="str">
        <f>TEXT(CleanedTable[[#This Row],[OrderDate]],"yyyy")</f>
        <v>2024</v>
      </c>
      <c r="D536" s="3" t="str">
        <f>TEXT(CleanedTable[[#This Row],[OrderDate]],"mmm yyyy")</f>
        <v>Apr 2024</v>
      </c>
      <c r="E536" t="s">
        <v>22</v>
      </c>
      <c r="F536" t="s">
        <v>30</v>
      </c>
      <c r="G536" s="12">
        <v>3</v>
      </c>
      <c r="H536" s="8">
        <v>250.11</v>
      </c>
      <c r="I536" t="s">
        <v>34</v>
      </c>
      <c r="J536" t="s">
        <v>35</v>
      </c>
      <c r="K536" s="10">
        <v>0</v>
      </c>
      <c r="L536" t="s">
        <v>38</v>
      </c>
      <c r="M536">
        <v>750.33</v>
      </c>
      <c r="N536">
        <v>450.19799999999998</v>
      </c>
      <c r="O536" s="10">
        <v>263.78200000000004</v>
      </c>
      <c r="P536" s="10">
        <v>0.35155464928764679</v>
      </c>
      <c r="Q536" s="8">
        <v>750.33</v>
      </c>
      <c r="R536" t="s">
        <v>44</v>
      </c>
      <c r="S536" t="s">
        <v>48</v>
      </c>
      <c r="T536" t="s">
        <v>2931</v>
      </c>
      <c r="U536">
        <v>0</v>
      </c>
      <c r="V536" t="str">
        <f>IF(CleanedTable[[#This Row],[Returned]] = 0,"NO","Yes")</f>
        <v>NO</v>
      </c>
      <c r="W536" t="s">
        <v>585</v>
      </c>
      <c r="X536" t="s">
        <v>2064</v>
      </c>
      <c r="Y536" s="10">
        <v>36.35</v>
      </c>
      <c r="Z536" s="3">
        <v>45391</v>
      </c>
      <c r="AA536" s="3">
        <v>45399</v>
      </c>
      <c r="AB536" t="s">
        <v>2925</v>
      </c>
      <c r="AC536">
        <v>8</v>
      </c>
    </row>
    <row r="537" spans="1:29" x14ac:dyDescent="0.3">
      <c r="A537" s="3">
        <v>45674</v>
      </c>
      <c r="B537" s="3" t="str">
        <f>TEXT(CleanedTable[[#This Row],[OrderDate]],"mmm")</f>
        <v>Jan</v>
      </c>
      <c r="C537" s="3" t="str">
        <f>TEXT(CleanedTable[[#This Row],[OrderDate]],"yyyy")</f>
        <v>2025</v>
      </c>
      <c r="D537" s="3" t="str">
        <f>TEXT(CleanedTable[[#This Row],[OrderDate]],"mmm yyyy")</f>
        <v>Jan 2025</v>
      </c>
      <c r="E537" t="s">
        <v>21</v>
      </c>
      <c r="F537" t="s">
        <v>26</v>
      </c>
      <c r="G537" s="12">
        <v>12</v>
      </c>
      <c r="H537" s="8">
        <v>526.82000000000005</v>
      </c>
      <c r="I537" t="s">
        <v>32</v>
      </c>
      <c r="J537" t="s">
        <v>36</v>
      </c>
      <c r="K537" s="10">
        <v>0</v>
      </c>
      <c r="L537" t="s">
        <v>39</v>
      </c>
      <c r="M537">
        <v>6321.84</v>
      </c>
      <c r="N537">
        <v>3793.1040000000003</v>
      </c>
      <c r="O537" s="10">
        <v>2498.9859999999999</v>
      </c>
      <c r="P537" s="10">
        <v>0.39529409159358664</v>
      </c>
      <c r="Q537" s="8">
        <v>6321.84</v>
      </c>
      <c r="R537" t="s">
        <v>45</v>
      </c>
      <c r="S537" t="s">
        <v>50</v>
      </c>
      <c r="T537" t="s">
        <v>2931</v>
      </c>
      <c r="U537">
        <v>0</v>
      </c>
      <c r="V537" t="str">
        <f>IF(CleanedTable[[#This Row],[Returned]] = 0,"NO","Yes")</f>
        <v>NO</v>
      </c>
      <c r="W537" t="s">
        <v>586</v>
      </c>
      <c r="X537" t="s">
        <v>2065</v>
      </c>
      <c r="Y537" s="10">
        <v>29.75</v>
      </c>
      <c r="Z537" s="3">
        <v>45674</v>
      </c>
      <c r="AA537" s="3">
        <v>45682</v>
      </c>
      <c r="AB537" t="s">
        <v>2924</v>
      </c>
      <c r="AC537">
        <v>8</v>
      </c>
    </row>
    <row r="538" spans="1:29" x14ac:dyDescent="0.3">
      <c r="A538" s="3">
        <v>45557</v>
      </c>
      <c r="B538" s="3" t="str">
        <f>TEXT(CleanedTable[[#This Row],[OrderDate]],"mmm")</f>
        <v>Sep</v>
      </c>
      <c r="C538" s="3" t="str">
        <f>TEXT(CleanedTable[[#This Row],[OrderDate]],"yyyy")</f>
        <v>2024</v>
      </c>
      <c r="D538" s="3" t="str">
        <f>TEXT(CleanedTable[[#This Row],[OrderDate]],"mmm yyyy")</f>
        <v>Sep 2024</v>
      </c>
      <c r="E538" t="s">
        <v>19</v>
      </c>
      <c r="F538" t="s">
        <v>27</v>
      </c>
      <c r="G538" s="12">
        <v>18</v>
      </c>
      <c r="H538" s="8">
        <v>575.1</v>
      </c>
      <c r="I538" t="s">
        <v>34</v>
      </c>
      <c r="J538" t="s">
        <v>35</v>
      </c>
      <c r="K538" s="10">
        <v>0</v>
      </c>
      <c r="L538" t="s">
        <v>42</v>
      </c>
      <c r="M538">
        <v>10351.800000000001</v>
      </c>
      <c r="N538">
        <v>6211.08</v>
      </c>
      <c r="O538" s="10">
        <v>4105.4000000000015</v>
      </c>
      <c r="P538" s="10">
        <v>0.39658803299909207</v>
      </c>
      <c r="Q538" s="8">
        <v>10351.799999999999</v>
      </c>
      <c r="R538" t="s">
        <v>43</v>
      </c>
      <c r="S538" t="s">
        <v>48</v>
      </c>
      <c r="T538" t="s">
        <v>2931</v>
      </c>
      <c r="U538">
        <v>0</v>
      </c>
      <c r="V538" t="str">
        <f>IF(CleanedTable[[#This Row],[Returned]] = 0,"NO","Yes")</f>
        <v>NO</v>
      </c>
      <c r="W538" t="s">
        <v>587</v>
      </c>
      <c r="X538" t="s">
        <v>2066</v>
      </c>
      <c r="Y538" s="10">
        <v>35.32</v>
      </c>
      <c r="Z538" s="3">
        <v>45557</v>
      </c>
      <c r="AA538" s="3">
        <v>45564</v>
      </c>
      <c r="AB538" t="s">
        <v>2922</v>
      </c>
      <c r="AC538">
        <v>7</v>
      </c>
    </row>
    <row r="539" spans="1:29" x14ac:dyDescent="0.3">
      <c r="A539" s="3">
        <v>44946</v>
      </c>
      <c r="B539" s="3" t="str">
        <f>TEXT(CleanedTable[[#This Row],[OrderDate]],"mmm")</f>
        <v>Jan</v>
      </c>
      <c r="C539" s="3" t="str">
        <f>TEXT(CleanedTable[[#This Row],[OrderDate]],"yyyy")</f>
        <v>2023</v>
      </c>
      <c r="D539" s="3" t="str">
        <f>TEXT(CleanedTable[[#This Row],[OrderDate]],"mmm yyyy")</f>
        <v>Jan 2023</v>
      </c>
      <c r="E539" t="s">
        <v>19</v>
      </c>
      <c r="F539" t="s">
        <v>28</v>
      </c>
      <c r="G539" s="12">
        <v>8</v>
      </c>
      <c r="H539" s="8">
        <v>325.52</v>
      </c>
      <c r="I539" t="s">
        <v>33</v>
      </c>
      <c r="J539" t="s">
        <v>36</v>
      </c>
      <c r="K539" s="10">
        <v>0.1</v>
      </c>
      <c r="L539" t="s">
        <v>39</v>
      </c>
      <c r="M539">
        <v>2343.7440000000001</v>
      </c>
      <c r="N539">
        <v>1562.4959999999999</v>
      </c>
      <c r="O539" s="10">
        <v>735.65800000000024</v>
      </c>
      <c r="P539" s="10">
        <v>0.31388155020343528</v>
      </c>
      <c r="Q539" s="8">
        <v>2343.7440000000001</v>
      </c>
      <c r="R539" t="s">
        <v>46</v>
      </c>
      <c r="S539" t="s">
        <v>50</v>
      </c>
      <c r="T539" t="s">
        <v>2931</v>
      </c>
      <c r="U539">
        <v>0</v>
      </c>
      <c r="V539" t="str">
        <f>IF(CleanedTable[[#This Row],[Returned]] = 0,"NO","Yes")</f>
        <v>NO</v>
      </c>
      <c r="W539" t="s">
        <v>588</v>
      </c>
      <c r="X539" t="s">
        <v>2067</v>
      </c>
      <c r="Y539" s="10">
        <v>45.59</v>
      </c>
      <c r="Z539" s="3">
        <v>44946</v>
      </c>
      <c r="AA539" s="3">
        <v>44951</v>
      </c>
      <c r="AB539" t="s">
        <v>2922</v>
      </c>
      <c r="AC539">
        <v>5</v>
      </c>
    </row>
    <row r="540" spans="1:29" x14ac:dyDescent="0.3">
      <c r="A540" s="3">
        <v>45303</v>
      </c>
      <c r="B540" s="3" t="str">
        <f>TEXT(CleanedTable[[#This Row],[OrderDate]],"mmm")</f>
        <v>Jan</v>
      </c>
      <c r="C540" s="3" t="str">
        <f>TEXT(CleanedTable[[#This Row],[OrderDate]],"yyyy")</f>
        <v>2024</v>
      </c>
      <c r="D540" s="3" t="str">
        <f>TEXT(CleanedTable[[#This Row],[OrderDate]],"mmm yyyy")</f>
        <v>Jan 2024</v>
      </c>
      <c r="E540" t="s">
        <v>21</v>
      </c>
      <c r="F540" t="s">
        <v>28</v>
      </c>
      <c r="G540" s="12">
        <v>14</v>
      </c>
      <c r="H540" s="8">
        <v>157.13999999999999</v>
      </c>
      <c r="I540" t="s">
        <v>32</v>
      </c>
      <c r="J540" t="s">
        <v>35</v>
      </c>
      <c r="K540" s="10">
        <v>0.15</v>
      </c>
      <c r="L540" t="s">
        <v>41</v>
      </c>
      <c r="M540">
        <v>1869.9659999999999</v>
      </c>
      <c r="N540">
        <v>1319.9759999999999</v>
      </c>
      <c r="O540" s="10">
        <v>513.95000000000005</v>
      </c>
      <c r="P540" s="10">
        <v>0.27484456936650187</v>
      </c>
      <c r="Q540" s="8">
        <v>1869.9659999999999</v>
      </c>
      <c r="R540" t="s">
        <v>44</v>
      </c>
      <c r="S540" t="s">
        <v>49</v>
      </c>
      <c r="T540" t="s">
        <v>2931</v>
      </c>
      <c r="U540">
        <v>0</v>
      </c>
      <c r="V540" t="str">
        <f>IF(CleanedTable[[#This Row],[Returned]] = 0,"NO","Yes")</f>
        <v>NO</v>
      </c>
      <c r="W540" t="s">
        <v>589</v>
      </c>
      <c r="X540" t="s">
        <v>2068</v>
      </c>
      <c r="Y540" s="10">
        <v>36.04</v>
      </c>
      <c r="Z540" s="3">
        <v>45303</v>
      </c>
      <c r="AA540" s="3">
        <v>45313</v>
      </c>
      <c r="AB540" t="s">
        <v>2924</v>
      </c>
      <c r="AC540">
        <v>10</v>
      </c>
    </row>
    <row r="541" spans="1:29" x14ac:dyDescent="0.3">
      <c r="A541" s="3">
        <v>45390</v>
      </c>
      <c r="B541" s="3" t="str">
        <f>TEXT(CleanedTable[[#This Row],[OrderDate]],"mmm")</f>
        <v>Apr</v>
      </c>
      <c r="C541" s="3" t="str">
        <f>TEXT(CleanedTable[[#This Row],[OrderDate]],"yyyy")</f>
        <v>2024</v>
      </c>
      <c r="D541" s="3" t="str">
        <f>TEXT(CleanedTable[[#This Row],[OrderDate]],"mmm yyyy")</f>
        <v>Apr 2024</v>
      </c>
      <c r="E541" t="s">
        <v>22</v>
      </c>
      <c r="F541" t="s">
        <v>24</v>
      </c>
      <c r="G541" s="12">
        <v>10</v>
      </c>
      <c r="H541" s="8">
        <v>100.26</v>
      </c>
      <c r="I541" t="s">
        <v>34</v>
      </c>
      <c r="J541" t="s">
        <v>35</v>
      </c>
      <c r="K541" s="10">
        <v>0.05</v>
      </c>
      <c r="L541" t="s">
        <v>40</v>
      </c>
      <c r="M541">
        <v>952.47</v>
      </c>
      <c r="N541">
        <v>601.55999999999995</v>
      </c>
      <c r="O541" s="10">
        <v>314.2000000000001</v>
      </c>
      <c r="P541" s="10">
        <v>0.32987915629888614</v>
      </c>
      <c r="Q541" s="8">
        <v>952.47</v>
      </c>
      <c r="R541" t="s">
        <v>44</v>
      </c>
      <c r="S541" t="s">
        <v>49</v>
      </c>
      <c r="T541" t="s">
        <v>2931</v>
      </c>
      <c r="U541">
        <v>0</v>
      </c>
      <c r="V541" t="str">
        <f>IF(CleanedTable[[#This Row],[Returned]] = 0,"NO","Yes")</f>
        <v>NO</v>
      </c>
      <c r="W541" t="s">
        <v>590</v>
      </c>
      <c r="X541" t="s">
        <v>2069</v>
      </c>
      <c r="Y541" s="10">
        <v>36.71</v>
      </c>
      <c r="Z541" s="3">
        <v>45390</v>
      </c>
      <c r="AA541" s="3">
        <v>45397</v>
      </c>
      <c r="AB541" t="s">
        <v>2925</v>
      </c>
      <c r="AC541">
        <v>7</v>
      </c>
    </row>
    <row r="542" spans="1:29" x14ac:dyDescent="0.3">
      <c r="A542" s="3">
        <v>45043</v>
      </c>
      <c r="B542" s="3" t="str">
        <f>TEXT(CleanedTable[[#This Row],[OrderDate]],"mmm")</f>
        <v>Apr</v>
      </c>
      <c r="C542" s="3" t="str">
        <f>TEXT(CleanedTable[[#This Row],[OrderDate]],"yyyy")</f>
        <v>2023</v>
      </c>
      <c r="D542" s="3" t="str">
        <f>TEXT(CleanedTable[[#This Row],[OrderDate]],"mmm yyyy")</f>
        <v>Apr 2023</v>
      </c>
      <c r="E542" t="s">
        <v>22</v>
      </c>
      <c r="F542" t="s">
        <v>24</v>
      </c>
      <c r="G542" s="12">
        <v>9</v>
      </c>
      <c r="H542" s="8">
        <v>554.48</v>
      </c>
      <c r="I542" t="s">
        <v>33</v>
      </c>
      <c r="J542" t="s">
        <v>35</v>
      </c>
      <c r="K542" s="10">
        <v>0</v>
      </c>
      <c r="L542" t="s">
        <v>40</v>
      </c>
      <c r="M542">
        <v>4990.32</v>
      </c>
      <c r="N542">
        <v>2994.192</v>
      </c>
      <c r="O542" s="10">
        <v>1947.8679999999997</v>
      </c>
      <c r="P542" s="10">
        <v>0.39032927748120355</v>
      </c>
      <c r="Q542" s="8">
        <v>4990.32</v>
      </c>
      <c r="R542" t="s">
        <v>43</v>
      </c>
      <c r="T542" t="s">
        <v>2932</v>
      </c>
      <c r="U542">
        <v>0</v>
      </c>
      <c r="V542" t="str">
        <f>IF(CleanedTable[[#This Row],[Returned]] = 0,"NO","Yes")</f>
        <v>NO</v>
      </c>
      <c r="W542" t="s">
        <v>591</v>
      </c>
      <c r="X542" t="s">
        <v>2070</v>
      </c>
      <c r="Y542" s="10">
        <v>48.26</v>
      </c>
      <c r="Z542" s="3">
        <v>45043</v>
      </c>
      <c r="AA542" s="3">
        <v>45047</v>
      </c>
      <c r="AB542" t="s">
        <v>2925</v>
      </c>
      <c r="AC542">
        <v>4</v>
      </c>
    </row>
    <row r="543" spans="1:29" x14ac:dyDescent="0.3">
      <c r="A543" s="3">
        <v>45490</v>
      </c>
      <c r="B543" s="3" t="str">
        <f>TEXT(CleanedTable[[#This Row],[OrderDate]],"mmm")</f>
        <v>Jul</v>
      </c>
      <c r="C543" s="3" t="str">
        <f>TEXT(CleanedTable[[#This Row],[OrderDate]],"yyyy")</f>
        <v>2024</v>
      </c>
      <c r="D543" s="3" t="str">
        <f>TEXT(CleanedTable[[#This Row],[OrderDate]],"mmm yyyy")</f>
        <v>Jul 2024</v>
      </c>
      <c r="E543" t="s">
        <v>21</v>
      </c>
      <c r="F543" t="s">
        <v>25</v>
      </c>
      <c r="G543" s="12">
        <v>4</v>
      </c>
      <c r="H543" s="8">
        <v>375.96</v>
      </c>
      <c r="I543" t="s">
        <v>33</v>
      </c>
      <c r="J543" t="s">
        <v>36</v>
      </c>
      <c r="K543" s="10">
        <v>0.15</v>
      </c>
      <c r="L543" t="s">
        <v>40</v>
      </c>
      <c r="M543">
        <v>1278.2639999999999</v>
      </c>
      <c r="N543">
        <v>902.30399999999997</v>
      </c>
      <c r="O543" s="10">
        <v>330.96999999999991</v>
      </c>
      <c r="P543" s="10">
        <v>0.25892147475012983</v>
      </c>
      <c r="Q543" s="8">
        <v>1278.2639999999999</v>
      </c>
      <c r="R543" t="s">
        <v>46</v>
      </c>
      <c r="T543" t="s">
        <v>2932</v>
      </c>
      <c r="U543">
        <v>0</v>
      </c>
      <c r="V543" t="str">
        <f>IF(CleanedTable[[#This Row],[Returned]] = 0,"NO","Yes")</f>
        <v>NO</v>
      </c>
      <c r="W543" t="s">
        <v>592</v>
      </c>
      <c r="X543" t="s">
        <v>2071</v>
      </c>
      <c r="Y543" s="10">
        <v>44.99</v>
      </c>
      <c r="Z543" s="3">
        <v>45490</v>
      </c>
      <c r="AA543" s="3">
        <v>45498</v>
      </c>
      <c r="AB543" t="s">
        <v>2924</v>
      </c>
      <c r="AC543">
        <v>8</v>
      </c>
    </row>
    <row r="544" spans="1:29" x14ac:dyDescent="0.3">
      <c r="A544" s="3">
        <v>45339</v>
      </c>
      <c r="B544" s="3" t="str">
        <f>TEXT(CleanedTable[[#This Row],[OrderDate]],"mmm")</f>
        <v>Feb</v>
      </c>
      <c r="C544" s="3" t="str">
        <f>TEXT(CleanedTable[[#This Row],[OrderDate]],"yyyy")</f>
        <v>2024</v>
      </c>
      <c r="D544" s="3" t="str">
        <f>TEXT(CleanedTable[[#This Row],[OrderDate]],"mmm yyyy")</f>
        <v>Feb 2024</v>
      </c>
      <c r="E544" t="s">
        <v>22</v>
      </c>
      <c r="F544" t="s">
        <v>28</v>
      </c>
      <c r="G544" s="12">
        <v>14</v>
      </c>
      <c r="H544" s="8">
        <v>485.21</v>
      </c>
      <c r="I544" t="s">
        <v>32</v>
      </c>
      <c r="J544" t="s">
        <v>36</v>
      </c>
      <c r="K544" s="10">
        <v>0</v>
      </c>
      <c r="L544" t="s">
        <v>39</v>
      </c>
      <c r="M544">
        <v>6792.94</v>
      </c>
      <c r="N544">
        <v>4075.7639999999997</v>
      </c>
      <c r="O544" s="10">
        <v>2675.4560000000001</v>
      </c>
      <c r="P544" s="10">
        <v>0.39385832938315374</v>
      </c>
      <c r="Q544" s="8">
        <v>6792.94</v>
      </c>
      <c r="R544" t="s">
        <v>43</v>
      </c>
      <c r="S544" t="s">
        <v>48</v>
      </c>
      <c r="T544" t="s">
        <v>2931</v>
      </c>
      <c r="U544">
        <v>0</v>
      </c>
      <c r="V544" t="str">
        <f>IF(CleanedTable[[#This Row],[Returned]] = 0,"NO","Yes")</f>
        <v>NO</v>
      </c>
      <c r="W544" t="s">
        <v>593</v>
      </c>
      <c r="X544" t="s">
        <v>2072</v>
      </c>
      <c r="Y544" s="10">
        <v>41.72</v>
      </c>
      <c r="Z544" s="3">
        <v>45339</v>
      </c>
      <c r="AA544" s="3">
        <v>45345</v>
      </c>
      <c r="AB544" t="s">
        <v>2925</v>
      </c>
      <c r="AC544">
        <v>6</v>
      </c>
    </row>
    <row r="545" spans="1:29" x14ac:dyDescent="0.3">
      <c r="A545" s="3">
        <v>45316</v>
      </c>
      <c r="B545" s="3" t="str">
        <f>TEXT(CleanedTable[[#This Row],[OrderDate]],"mmm")</f>
        <v>Jan</v>
      </c>
      <c r="C545" s="3" t="str">
        <f>TEXT(CleanedTable[[#This Row],[OrderDate]],"yyyy")</f>
        <v>2024</v>
      </c>
      <c r="D545" s="3" t="str">
        <f>TEXT(CleanedTable[[#This Row],[OrderDate]],"mmm yyyy")</f>
        <v>Jan 2024</v>
      </c>
      <c r="E545" t="s">
        <v>20</v>
      </c>
      <c r="F545" t="s">
        <v>28</v>
      </c>
      <c r="G545" s="12">
        <v>9</v>
      </c>
      <c r="H545" s="8">
        <v>372.44</v>
      </c>
      <c r="I545" t="s">
        <v>32</v>
      </c>
      <c r="J545" t="s">
        <v>35</v>
      </c>
      <c r="K545" s="10">
        <v>0.05</v>
      </c>
      <c r="L545" t="s">
        <v>41</v>
      </c>
      <c r="M545">
        <v>3184.3620000000001</v>
      </c>
      <c r="N545">
        <v>2011.1759999999999</v>
      </c>
      <c r="O545" s="10">
        <v>1131.3160000000003</v>
      </c>
      <c r="P545" s="10">
        <v>0.35527242191685499</v>
      </c>
      <c r="Q545" s="8">
        <v>3184.3620000000001</v>
      </c>
      <c r="R545" t="s">
        <v>44</v>
      </c>
      <c r="S545" t="s">
        <v>48</v>
      </c>
      <c r="T545" t="s">
        <v>2931</v>
      </c>
      <c r="U545">
        <v>0</v>
      </c>
      <c r="V545" t="str">
        <f>IF(CleanedTable[[#This Row],[Returned]] = 0,"NO","Yes")</f>
        <v>NO</v>
      </c>
      <c r="W545" t="s">
        <v>594</v>
      </c>
      <c r="X545" t="s">
        <v>2073</v>
      </c>
      <c r="Y545" s="10">
        <v>41.87</v>
      </c>
      <c r="Z545" s="3">
        <v>45316</v>
      </c>
      <c r="AA545" s="3">
        <v>45324</v>
      </c>
      <c r="AB545" t="s">
        <v>2923</v>
      </c>
      <c r="AC545">
        <v>8</v>
      </c>
    </row>
    <row r="546" spans="1:29" x14ac:dyDescent="0.3">
      <c r="A546" s="3">
        <v>45375</v>
      </c>
      <c r="B546" s="3" t="str">
        <f>TEXT(CleanedTable[[#This Row],[OrderDate]],"mmm")</f>
        <v>Mar</v>
      </c>
      <c r="C546" s="3" t="str">
        <f>TEXT(CleanedTable[[#This Row],[OrderDate]],"yyyy")</f>
        <v>2024</v>
      </c>
      <c r="D546" s="3" t="str">
        <f>TEXT(CleanedTable[[#This Row],[OrderDate]],"mmm yyyy")</f>
        <v>Mar 2024</v>
      </c>
      <c r="E546" t="s">
        <v>22</v>
      </c>
      <c r="F546" t="s">
        <v>24</v>
      </c>
      <c r="G546" s="12">
        <v>7</v>
      </c>
      <c r="H546" s="8">
        <v>140.53</v>
      </c>
      <c r="I546" t="s">
        <v>34</v>
      </c>
      <c r="J546" t="s">
        <v>36</v>
      </c>
      <c r="K546" s="10">
        <v>0</v>
      </c>
      <c r="L546" t="s">
        <v>39</v>
      </c>
      <c r="M546">
        <v>983.71</v>
      </c>
      <c r="N546">
        <v>590.226</v>
      </c>
      <c r="O546" s="10">
        <v>368.95400000000006</v>
      </c>
      <c r="P546" s="10">
        <v>0.37506378912484378</v>
      </c>
      <c r="Q546" s="8">
        <v>983.71</v>
      </c>
      <c r="R546" t="s">
        <v>46</v>
      </c>
      <c r="T546" t="s">
        <v>2932</v>
      </c>
      <c r="U546">
        <v>1</v>
      </c>
      <c r="V546" t="str">
        <f>IF(CleanedTable[[#This Row],[Returned]] = 0,"NO","Yes")</f>
        <v>Yes</v>
      </c>
      <c r="W546" t="s">
        <v>595</v>
      </c>
      <c r="X546" t="s">
        <v>2074</v>
      </c>
      <c r="Y546" s="10">
        <v>24.53</v>
      </c>
      <c r="Z546" s="3">
        <v>45375</v>
      </c>
      <c r="AA546" s="3">
        <v>45384</v>
      </c>
      <c r="AB546" t="s">
        <v>2925</v>
      </c>
      <c r="AC546">
        <v>9</v>
      </c>
    </row>
    <row r="547" spans="1:29" x14ac:dyDescent="0.3">
      <c r="A547" s="3">
        <v>45102</v>
      </c>
      <c r="B547" s="3" t="str">
        <f>TEXT(CleanedTable[[#This Row],[OrderDate]],"mmm")</f>
        <v>Jun</v>
      </c>
      <c r="C547" s="3" t="str">
        <f>TEXT(CleanedTable[[#This Row],[OrderDate]],"yyyy")</f>
        <v>2023</v>
      </c>
      <c r="D547" s="3" t="str">
        <f>TEXT(CleanedTable[[#This Row],[OrderDate]],"mmm yyyy")</f>
        <v>Jun 2023</v>
      </c>
      <c r="E547" t="s">
        <v>21</v>
      </c>
      <c r="F547" t="s">
        <v>26</v>
      </c>
      <c r="G547" s="12">
        <v>15</v>
      </c>
      <c r="H547" s="8">
        <v>365.61</v>
      </c>
      <c r="I547" t="s">
        <v>34</v>
      </c>
      <c r="J547" t="s">
        <v>36</v>
      </c>
      <c r="K547" s="10">
        <v>0.15</v>
      </c>
      <c r="L547" t="s">
        <v>42</v>
      </c>
      <c r="M547">
        <v>4661.5275000000001</v>
      </c>
      <c r="N547">
        <v>3290.4900000000002</v>
      </c>
      <c r="O547" s="10">
        <v>1335.1975</v>
      </c>
      <c r="P547" s="10">
        <v>0.28642918013462326</v>
      </c>
      <c r="Q547" s="8">
        <v>4661.5275000000001</v>
      </c>
      <c r="R547" t="s">
        <v>47</v>
      </c>
      <c r="S547" t="s">
        <v>48</v>
      </c>
      <c r="T547" t="s">
        <v>2931</v>
      </c>
      <c r="U547">
        <v>0</v>
      </c>
      <c r="V547" t="str">
        <f>IF(CleanedTable[[#This Row],[Returned]] = 0,"NO","Yes")</f>
        <v>NO</v>
      </c>
      <c r="W547" t="s">
        <v>596</v>
      </c>
      <c r="X547" t="s">
        <v>2075</v>
      </c>
      <c r="Y547" s="10">
        <v>35.840000000000003</v>
      </c>
      <c r="Z547" s="3">
        <v>45102</v>
      </c>
      <c r="AA547" s="3">
        <v>45104</v>
      </c>
      <c r="AB547" t="s">
        <v>2924</v>
      </c>
      <c r="AC547">
        <v>2</v>
      </c>
    </row>
    <row r="548" spans="1:29" x14ac:dyDescent="0.3">
      <c r="A548" s="3">
        <v>45033</v>
      </c>
      <c r="B548" s="3" t="str">
        <f>TEXT(CleanedTable[[#This Row],[OrderDate]],"mmm")</f>
        <v>Apr</v>
      </c>
      <c r="C548" s="3" t="str">
        <f>TEXT(CleanedTable[[#This Row],[OrderDate]],"yyyy")</f>
        <v>2023</v>
      </c>
      <c r="D548" s="3" t="str">
        <f>TEXT(CleanedTable[[#This Row],[OrderDate]],"mmm yyyy")</f>
        <v>Apr 2023</v>
      </c>
      <c r="E548" t="s">
        <v>20</v>
      </c>
      <c r="F548" t="s">
        <v>24</v>
      </c>
      <c r="G548" s="12">
        <v>20</v>
      </c>
      <c r="H548" s="8">
        <v>353.97</v>
      </c>
      <c r="I548" t="s">
        <v>31</v>
      </c>
      <c r="J548" t="s">
        <v>35</v>
      </c>
      <c r="K548" s="10">
        <v>0.15</v>
      </c>
      <c r="L548" t="s">
        <v>39</v>
      </c>
      <c r="M548">
        <v>6017.4900000000007</v>
      </c>
      <c r="N548">
        <v>4247.6400000000003</v>
      </c>
      <c r="O548" s="10">
        <v>1747.8000000000004</v>
      </c>
      <c r="P548" s="10">
        <v>0.29045332854728467</v>
      </c>
      <c r="Q548" s="8">
        <v>6017.4900000000007</v>
      </c>
      <c r="R548" t="s">
        <v>47</v>
      </c>
      <c r="S548" t="s">
        <v>50</v>
      </c>
      <c r="T548" t="s">
        <v>2931</v>
      </c>
      <c r="U548">
        <v>1</v>
      </c>
      <c r="V548" t="str">
        <f>IF(CleanedTable[[#This Row],[Returned]] = 0,"NO","Yes")</f>
        <v>Yes</v>
      </c>
      <c r="W548" t="s">
        <v>597</v>
      </c>
      <c r="X548" t="s">
        <v>2076</v>
      </c>
      <c r="Y548" s="10">
        <v>22.05</v>
      </c>
      <c r="Z548" s="3">
        <v>45033</v>
      </c>
      <c r="AA548" s="3">
        <v>45036</v>
      </c>
      <c r="AB548" t="s">
        <v>2923</v>
      </c>
      <c r="AC548">
        <v>3</v>
      </c>
    </row>
    <row r="549" spans="1:29" x14ac:dyDescent="0.3">
      <c r="A549" s="3">
        <v>45105</v>
      </c>
      <c r="B549" s="3" t="str">
        <f>TEXT(CleanedTable[[#This Row],[OrderDate]],"mmm")</f>
        <v>Jun</v>
      </c>
      <c r="C549" s="3" t="str">
        <f>TEXT(CleanedTable[[#This Row],[OrderDate]],"yyyy")</f>
        <v>2023</v>
      </c>
      <c r="D549" s="3" t="str">
        <f>TEXT(CleanedTable[[#This Row],[OrderDate]],"mmm yyyy")</f>
        <v>Jun 2023</v>
      </c>
      <c r="E549" t="s">
        <v>19</v>
      </c>
      <c r="F549" t="s">
        <v>27</v>
      </c>
      <c r="G549" s="12">
        <v>14</v>
      </c>
      <c r="H549" s="8">
        <v>293.31</v>
      </c>
      <c r="I549" t="s">
        <v>34</v>
      </c>
      <c r="J549" t="s">
        <v>35</v>
      </c>
      <c r="K549" s="10">
        <v>0</v>
      </c>
      <c r="L549" t="s">
        <v>38</v>
      </c>
      <c r="M549">
        <v>4106.34</v>
      </c>
      <c r="N549">
        <v>2463.8040000000001</v>
      </c>
      <c r="O549" s="10">
        <v>1620.9260000000002</v>
      </c>
      <c r="P549" s="10">
        <v>0.39473740605989766</v>
      </c>
      <c r="Q549" s="8">
        <v>4106.34</v>
      </c>
      <c r="R549" t="s">
        <v>44</v>
      </c>
      <c r="T549" t="s">
        <v>2932</v>
      </c>
      <c r="U549">
        <v>0</v>
      </c>
      <c r="V549" t="str">
        <f>IF(CleanedTable[[#This Row],[Returned]] = 0,"NO","Yes")</f>
        <v>NO</v>
      </c>
      <c r="W549" t="s">
        <v>598</v>
      </c>
      <c r="X549" t="s">
        <v>2077</v>
      </c>
      <c r="Y549" s="10">
        <v>21.61</v>
      </c>
      <c r="Z549" s="3">
        <v>45105</v>
      </c>
      <c r="AA549" s="3">
        <v>45107</v>
      </c>
      <c r="AB549" t="s">
        <v>2922</v>
      </c>
      <c r="AC549">
        <v>2</v>
      </c>
    </row>
    <row r="550" spans="1:29" x14ac:dyDescent="0.3">
      <c r="A550" s="3">
        <v>45388</v>
      </c>
      <c r="B550" s="3" t="str">
        <f>TEXT(CleanedTable[[#This Row],[OrderDate]],"mmm")</f>
        <v>Apr</v>
      </c>
      <c r="C550" s="3" t="str">
        <f>TEXT(CleanedTable[[#This Row],[OrderDate]],"yyyy")</f>
        <v>2024</v>
      </c>
      <c r="D550" s="3" t="str">
        <f>TEXT(CleanedTable[[#This Row],[OrderDate]],"mmm yyyy")</f>
        <v>Apr 2024</v>
      </c>
      <c r="E550" t="s">
        <v>22</v>
      </c>
      <c r="F550" t="s">
        <v>27</v>
      </c>
      <c r="G550" s="12">
        <v>10</v>
      </c>
      <c r="H550" s="8">
        <v>397.39</v>
      </c>
      <c r="I550" t="s">
        <v>34</v>
      </c>
      <c r="J550" t="s">
        <v>36</v>
      </c>
      <c r="K550" s="10">
        <v>0.15</v>
      </c>
      <c r="L550" t="s">
        <v>38</v>
      </c>
      <c r="M550">
        <v>3377.8149999999996</v>
      </c>
      <c r="N550">
        <v>2384.3399999999997</v>
      </c>
      <c r="O550" s="10">
        <v>968.20499999999993</v>
      </c>
      <c r="P550" s="10">
        <v>0.28663647949932131</v>
      </c>
      <c r="Q550" s="8">
        <v>3377.8150000000001</v>
      </c>
      <c r="R550" t="s">
        <v>44</v>
      </c>
      <c r="T550" t="s">
        <v>2932</v>
      </c>
      <c r="U550">
        <v>0</v>
      </c>
      <c r="V550" t="str">
        <f>IF(CleanedTable[[#This Row],[Returned]] = 0,"NO","Yes")</f>
        <v>NO</v>
      </c>
      <c r="W550" t="s">
        <v>599</v>
      </c>
      <c r="X550" t="s">
        <v>2078</v>
      </c>
      <c r="Y550" s="10">
        <v>25.27</v>
      </c>
      <c r="Z550" s="3">
        <v>45388</v>
      </c>
      <c r="AA550" s="3">
        <v>45398</v>
      </c>
      <c r="AB550" t="s">
        <v>2925</v>
      </c>
      <c r="AC550">
        <v>10</v>
      </c>
    </row>
    <row r="551" spans="1:29" x14ac:dyDescent="0.3">
      <c r="A551" s="3">
        <v>45705</v>
      </c>
      <c r="B551" s="3" t="str">
        <f>TEXT(CleanedTable[[#This Row],[OrderDate]],"mmm")</f>
        <v>Feb</v>
      </c>
      <c r="C551" s="3" t="str">
        <f>TEXT(CleanedTable[[#This Row],[OrderDate]],"yyyy")</f>
        <v>2025</v>
      </c>
      <c r="D551" s="3" t="str">
        <f>TEXT(CleanedTable[[#This Row],[OrderDate]],"mmm yyyy")</f>
        <v>Feb 2025</v>
      </c>
      <c r="E551" t="s">
        <v>20</v>
      </c>
      <c r="F551" t="s">
        <v>27</v>
      </c>
      <c r="G551" s="12">
        <v>2</v>
      </c>
      <c r="H551" s="8">
        <v>98.35</v>
      </c>
      <c r="I551" t="s">
        <v>33</v>
      </c>
      <c r="J551" t="s">
        <v>36</v>
      </c>
      <c r="K551" s="10">
        <v>0</v>
      </c>
      <c r="L551" t="s">
        <v>37</v>
      </c>
      <c r="M551">
        <v>196.7</v>
      </c>
      <c r="N551">
        <v>118.01999999999998</v>
      </c>
      <c r="O551" s="10">
        <v>50.030000000000008</v>
      </c>
      <c r="P551" s="10">
        <v>0.25434672089476368</v>
      </c>
      <c r="Q551" s="8">
        <v>196.7</v>
      </c>
      <c r="R551" t="s">
        <v>46</v>
      </c>
      <c r="S551" t="s">
        <v>48</v>
      </c>
      <c r="T551" t="s">
        <v>2931</v>
      </c>
      <c r="U551">
        <v>0</v>
      </c>
      <c r="V551" t="str">
        <f>IF(CleanedTable[[#This Row],[Returned]] = 0,"NO","Yes")</f>
        <v>NO</v>
      </c>
      <c r="W551" t="s">
        <v>600</v>
      </c>
      <c r="X551" t="s">
        <v>2079</v>
      </c>
      <c r="Y551" s="10">
        <v>28.65</v>
      </c>
      <c r="Z551" s="3">
        <v>45705</v>
      </c>
      <c r="AA551" s="3">
        <v>45707</v>
      </c>
      <c r="AB551" t="s">
        <v>2923</v>
      </c>
      <c r="AC551">
        <v>2</v>
      </c>
    </row>
    <row r="552" spans="1:29" x14ac:dyDescent="0.3">
      <c r="A552" s="3">
        <v>44934</v>
      </c>
      <c r="B552" s="3" t="str">
        <f>TEXT(CleanedTable[[#This Row],[OrderDate]],"mmm")</f>
        <v>Jan</v>
      </c>
      <c r="C552" s="3" t="str">
        <f>TEXT(CleanedTable[[#This Row],[OrderDate]],"yyyy")</f>
        <v>2023</v>
      </c>
      <c r="D552" s="3" t="str">
        <f>TEXT(CleanedTable[[#This Row],[OrderDate]],"mmm yyyy")</f>
        <v>Jan 2023</v>
      </c>
      <c r="E552" t="s">
        <v>20</v>
      </c>
      <c r="F552" t="s">
        <v>26</v>
      </c>
      <c r="G552" s="12">
        <v>6</v>
      </c>
      <c r="H552" s="8">
        <v>581.66999999999996</v>
      </c>
      <c r="I552" t="s">
        <v>32</v>
      </c>
      <c r="J552" t="s">
        <v>35</v>
      </c>
      <c r="K552" s="10">
        <v>0</v>
      </c>
      <c r="L552" t="s">
        <v>39</v>
      </c>
      <c r="M552">
        <v>3490.0199999999995</v>
      </c>
      <c r="N552">
        <v>2094.0119999999997</v>
      </c>
      <c r="O552" s="10">
        <v>1356.6079999999997</v>
      </c>
      <c r="P552" s="10">
        <v>0.38871066641451907</v>
      </c>
      <c r="Q552" s="8">
        <v>3490.02</v>
      </c>
      <c r="R552" t="s">
        <v>46</v>
      </c>
      <c r="T552" t="s">
        <v>2932</v>
      </c>
      <c r="U552">
        <v>0</v>
      </c>
      <c r="V552" t="str">
        <f>IF(CleanedTable[[#This Row],[Returned]] = 0,"NO","Yes")</f>
        <v>NO</v>
      </c>
      <c r="W552" t="s">
        <v>601</v>
      </c>
      <c r="X552" t="s">
        <v>2080</v>
      </c>
      <c r="Y552" s="10">
        <v>39.4</v>
      </c>
      <c r="Z552" s="3">
        <v>44934</v>
      </c>
      <c r="AA552" s="3">
        <v>44937</v>
      </c>
      <c r="AB552" t="s">
        <v>2923</v>
      </c>
      <c r="AC552">
        <v>3</v>
      </c>
    </row>
    <row r="553" spans="1:29" x14ac:dyDescent="0.3">
      <c r="A553" s="3">
        <v>45281</v>
      </c>
      <c r="B553" s="3" t="str">
        <f>TEXT(CleanedTable[[#This Row],[OrderDate]],"mmm")</f>
        <v>Dec</v>
      </c>
      <c r="C553" s="3" t="str">
        <f>TEXT(CleanedTable[[#This Row],[OrderDate]],"yyyy")</f>
        <v>2023</v>
      </c>
      <c r="D553" s="3" t="str">
        <f>TEXT(CleanedTable[[#This Row],[OrderDate]],"mmm yyyy")</f>
        <v>Dec 2023</v>
      </c>
      <c r="E553" t="s">
        <v>20</v>
      </c>
      <c r="F553" t="s">
        <v>25</v>
      </c>
      <c r="G553" s="12">
        <v>19</v>
      </c>
      <c r="H553" s="8">
        <v>30.41</v>
      </c>
      <c r="I553" t="s">
        <v>34</v>
      </c>
      <c r="J553" t="s">
        <v>36</v>
      </c>
      <c r="K553" s="10">
        <v>0.05</v>
      </c>
      <c r="L553" t="s">
        <v>39</v>
      </c>
      <c r="M553">
        <v>548.90049999999997</v>
      </c>
      <c r="N553">
        <v>346.67399999999998</v>
      </c>
      <c r="O553" s="10">
        <v>153.8965</v>
      </c>
      <c r="P553" s="10">
        <v>0.28037230791372936</v>
      </c>
      <c r="Q553" s="8">
        <v>548.90049999999997</v>
      </c>
      <c r="R553" t="s">
        <v>46</v>
      </c>
      <c r="S553" t="s">
        <v>48</v>
      </c>
      <c r="T553" t="s">
        <v>2931</v>
      </c>
      <c r="U553">
        <v>0</v>
      </c>
      <c r="V553" t="str">
        <f>IF(CleanedTable[[#This Row],[Returned]] = 0,"NO","Yes")</f>
        <v>NO</v>
      </c>
      <c r="W553" t="s">
        <v>602</v>
      </c>
      <c r="X553" t="s">
        <v>2081</v>
      </c>
      <c r="Y553" s="10">
        <v>48.33</v>
      </c>
      <c r="Z553" s="3">
        <v>45281</v>
      </c>
      <c r="AA553" s="3">
        <v>45291</v>
      </c>
      <c r="AB553" t="s">
        <v>2923</v>
      </c>
      <c r="AC553">
        <v>10</v>
      </c>
    </row>
    <row r="554" spans="1:29" x14ac:dyDescent="0.3">
      <c r="A554" s="3">
        <v>45486</v>
      </c>
      <c r="B554" s="3" t="str">
        <f>TEXT(CleanedTable[[#This Row],[OrderDate]],"mmm")</f>
        <v>Jul</v>
      </c>
      <c r="C554" s="3" t="str">
        <f>TEXT(CleanedTable[[#This Row],[OrderDate]],"yyyy")</f>
        <v>2024</v>
      </c>
      <c r="D554" s="3" t="str">
        <f>TEXT(CleanedTable[[#This Row],[OrderDate]],"mmm yyyy")</f>
        <v>Jul 2024</v>
      </c>
      <c r="E554" t="s">
        <v>21</v>
      </c>
      <c r="F554" t="s">
        <v>28</v>
      </c>
      <c r="G554" s="12">
        <v>15</v>
      </c>
      <c r="H554" s="8">
        <v>368.79</v>
      </c>
      <c r="I554" t="s">
        <v>33</v>
      </c>
      <c r="J554" t="s">
        <v>35</v>
      </c>
      <c r="K554" s="10">
        <v>0.1</v>
      </c>
      <c r="L554" t="s">
        <v>42</v>
      </c>
      <c r="M554">
        <v>4978.6650000000009</v>
      </c>
      <c r="N554">
        <v>3319.11</v>
      </c>
      <c r="O554" s="10">
        <v>1642.6550000000007</v>
      </c>
      <c r="P554" s="10">
        <v>0.32993884906897741</v>
      </c>
      <c r="Q554" s="8">
        <v>4978.6650000000009</v>
      </c>
      <c r="R554" t="s">
        <v>44</v>
      </c>
      <c r="S554" t="s">
        <v>50</v>
      </c>
      <c r="T554" t="s">
        <v>2931</v>
      </c>
      <c r="U554">
        <v>0</v>
      </c>
      <c r="V554" t="str">
        <f>IF(CleanedTable[[#This Row],[Returned]] = 0,"NO","Yes")</f>
        <v>NO</v>
      </c>
      <c r="W554" t="s">
        <v>603</v>
      </c>
      <c r="X554" t="s">
        <v>2082</v>
      </c>
      <c r="Y554" s="10">
        <v>16.899999999999999</v>
      </c>
      <c r="Z554" s="3">
        <v>45486</v>
      </c>
      <c r="AA554" s="3">
        <v>45488</v>
      </c>
      <c r="AB554" t="s">
        <v>2924</v>
      </c>
      <c r="AC554">
        <v>2</v>
      </c>
    </row>
    <row r="555" spans="1:29" x14ac:dyDescent="0.3">
      <c r="A555" s="3">
        <v>45374</v>
      </c>
      <c r="B555" s="3" t="str">
        <f>TEXT(CleanedTable[[#This Row],[OrderDate]],"mmm")</f>
        <v>Mar</v>
      </c>
      <c r="C555" s="3" t="str">
        <f>TEXT(CleanedTable[[#This Row],[OrderDate]],"yyyy")</f>
        <v>2024</v>
      </c>
      <c r="D555" s="3" t="str">
        <f>TEXT(CleanedTable[[#This Row],[OrderDate]],"mmm yyyy")</f>
        <v>Mar 2024</v>
      </c>
      <c r="E555" t="s">
        <v>23</v>
      </c>
      <c r="F555" t="s">
        <v>28</v>
      </c>
      <c r="G555" s="12">
        <v>4</v>
      </c>
      <c r="H555" s="8">
        <v>56.06</v>
      </c>
      <c r="I555" t="s">
        <v>34</v>
      </c>
      <c r="J555" t="s">
        <v>36</v>
      </c>
      <c r="K555" s="10">
        <v>0.15</v>
      </c>
      <c r="L555" t="s">
        <v>40</v>
      </c>
      <c r="M555">
        <v>190.60400000000001</v>
      </c>
      <c r="N555">
        <v>134.54400000000001</v>
      </c>
      <c r="O555" s="10">
        <v>45.290000000000006</v>
      </c>
      <c r="P555" s="10">
        <v>0.2376130616356425</v>
      </c>
      <c r="Q555" s="8">
        <v>190.60400000000001</v>
      </c>
      <c r="R555" t="s">
        <v>47</v>
      </c>
      <c r="S555" t="s">
        <v>49</v>
      </c>
      <c r="T555" t="s">
        <v>2931</v>
      </c>
      <c r="U555">
        <v>0</v>
      </c>
      <c r="V555" t="str">
        <f>IF(CleanedTable[[#This Row],[Returned]] = 0,"NO","Yes")</f>
        <v>NO</v>
      </c>
      <c r="W555" t="s">
        <v>604</v>
      </c>
      <c r="X555" t="s">
        <v>2083</v>
      </c>
      <c r="Y555" s="10">
        <v>10.77</v>
      </c>
      <c r="Z555" s="3">
        <v>45374</v>
      </c>
      <c r="AA555" s="3">
        <v>45383</v>
      </c>
      <c r="AB555" t="s">
        <v>2926</v>
      </c>
      <c r="AC555">
        <v>9</v>
      </c>
    </row>
    <row r="556" spans="1:29" x14ac:dyDescent="0.3">
      <c r="A556" s="3">
        <v>45370</v>
      </c>
      <c r="B556" s="3" t="str">
        <f>TEXT(CleanedTable[[#This Row],[OrderDate]],"mmm")</f>
        <v>Mar</v>
      </c>
      <c r="C556" s="3" t="str">
        <f>TEXT(CleanedTable[[#This Row],[OrderDate]],"yyyy")</f>
        <v>2024</v>
      </c>
      <c r="D556" s="3" t="str">
        <f>TEXT(CleanedTable[[#This Row],[OrderDate]],"mmm yyyy")</f>
        <v>Mar 2024</v>
      </c>
      <c r="E556" t="s">
        <v>23</v>
      </c>
      <c r="F556" t="s">
        <v>27</v>
      </c>
      <c r="G556" s="12">
        <v>7</v>
      </c>
      <c r="H556" s="8">
        <v>15.65</v>
      </c>
      <c r="I556" t="s">
        <v>34</v>
      </c>
      <c r="J556" t="s">
        <v>35</v>
      </c>
      <c r="K556" s="10">
        <v>0</v>
      </c>
      <c r="L556" t="s">
        <v>40</v>
      </c>
      <c r="M556">
        <v>109.55</v>
      </c>
      <c r="N556">
        <v>65.73</v>
      </c>
      <c r="O556" s="10">
        <v>30.539999999999992</v>
      </c>
      <c r="P556" s="10">
        <v>0.27877681424007295</v>
      </c>
      <c r="Q556" s="8">
        <v>109.55</v>
      </c>
      <c r="R556" t="s">
        <v>46</v>
      </c>
      <c r="T556" t="s">
        <v>2932</v>
      </c>
      <c r="U556">
        <v>0</v>
      </c>
      <c r="V556" t="str">
        <f>IF(CleanedTable[[#This Row],[Returned]] = 0,"NO","Yes")</f>
        <v>NO</v>
      </c>
      <c r="W556" t="s">
        <v>605</v>
      </c>
      <c r="X556" t="s">
        <v>2084</v>
      </c>
      <c r="Y556" s="10">
        <v>13.28</v>
      </c>
      <c r="Z556" s="3">
        <v>45370</v>
      </c>
      <c r="AA556" s="3">
        <v>45376</v>
      </c>
      <c r="AB556" t="s">
        <v>2926</v>
      </c>
      <c r="AC556">
        <v>6</v>
      </c>
    </row>
    <row r="557" spans="1:29" x14ac:dyDescent="0.3">
      <c r="A557" s="3">
        <v>45797</v>
      </c>
      <c r="B557" s="3" t="str">
        <f>TEXT(CleanedTable[[#This Row],[OrderDate]],"mmm")</f>
        <v>May</v>
      </c>
      <c r="C557" s="3" t="str">
        <f>TEXT(CleanedTable[[#This Row],[OrderDate]],"yyyy")</f>
        <v>2025</v>
      </c>
      <c r="D557" s="3" t="str">
        <f>TEXT(CleanedTable[[#This Row],[OrderDate]],"mmm yyyy")</f>
        <v>May 2025</v>
      </c>
      <c r="E557" t="s">
        <v>22</v>
      </c>
      <c r="F557" t="s">
        <v>29</v>
      </c>
      <c r="G557" s="12">
        <v>9</v>
      </c>
      <c r="H557" s="8">
        <v>380.85</v>
      </c>
      <c r="I557" t="s">
        <v>31</v>
      </c>
      <c r="J557" t="s">
        <v>35</v>
      </c>
      <c r="K557" s="10">
        <v>0</v>
      </c>
      <c r="L557" t="s">
        <v>40</v>
      </c>
      <c r="M557">
        <v>3427.65</v>
      </c>
      <c r="N557">
        <v>2056.59</v>
      </c>
      <c r="O557" s="10">
        <v>1337.6599999999999</v>
      </c>
      <c r="P557" s="10">
        <v>0.39025571455662039</v>
      </c>
      <c r="Q557" s="8">
        <v>3427.65</v>
      </c>
      <c r="R557" t="s">
        <v>47</v>
      </c>
      <c r="S557" t="s">
        <v>48</v>
      </c>
      <c r="T557" t="s">
        <v>2931</v>
      </c>
      <c r="U557">
        <v>0</v>
      </c>
      <c r="V557" t="str">
        <f>IF(CleanedTable[[#This Row],[Returned]] = 0,"NO","Yes")</f>
        <v>NO</v>
      </c>
      <c r="W557" t="s">
        <v>606</v>
      </c>
      <c r="X557" t="s">
        <v>1931</v>
      </c>
      <c r="Y557" s="10">
        <v>33.4</v>
      </c>
      <c r="Z557" s="3">
        <v>45797</v>
      </c>
      <c r="AA557" s="3">
        <v>45806</v>
      </c>
      <c r="AB557" t="s">
        <v>2925</v>
      </c>
      <c r="AC557">
        <v>9</v>
      </c>
    </row>
    <row r="558" spans="1:29" x14ac:dyDescent="0.3">
      <c r="A558" s="3">
        <v>45676</v>
      </c>
      <c r="B558" s="3" t="str">
        <f>TEXT(CleanedTable[[#This Row],[OrderDate]],"mmm")</f>
        <v>Jan</v>
      </c>
      <c r="C558" s="3" t="str">
        <f>TEXT(CleanedTable[[#This Row],[OrderDate]],"yyyy")</f>
        <v>2025</v>
      </c>
      <c r="D558" s="3" t="str">
        <f>TEXT(CleanedTable[[#This Row],[OrderDate]],"mmm yyyy")</f>
        <v>Jan 2025</v>
      </c>
      <c r="E558" t="s">
        <v>20</v>
      </c>
      <c r="F558" t="s">
        <v>27</v>
      </c>
      <c r="G558" s="12">
        <v>11</v>
      </c>
      <c r="H558" s="8">
        <v>587.21</v>
      </c>
      <c r="I558" t="s">
        <v>33</v>
      </c>
      <c r="J558" t="s">
        <v>35</v>
      </c>
      <c r="K558" s="10">
        <v>0</v>
      </c>
      <c r="L558" t="s">
        <v>40</v>
      </c>
      <c r="M558">
        <v>6459.31</v>
      </c>
      <c r="N558">
        <v>3875.5860000000002</v>
      </c>
      <c r="O558" s="10">
        <v>2549.404</v>
      </c>
      <c r="P558" s="10">
        <v>0.39468673898605267</v>
      </c>
      <c r="Q558" s="8">
        <v>6459.31</v>
      </c>
      <c r="R558" t="s">
        <v>46</v>
      </c>
      <c r="S558" t="s">
        <v>50</v>
      </c>
      <c r="T558" t="s">
        <v>2931</v>
      </c>
      <c r="U558">
        <v>0</v>
      </c>
      <c r="V558" t="str">
        <f>IF(CleanedTable[[#This Row],[Returned]] = 0,"NO","Yes")</f>
        <v>NO</v>
      </c>
      <c r="W558" t="s">
        <v>607</v>
      </c>
      <c r="X558" t="s">
        <v>2085</v>
      </c>
      <c r="Y558" s="10">
        <v>34.32</v>
      </c>
      <c r="Z558" s="3">
        <v>45676</v>
      </c>
      <c r="AA558" s="3">
        <v>45683</v>
      </c>
      <c r="AB558" t="s">
        <v>2923</v>
      </c>
      <c r="AC558">
        <v>7</v>
      </c>
    </row>
    <row r="559" spans="1:29" x14ac:dyDescent="0.3">
      <c r="A559" s="3">
        <v>45074</v>
      </c>
      <c r="B559" s="3" t="str">
        <f>TEXT(CleanedTable[[#This Row],[OrderDate]],"mmm")</f>
        <v>May</v>
      </c>
      <c r="C559" s="3" t="str">
        <f>TEXT(CleanedTable[[#This Row],[OrderDate]],"yyyy")</f>
        <v>2023</v>
      </c>
      <c r="D559" s="3" t="str">
        <f>TEXT(CleanedTable[[#This Row],[OrderDate]],"mmm yyyy")</f>
        <v>May 2023</v>
      </c>
      <c r="E559" t="s">
        <v>20</v>
      </c>
      <c r="F559" t="s">
        <v>30</v>
      </c>
      <c r="G559" s="12">
        <v>17</v>
      </c>
      <c r="H559" s="8">
        <v>554.25</v>
      </c>
      <c r="I559" t="s">
        <v>32</v>
      </c>
      <c r="J559" t="s">
        <v>35</v>
      </c>
      <c r="K559" s="10">
        <v>0.1</v>
      </c>
      <c r="L559" t="s">
        <v>41</v>
      </c>
      <c r="M559">
        <v>8480.0249999999996</v>
      </c>
      <c r="N559">
        <v>5653.35</v>
      </c>
      <c r="O559" s="10">
        <v>2818.0149999999994</v>
      </c>
      <c r="P559" s="10">
        <v>0.33231210992892113</v>
      </c>
      <c r="Q559" s="8">
        <v>8480.0249999999996</v>
      </c>
      <c r="R559" t="s">
        <v>46</v>
      </c>
      <c r="T559" t="s">
        <v>2932</v>
      </c>
      <c r="U559">
        <v>0</v>
      </c>
      <c r="V559" t="str">
        <f>IF(CleanedTable[[#This Row],[Returned]] = 0,"NO","Yes")</f>
        <v>NO</v>
      </c>
      <c r="W559" t="s">
        <v>608</v>
      </c>
      <c r="X559" t="s">
        <v>2086</v>
      </c>
      <c r="Y559" s="10">
        <v>8.66</v>
      </c>
      <c r="Z559" s="3">
        <v>45074</v>
      </c>
      <c r="AA559" s="3">
        <v>45078</v>
      </c>
      <c r="AB559" t="s">
        <v>2923</v>
      </c>
      <c r="AC559">
        <v>4</v>
      </c>
    </row>
    <row r="560" spans="1:29" x14ac:dyDescent="0.3">
      <c r="A560" s="3">
        <v>45227</v>
      </c>
      <c r="B560" s="3" t="str">
        <f>TEXT(CleanedTable[[#This Row],[OrderDate]],"mmm")</f>
        <v>Oct</v>
      </c>
      <c r="C560" s="3" t="str">
        <f>TEXT(CleanedTable[[#This Row],[OrderDate]],"yyyy")</f>
        <v>2023</v>
      </c>
      <c r="D560" s="3" t="str">
        <f>TEXT(CleanedTable[[#This Row],[OrderDate]],"mmm yyyy")</f>
        <v>Oct 2023</v>
      </c>
      <c r="E560" t="s">
        <v>19</v>
      </c>
      <c r="F560" t="s">
        <v>30</v>
      </c>
      <c r="G560" s="12">
        <v>3</v>
      </c>
      <c r="H560" s="8">
        <v>410.23</v>
      </c>
      <c r="I560" t="s">
        <v>32</v>
      </c>
      <c r="J560" t="s">
        <v>35</v>
      </c>
      <c r="K560" s="10">
        <v>0.15</v>
      </c>
      <c r="L560" t="s">
        <v>41</v>
      </c>
      <c r="M560">
        <v>1046.0865000000001</v>
      </c>
      <c r="N560">
        <v>738.41399999999999</v>
      </c>
      <c r="O560" s="10">
        <v>301.63250000000011</v>
      </c>
      <c r="P560" s="10">
        <v>0.28834374595217516</v>
      </c>
      <c r="Q560" s="8">
        <v>1046.0864999999999</v>
      </c>
      <c r="R560" t="s">
        <v>45</v>
      </c>
      <c r="S560" t="s">
        <v>48</v>
      </c>
      <c r="T560" t="s">
        <v>2931</v>
      </c>
      <c r="U560">
        <v>0</v>
      </c>
      <c r="V560" t="str">
        <f>IF(CleanedTable[[#This Row],[Returned]] = 0,"NO","Yes")</f>
        <v>NO</v>
      </c>
      <c r="W560" t="s">
        <v>609</v>
      </c>
      <c r="X560" t="s">
        <v>2087</v>
      </c>
      <c r="Y560" s="10">
        <v>6.04</v>
      </c>
      <c r="Z560" s="3">
        <v>45227</v>
      </c>
      <c r="AA560" s="3">
        <v>45233</v>
      </c>
      <c r="AB560" t="s">
        <v>2922</v>
      </c>
      <c r="AC560">
        <v>6</v>
      </c>
    </row>
    <row r="561" spans="1:29" x14ac:dyDescent="0.3">
      <c r="A561" s="3">
        <v>45255</v>
      </c>
      <c r="B561" s="3" t="str">
        <f>TEXT(CleanedTable[[#This Row],[OrderDate]],"mmm")</f>
        <v>Nov</v>
      </c>
      <c r="C561" s="3" t="str">
        <f>TEXT(CleanedTable[[#This Row],[OrderDate]],"yyyy")</f>
        <v>2023</v>
      </c>
      <c r="D561" s="3" t="str">
        <f>TEXT(CleanedTable[[#This Row],[OrderDate]],"mmm yyyy")</f>
        <v>Nov 2023</v>
      </c>
      <c r="E561" t="s">
        <v>23</v>
      </c>
      <c r="F561" t="s">
        <v>28</v>
      </c>
      <c r="G561" s="12">
        <v>5</v>
      </c>
      <c r="H561" s="8">
        <v>99.23</v>
      </c>
      <c r="I561" t="s">
        <v>31</v>
      </c>
      <c r="J561" t="s">
        <v>36</v>
      </c>
      <c r="K561" s="10">
        <v>0</v>
      </c>
      <c r="L561" t="s">
        <v>37</v>
      </c>
      <c r="M561">
        <v>496.15000000000003</v>
      </c>
      <c r="N561">
        <v>297.69</v>
      </c>
      <c r="O561" s="10">
        <v>160.80000000000004</v>
      </c>
      <c r="P561" s="10">
        <v>0.32409553562430721</v>
      </c>
      <c r="Q561" s="8">
        <v>496.15</v>
      </c>
      <c r="R561" t="s">
        <v>46</v>
      </c>
      <c r="T561" t="s">
        <v>2932</v>
      </c>
      <c r="U561">
        <v>0</v>
      </c>
      <c r="V561" t="str">
        <f>IF(CleanedTable[[#This Row],[Returned]] = 0,"NO","Yes")</f>
        <v>NO</v>
      </c>
      <c r="W561" t="s">
        <v>610</v>
      </c>
      <c r="X561" t="s">
        <v>2088</v>
      </c>
      <c r="Y561" s="10">
        <v>37.659999999999997</v>
      </c>
      <c r="Z561" s="3">
        <v>45255</v>
      </c>
      <c r="AA561" s="3">
        <v>45262</v>
      </c>
      <c r="AB561" t="s">
        <v>2926</v>
      </c>
      <c r="AC561">
        <v>7</v>
      </c>
    </row>
    <row r="562" spans="1:29" x14ac:dyDescent="0.3">
      <c r="A562" s="3">
        <v>45613</v>
      </c>
      <c r="B562" s="3" t="str">
        <f>TEXT(CleanedTable[[#This Row],[OrderDate]],"mmm")</f>
        <v>Nov</v>
      </c>
      <c r="C562" s="3" t="str">
        <f>TEXT(CleanedTable[[#This Row],[OrderDate]],"yyyy")</f>
        <v>2024</v>
      </c>
      <c r="D562" s="3" t="str">
        <f>TEXT(CleanedTable[[#This Row],[OrderDate]],"mmm yyyy")</f>
        <v>Nov 2024</v>
      </c>
      <c r="E562" t="s">
        <v>20</v>
      </c>
      <c r="F562" t="s">
        <v>28</v>
      </c>
      <c r="G562" s="12">
        <v>9</v>
      </c>
      <c r="H562" s="8">
        <v>503.18</v>
      </c>
      <c r="I562" t="s">
        <v>31</v>
      </c>
      <c r="J562" t="s">
        <v>35</v>
      </c>
      <c r="K562" s="10">
        <v>0</v>
      </c>
      <c r="L562" t="s">
        <v>41</v>
      </c>
      <c r="M562">
        <v>4528.62</v>
      </c>
      <c r="N562">
        <v>2717.172</v>
      </c>
      <c r="O562" s="10">
        <v>1765.4279999999999</v>
      </c>
      <c r="P562" s="10">
        <v>0.38983796388303721</v>
      </c>
      <c r="Q562" s="8">
        <v>4528.62</v>
      </c>
      <c r="R562" t="s">
        <v>44</v>
      </c>
      <c r="S562" t="s">
        <v>49</v>
      </c>
      <c r="T562" t="s">
        <v>2931</v>
      </c>
      <c r="U562">
        <v>1</v>
      </c>
      <c r="V562" t="str">
        <f>IF(CleanedTable[[#This Row],[Returned]] = 0,"NO","Yes")</f>
        <v>Yes</v>
      </c>
      <c r="W562" t="s">
        <v>611</v>
      </c>
      <c r="X562" t="s">
        <v>2089</v>
      </c>
      <c r="Y562" s="10">
        <v>46.02</v>
      </c>
      <c r="Z562" s="3">
        <v>45613</v>
      </c>
      <c r="AA562" s="3">
        <v>45620</v>
      </c>
      <c r="AB562" t="s">
        <v>2923</v>
      </c>
      <c r="AC562">
        <v>7</v>
      </c>
    </row>
    <row r="563" spans="1:29" x14ac:dyDescent="0.3">
      <c r="A563" s="3">
        <v>45315</v>
      </c>
      <c r="B563" s="3" t="str">
        <f>TEXT(CleanedTable[[#This Row],[OrderDate]],"mmm")</f>
        <v>Jan</v>
      </c>
      <c r="C563" s="3" t="str">
        <f>TEXT(CleanedTable[[#This Row],[OrderDate]],"yyyy")</f>
        <v>2024</v>
      </c>
      <c r="D563" s="3" t="str">
        <f>TEXT(CleanedTable[[#This Row],[OrderDate]],"mmm yyyy")</f>
        <v>Jan 2024</v>
      </c>
      <c r="E563" t="s">
        <v>22</v>
      </c>
      <c r="F563" t="s">
        <v>28</v>
      </c>
      <c r="G563" s="12">
        <v>17</v>
      </c>
      <c r="H563" s="8">
        <v>155.31</v>
      </c>
      <c r="I563" t="s">
        <v>33</v>
      </c>
      <c r="J563" t="s">
        <v>36</v>
      </c>
      <c r="K563" s="10">
        <v>0.15</v>
      </c>
      <c r="L563" t="s">
        <v>42</v>
      </c>
      <c r="M563">
        <v>2244.2294999999999</v>
      </c>
      <c r="N563">
        <v>1584.1619999999998</v>
      </c>
      <c r="O563" s="10">
        <v>632.96750000000009</v>
      </c>
      <c r="P563" s="10">
        <v>0.28204223320297683</v>
      </c>
      <c r="Q563" s="8">
        <v>2244.2294999999999</v>
      </c>
      <c r="R563" t="s">
        <v>45</v>
      </c>
      <c r="S563" t="s">
        <v>50</v>
      </c>
      <c r="T563" t="s">
        <v>2931</v>
      </c>
      <c r="U563">
        <v>0</v>
      </c>
      <c r="V563" t="str">
        <f>IF(CleanedTable[[#This Row],[Returned]] = 0,"NO","Yes")</f>
        <v>NO</v>
      </c>
      <c r="W563" t="s">
        <v>612</v>
      </c>
      <c r="X563" t="s">
        <v>2090</v>
      </c>
      <c r="Y563" s="10">
        <v>27.1</v>
      </c>
      <c r="Z563" s="3">
        <v>45315</v>
      </c>
      <c r="AA563" s="3">
        <v>45320</v>
      </c>
      <c r="AB563" t="s">
        <v>2925</v>
      </c>
      <c r="AC563">
        <v>5</v>
      </c>
    </row>
    <row r="564" spans="1:29" x14ac:dyDescent="0.3">
      <c r="A564" s="3">
        <v>45096</v>
      </c>
      <c r="B564" s="3" t="str">
        <f>TEXT(CleanedTable[[#This Row],[OrderDate]],"mmm")</f>
        <v>Jun</v>
      </c>
      <c r="C564" s="3" t="str">
        <f>TEXT(CleanedTable[[#This Row],[OrderDate]],"yyyy")</f>
        <v>2023</v>
      </c>
      <c r="D564" s="3" t="str">
        <f>TEXT(CleanedTable[[#This Row],[OrderDate]],"mmm yyyy")</f>
        <v>Jun 2023</v>
      </c>
      <c r="E564" t="s">
        <v>21</v>
      </c>
      <c r="F564" t="s">
        <v>27</v>
      </c>
      <c r="G564" s="12">
        <v>7</v>
      </c>
      <c r="H564" s="8">
        <v>303.79000000000002</v>
      </c>
      <c r="I564" t="s">
        <v>34</v>
      </c>
      <c r="J564" t="s">
        <v>35</v>
      </c>
      <c r="K564" s="10">
        <v>0.15</v>
      </c>
      <c r="L564" t="s">
        <v>39</v>
      </c>
      <c r="M564">
        <v>1807.5505000000001</v>
      </c>
      <c r="N564">
        <v>1275.9180000000001</v>
      </c>
      <c r="O564" s="10">
        <v>492.78249999999991</v>
      </c>
      <c r="P564" s="10">
        <v>0.27262447162610387</v>
      </c>
      <c r="Q564" s="8">
        <v>1807.5505000000001</v>
      </c>
      <c r="R564" t="s">
        <v>45</v>
      </c>
      <c r="S564" t="s">
        <v>49</v>
      </c>
      <c r="T564" t="s">
        <v>2931</v>
      </c>
      <c r="U564">
        <v>0</v>
      </c>
      <c r="V564" t="str">
        <f>IF(CleanedTable[[#This Row],[Returned]] = 0,"NO","Yes")</f>
        <v>NO</v>
      </c>
      <c r="W564" t="s">
        <v>613</v>
      </c>
      <c r="X564" t="s">
        <v>2091</v>
      </c>
      <c r="Y564" s="10">
        <v>38.85</v>
      </c>
      <c r="Z564" s="3">
        <v>45096</v>
      </c>
      <c r="AA564" s="3">
        <v>45106</v>
      </c>
      <c r="AB564" t="s">
        <v>2924</v>
      </c>
      <c r="AC564">
        <v>10</v>
      </c>
    </row>
    <row r="565" spans="1:29" x14ac:dyDescent="0.3">
      <c r="A565" s="3">
        <v>45670</v>
      </c>
      <c r="B565" s="3" t="str">
        <f>TEXT(CleanedTable[[#This Row],[OrderDate]],"mmm")</f>
        <v>Jan</v>
      </c>
      <c r="C565" s="3" t="str">
        <f>TEXT(CleanedTable[[#This Row],[OrderDate]],"yyyy")</f>
        <v>2025</v>
      </c>
      <c r="D565" s="3" t="str">
        <f>TEXT(CleanedTable[[#This Row],[OrderDate]],"mmm yyyy")</f>
        <v>Jan 2025</v>
      </c>
      <c r="E565" t="s">
        <v>19</v>
      </c>
      <c r="F565" t="s">
        <v>25</v>
      </c>
      <c r="G565" s="12">
        <v>17</v>
      </c>
      <c r="H565" s="8">
        <v>263.75</v>
      </c>
      <c r="I565" t="s">
        <v>31</v>
      </c>
      <c r="J565" t="s">
        <v>36</v>
      </c>
      <c r="K565" s="10">
        <v>0</v>
      </c>
      <c r="L565" t="s">
        <v>38</v>
      </c>
      <c r="M565">
        <v>4483.75</v>
      </c>
      <c r="N565">
        <v>2690.25</v>
      </c>
      <c r="O565" s="10">
        <v>1780.53</v>
      </c>
      <c r="P565" s="10">
        <v>0.397107332032339</v>
      </c>
      <c r="Q565" s="8">
        <v>4483.75</v>
      </c>
      <c r="R565" t="s">
        <v>43</v>
      </c>
      <c r="T565" t="s">
        <v>2932</v>
      </c>
      <c r="U565">
        <v>1</v>
      </c>
      <c r="V565" t="str">
        <f>IF(CleanedTable[[#This Row],[Returned]] = 0,"NO","Yes")</f>
        <v>Yes</v>
      </c>
      <c r="W565" t="s">
        <v>614</v>
      </c>
      <c r="X565" t="s">
        <v>2092</v>
      </c>
      <c r="Y565" s="10">
        <v>12.97</v>
      </c>
      <c r="Z565" s="3">
        <v>45670</v>
      </c>
      <c r="AA565" s="3">
        <v>45675</v>
      </c>
      <c r="AB565" t="s">
        <v>2922</v>
      </c>
      <c r="AC565">
        <v>5</v>
      </c>
    </row>
    <row r="566" spans="1:29" x14ac:dyDescent="0.3">
      <c r="A566" s="3">
        <v>45315</v>
      </c>
      <c r="B566" s="3" t="str">
        <f>TEXT(CleanedTable[[#This Row],[OrderDate]],"mmm")</f>
        <v>Jan</v>
      </c>
      <c r="C566" s="3" t="str">
        <f>TEXT(CleanedTable[[#This Row],[OrderDate]],"yyyy")</f>
        <v>2024</v>
      </c>
      <c r="D566" s="3" t="str">
        <f>TEXT(CleanedTable[[#This Row],[OrderDate]],"mmm yyyy")</f>
        <v>Jan 2024</v>
      </c>
      <c r="E566" t="s">
        <v>19</v>
      </c>
      <c r="F566" t="s">
        <v>25</v>
      </c>
      <c r="G566" s="12">
        <v>4</v>
      </c>
      <c r="H566" s="8">
        <v>179.92</v>
      </c>
      <c r="I566" t="s">
        <v>34</v>
      </c>
      <c r="J566" t="s">
        <v>36</v>
      </c>
      <c r="K566" s="10">
        <v>0.1</v>
      </c>
      <c r="L566" t="s">
        <v>41</v>
      </c>
      <c r="M566">
        <v>647.71199999999999</v>
      </c>
      <c r="N566">
        <v>431.80799999999994</v>
      </c>
      <c r="O566" s="10">
        <v>180.64400000000006</v>
      </c>
      <c r="P566" s="10">
        <v>0.27889555851983605</v>
      </c>
      <c r="Q566" s="8">
        <v>647.71199999999999</v>
      </c>
      <c r="R566" t="s">
        <v>43</v>
      </c>
      <c r="S566" t="s">
        <v>50</v>
      </c>
      <c r="T566" t="s">
        <v>2931</v>
      </c>
      <c r="U566">
        <v>0</v>
      </c>
      <c r="V566" t="str">
        <f>IF(CleanedTable[[#This Row],[Returned]] = 0,"NO","Yes")</f>
        <v>NO</v>
      </c>
      <c r="W566" t="s">
        <v>615</v>
      </c>
      <c r="X566" t="s">
        <v>2093</v>
      </c>
      <c r="Y566" s="10">
        <v>35.26</v>
      </c>
      <c r="Z566" s="3">
        <v>45315</v>
      </c>
      <c r="AA566" s="3">
        <v>45323</v>
      </c>
      <c r="AB566" t="s">
        <v>2922</v>
      </c>
      <c r="AC566">
        <v>8</v>
      </c>
    </row>
    <row r="567" spans="1:29" x14ac:dyDescent="0.3">
      <c r="A567" s="3">
        <v>45663</v>
      </c>
      <c r="B567" s="3" t="str">
        <f>TEXT(CleanedTable[[#This Row],[OrderDate]],"mmm")</f>
        <v>Jan</v>
      </c>
      <c r="C567" s="3" t="str">
        <f>TEXT(CleanedTable[[#This Row],[OrderDate]],"yyyy")</f>
        <v>2025</v>
      </c>
      <c r="D567" s="3" t="str">
        <f>TEXT(CleanedTable[[#This Row],[OrderDate]],"mmm yyyy")</f>
        <v>Jan 2025</v>
      </c>
      <c r="E567" t="s">
        <v>20</v>
      </c>
      <c r="F567" t="s">
        <v>30</v>
      </c>
      <c r="G567" s="12">
        <v>2</v>
      </c>
      <c r="H567" s="8">
        <v>264</v>
      </c>
      <c r="I567" t="s">
        <v>34</v>
      </c>
      <c r="J567" t="s">
        <v>36</v>
      </c>
      <c r="K567" s="10">
        <v>0</v>
      </c>
      <c r="L567" t="s">
        <v>42</v>
      </c>
      <c r="M567">
        <v>528</v>
      </c>
      <c r="N567">
        <v>316.8</v>
      </c>
      <c r="O567" s="10">
        <v>184.47</v>
      </c>
      <c r="P567" s="10">
        <v>0.34937499999999999</v>
      </c>
      <c r="Q567" s="8">
        <v>528</v>
      </c>
      <c r="R567" t="s">
        <v>44</v>
      </c>
      <c r="S567" t="s">
        <v>49</v>
      </c>
      <c r="T567" t="s">
        <v>2931</v>
      </c>
      <c r="U567">
        <v>0</v>
      </c>
      <c r="V567" t="str">
        <f>IF(CleanedTable[[#This Row],[Returned]] = 0,"NO","Yes")</f>
        <v>NO</v>
      </c>
      <c r="W567" t="s">
        <v>616</v>
      </c>
      <c r="X567" t="s">
        <v>2094</v>
      </c>
      <c r="Y567" s="10">
        <v>26.73</v>
      </c>
      <c r="Z567" s="3">
        <v>45663</v>
      </c>
      <c r="AA567" s="3">
        <v>45671</v>
      </c>
      <c r="AB567" t="s">
        <v>2923</v>
      </c>
      <c r="AC567">
        <v>8</v>
      </c>
    </row>
    <row r="568" spans="1:29" x14ac:dyDescent="0.3">
      <c r="A568" s="3">
        <v>45659</v>
      </c>
      <c r="B568" s="3" t="str">
        <f>TEXT(CleanedTable[[#This Row],[OrderDate]],"mmm")</f>
        <v>Jan</v>
      </c>
      <c r="C568" s="3" t="str">
        <f>TEXT(CleanedTable[[#This Row],[OrderDate]],"yyyy")</f>
        <v>2025</v>
      </c>
      <c r="D568" s="3" t="str">
        <f>TEXT(CleanedTable[[#This Row],[OrderDate]],"mmm yyyy")</f>
        <v>Jan 2025</v>
      </c>
      <c r="E568" t="s">
        <v>22</v>
      </c>
      <c r="F568" t="s">
        <v>24</v>
      </c>
      <c r="G568" s="12">
        <v>4</v>
      </c>
      <c r="H568" s="8">
        <v>403.97</v>
      </c>
      <c r="I568" t="s">
        <v>32</v>
      </c>
      <c r="J568" t="s">
        <v>35</v>
      </c>
      <c r="K568" s="10">
        <v>0.05</v>
      </c>
      <c r="L568" t="s">
        <v>38</v>
      </c>
      <c r="M568">
        <v>1535.086</v>
      </c>
      <c r="N568">
        <v>969.52800000000002</v>
      </c>
      <c r="O568" s="10">
        <v>525.63800000000003</v>
      </c>
      <c r="P568" s="10">
        <v>0.34241599493448577</v>
      </c>
      <c r="Q568" s="8">
        <v>1535.086</v>
      </c>
      <c r="R568" t="s">
        <v>47</v>
      </c>
      <c r="S568" t="s">
        <v>50</v>
      </c>
      <c r="T568" t="s">
        <v>2931</v>
      </c>
      <c r="U568">
        <v>0</v>
      </c>
      <c r="V568" t="str">
        <f>IF(CleanedTable[[#This Row],[Returned]] = 0,"NO","Yes")</f>
        <v>NO</v>
      </c>
      <c r="W568" t="s">
        <v>617</v>
      </c>
      <c r="X568" t="s">
        <v>2095</v>
      </c>
      <c r="Y568" s="10">
        <v>39.92</v>
      </c>
      <c r="Z568" s="3">
        <v>45659</v>
      </c>
      <c r="AA568" s="3">
        <v>45666</v>
      </c>
      <c r="AB568" t="s">
        <v>2925</v>
      </c>
      <c r="AC568">
        <v>7</v>
      </c>
    </row>
    <row r="569" spans="1:29" x14ac:dyDescent="0.3">
      <c r="A569" s="3">
        <v>44979</v>
      </c>
      <c r="B569" s="3" t="str">
        <f>TEXT(CleanedTable[[#This Row],[OrderDate]],"mmm")</f>
        <v>Feb</v>
      </c>
      <c r="C569" s="3" t="str">
        <f>TEXT(CleanedTable[[#This Row],[OrderDate]],"yyyy")</f>
        <v>2023</v>
      </c>
      <c r="D569" s="3" t="str">
        <f>TEXT(CleanedTable[[#This Row],[OrderDate]],"mmm yyyy")</f>
        <v>Feb 2023</v>
      </c>
      <c r="E569" t="s">
        <v>21</v>
      </c>
      <c r="F569" t="s">
        <v>26</v>
      </c>
      <c r="G569" s="12">
        <v>4</v>
      </c>
      <c r="H569" s="8">
        <v>85.96</v>
      </c>
      <c r="I569" t="s">
        <v>32</v>
      </c>
      <c r="J569" t="s">
        <v>36</v>
      </c>
      <c r="K569" s="10">
        <v>0.1</v>
      </c>
      <c r="L569" t="s">
        <v>39</v>
      </c>
      <c r="M569">
        <v>309.45599999999996</v>
      </c>
      <c r="N569">
        <v>206.30399999999997</v>
      </c>
      <c r="O569" s="10">
        <v>71.031999999999982</v>
      </c>
      <c r="P569" s="10">
        <v>0.22953828654154385</v>
      </c>
      <c r="Q569" s="8">
        <v>309.45600000000002</v>
      </c>
      <c r="R569" t="s">
        <v>45</v>
      </c>
      <c r="T569" t="s">
        <v>2932</v>
      </c>
      <c r="U569">
        <v>0</v>
      </c>
      <c r="V569" t="str">
        <f>IF(CleanedTable[[#This Row],[Returned]] = 0,"NO","Yes")</f>
        <v>NO</v>
      </c>
      <c r="W569" t="s">
        <v>618</v>
      </c>
      <c r="X569" t="s">
        <v>2096</v>
      </c>
      <c r="Y569" s="10">
        <v>32.119999999999997</v>
      </c>
      <c r="Z569" s="3">
        <v>44979</v>
      </c>
      <c r="AA569" s="3">
        <v>44988</v>
      </c>
      <c r="AB569" t="s">
        <v>2924</v>
      </c>
      <c r="AC569">
        <v>9</v>
      </c>
    </row>
    <row r="570" spans="1:29" x14ac:dyDescent="0.3">
      <c r="A570" s="3">
        <v>45694</v>
      </c>
      <c r="B570" s="3" t="str">
        <f>TEXT(CleanedTable[[#This Row],[OrderDate]],"mmm")</f>
        <v>Feb</v>
      </c>
      <c r="C570" s="3" t="str">
        <f>TEXT(CleanedTable[[#This Row],[OrderDate]],"yyyy")</f>
        <v>2025</v>
      </c>
      <c r="D570" s="3" t="str">
        <f>TEXT(CleanedTable[[#This Row],[OrderDate]],"mmm yyyy")</f>
        <v>Feb 2025</v>
      </c>
      <c r="E570" t="s">
        <v>19</v>
      </c>
      <c r="F570" t="s">
        <v>26</v>
      </c>
      <c r="G570" s="12">
        <v>2</v>
      </c>
      <c r="H570" s="8">
        <v>93.49</v>
      </c>
      <c r="I570" t="s">
        <v>32</v>
      </c>
      <c r="J570" t="s">
        <v>35</v>
      </c>
      <c r="K570" s="10">
        <v>0.1</v>
      </c>
      <c r="L570" t="s">
        <v>38</v>
      </c>
      <c r="M570">
        <v>168.28199999999998</v>
      </c>
      <c r="N570">
        <v>112.18799999999999</v>
      </c>
      <c r="O570" s="10">
        <v>29.783999999999995</v>
      </c>
      <c r="P570" s="10">
        <v>0.17698862623453487</v>
      </c>
      <c r="Q570" s="8">
        <v>168.28200000000001</v>
      </c>
      <c r="R570" t="s">
        <v>46</v>
      </c>
      <c r="S570" t="s">
        <v>50</v>
      </c>
      <c r="T570" t="s">
        <v>2931</v>
      </c>
      <c r="U570">
        <v>0</v>
      </c>
      <c r="V570" t="str">
        <f>IF(CleanedTable[[#This Row],[Returned]] = 0,"NO","Yes")</f>
        <v>NO</v>
      </c>
      <c r="W570" t="s">
        <v>619</v>
      </c>
      <c r="X570" t="s">
        <v>2097</v>
      </c>
      <c r="Y570" s="10">
        <v>26.31</v>
      </c>
      <c r="Z570" s="3">
        <v>45694</v>
      </c>
      <c r="AA570" s="3">
        <v>45704</v>
      </c>
      <c r="AB570" t="s">
        <v>2922</v>
      </c>
      <c r="AC570">
        <v>10</v>
      </c>
    </row>
    <row r="571" spans="1:29" x14ac:dyDescent="0.3">
      <c r="A571" s="3">
        <v>45561</v>
      </c>
      <c r="B571" s="3" t="str">
        <f>TEXT(CleanedTable[[#This Row],[OrderDate]],"mmm")</f>
        <v>Sep</v>
      </c>
      <c r="C571" s="3" t="str">
        <f>TEXT(CleanedTable[[#This Row],[OrderDate]],"yyyy")</f>
        <v>2024</v>
      </c>
      <c r="D571" s="3" t="str">
        <f>TEXT(CleanedTable[[#This Row],[OrderDate]],"mmm yyyy")</f>
        <v>Sep 2024</v>
      </c>
      <c r="E571" t="s">
        <v>19</v>
      </c>
      <c r="F571" t="s">
        <v>26</v>
      </c>
      <c r="G571" s="12">
        <v>11</v>
      </c>
      <c r="H571" s="8">
        <v>144.29</v>
      </c>
      <c r="I571" t="s">
        <v>31</v>
      </c>
      <c r="J571" t="s">
        <v>36</v>
      </c>
      <c r="K571" s="10">
        <v>0.05</v>
      </c>
      <c r="L571" t="s">
        <v>42</v>
      </c>
      <c r="M571">
        <v>1507.8304999999998</v>
      </c>
      <c r="N571">
        <v>952.31399999999996</v>
      </c>
      <c r="O571" s="10">
        <v>543.60649999999987</v>
      </c>
      <c r="P571" s="10">
        <v>0.36052228682202669</v>
      </c>
      <c r="Q571" s="8">
        <v>1507.8305</v>
      </c>
      <c r="R571" t="s">
        <v>45</v>
      </c>
      <c r="S571" t="s">
        <v>50</v>
      </c>
      <c r="T571" t="s">
        <v>2931</v>
      </c>
      <c r="U571">
        <v>0</v>
      </c>
      <c r="V571" t="str">
        <f>IF(CleanedTable[[#This Row],[Returned]] = 0,"NO","Yes")</f>
        <v>NO</v>
      </c>
      <c r="W571" t="s">
        <v>620</v>
      </c>
      <c r="X571" t="s">
        <v>1959</v>
      </c>
      <c r="Y571" s="10">
        <v>11.91</v>
      </c>
      <c r="Z571" s="3">
        <v>45561</v>
      </c>
      <c r="AA571" s="3">
        <v>45565</v>
      </c>
      <c r="AB571" t="s">
        <v>2922</v>
      </c>
      <c r="AC571">
        <v>4</v>
      </c>
    </row>
    <row r="572" spans="1:29" x14ac:dyDescent="0.3">
      <c r="A572" s="3">
        <v>45744</v>
      </c>
      <c r="B572" s="3" t="str">
        <f>TEXT(CleanedTable[[#This Row],[OrderDate]],"mmm")</f>
        <v>Mar</v>
      </c>
      <c r="C572" s="3" t="str">
        <f>TEXT(CleanedTable[[#This Row],[OrderDate]],"yyyy")</f>
        <v>2025</v>
      </c>
      <c r="D572" s="3" t="str">
        <f>TEXT(CleanedTable[[#This Row],[OrderDate]],"mmm yyyy")</f>
        <v>Mar 2025</v>
      </c>
      <c r="E572" t="s">
        <v>21</v>
      </c>
      <c r="F572" t="s">
        <v>27</v>
      </c>
      <c r="G572" s="12">
        <v>18</v>
      </c>
      <c r="H572" s="8">
        <v>553.23</v>
      </c>
      <c r="I572" t="s">
        <v>34</v>
      </c>
      <c r="J572" t="s">
        <v>35</v>
      </c>
      <c r="K572" s="10">
        <v>0</v>
      </c>
      <c r="L572" t="s">
        <v>39</v>
      </c>
      <c r="M572">
        <v>9958.14</v>
      </c>
      <c r="N572">
        <v>5974.884</v>
      </c>
      <c r="O572" s="10">
        <v>3951.4959999999992</v>
      </c>
      <c r="P572" s="10">
        <v>0.39681064937829752</v>
      </c>
      <c r="Q572" s="8">
        <v>9958.14</v>
      </c>
      <c r="R572" t="s">
        <v>47</v>
      </c>
      <c r="S572" t="s">
        <v>48</v>
      </c>
      <c r="T572" t="s">
        <v>2931</v>
      </c>
      <c r="U572">
        <v>0</v>
      </c>
      <c r="V572" t="str">
        <f>IF(CleanedTable[[#This Row],[Returned]] = 0,"NO","Yes")</f>
        <v>NO</v>
      </c>
      <c r="W572" t="s">
        <v>621</v>
      </c>
      <c r="X572" t="s">
        <v>2098</v>
      </c>
      <c r="Y572" s="10">
        <v>31.76</v>
      </c>
      <c r="Z572" s="3">
        <v>45744</v>
      </c>
      <c r="AA572" s="3">
        <v>45748</v>
      </c>
      <c r="AB572" t="s">
        <v>2924</v>
      </c>
      <c r="AC572">
        <v>4</v>
      </c>
    </row>
    <row r="573" spans="1:29" x14ac:dyDescent="0.3">
      <c r="A573" s="3">
        <v>45108</v>
      </c>
      <c r="B573" s="3" t="str">
        <f>TEXT(CleanedTable[[#This Row],[OrderDate]],"mmm")</f>
        <v>Jul</v>
      </c>
      <c r="C573" s="3" t="str">
        <f>TEXT(CleanedTable[[#This Row],[OrderDate]],"yyyy")</f>
        <v>2023</v>
      </c>
      <c r="D573" s="3" t="str">
        <f>TEXT(CleanedTable[[#This Row],[OrderDate]],"mmm yyyy")</f>
        <v>Jul 2023</v>
      </c>
      <c r="E573" t="s">
        <v>19</v>
      </c>
      <c r="F573" t="s">
        <v>27</v>
      </c>
      <c r="G573" s="12">
        <v>9</v>
      </c>
      <c r="H573" s="8">
        <v>228.3</v>
      </c>
      <c r="I573" t="s">
        <v>31</v>
      </c>
      <c r="J573" t="s">
        <v>36</v>
      </c>
      <c r="K573" s="10">
        <v>0.05</v>
      </c>
      <c r="L573" t="s">
        <v>37</v>
      </c>
      <c r="M573">
        <v>1951.9650000000001</v>
      </c>
      <c r="N573">
        <v>1232.82</v>
      </c>
      <c r="O573" s="10">
        <v>710.39500000000021</v>
      </c>
      <c r="P573" s="10">
        <v>0.3639383902887604</v>
      </c>
      <c r="Q573" s="8">
        <v>1951.9649999999999</v>
      </c>
      <c r="R573" t="s">
        <v>46</v>
      </c>
      <c r="S573" t="s">
        <v>48</v>
      </c>
      <c r="T573" t="s">
        <v>2931</v>
      </c>
      <c r="U573">
        <v>0</v>
      </c>
      <c r="V573" t="str">
        <f>IF(CleanedTable[[#This Row],[Returned]] = 0,"NO","Yes")</f>
        <v>NO</v>
      </c>
      <c r="W573" t="s">
        <v>622</v>
      </c>
      <c r="X573" t="s">
        <v>2099</v>
      </c>
      <c r="Y573" s="10">
        <v>8.75</v>
      </c>
      <c r="Z573" s="3">
        <v>45108</v>
      </c>
      <c r="AA573" s="3">
        <v>45116</v>
      </c>
      <c r="AB573" t="s">
        <v>2922</v>
      </c>
      <c r="AC573">
        <v>8</v>
      </c>
    </row>
    <row r="574" spans="1:29" x14ac:dyDescent="0.3">
      <c r="A574" s="3">
        <v>45045</v>
      </c>
      <c r="B574" s="3" t="str">
        <f>TEXT(CleanedTable[[#This Row],[OrderDate]],"mmm")</f>
        <v>Apr</v>
      </c>
      <c r="C574" s="3" t="str">
        <f>TEXT(CleanedTable[[#This Row],[OrderDate]],"yyyy")</f>
        <v>2023</v>
      </c>
      <c r="D574" s="3" t="str">
        <f>TEXT(CleanedTable[[#This Row],[OrderDate]],"mmm yyyy")</f>
        <v>Apr 2023</v>
      </c>
      <c r="E574" t="s">
        <v>23</v>
      </c>
      <c r="F574" t="s">
        <v>26</v>
      </c>
      <c r="G574" s="12">
        <v>7</v>
      </c>
      <c r="H574" s="8">
        <v>235.94</v>
      </c>
      <c r="I574" t="s">
        <v>34</v>
      </c>
      <c r="J574" t="s">
        <v>35</v>
      </c>
      <c r="K574" s="10">
        <v>0.1</v>
      </c>
      <c r="L574" t="s">
        <v>38</v>
      </c>
      <c r="M574">
        <v>1486.422</v>
      </c>
      <c r="N574">
        <v>990.94799999999998</v>
      </c>
      <c r="O574" s="10">
        <v>487.03400000000005</v>
      </c>
      <c r="P574" s="10">
        <v>0.32765526882675311</v>
      </c>
      <c r="Q574" s="8">
        <v>1486.422</v>
      </c>
      <c r="R574" t="s">
        <v>44</v>
      </c>
      <c r="S574" t="s">
        <v>48</v>
      </c>
      <c r="T574" t="s">
        <v>2931</v>
      </c>
      <c r="U574">
        <v>0</v>
      </c>
      <c r="V574" t="str">
        <f>IF(CleanedTable[[#This Row],[Returned]] = 0,"NO","Yes")</f>
        <v>NO</v>
      </c>
      <c r="W574" t="s">
        <v>623</v>
      </c>
      <c r="X574" t="s">
        <v>2100</v>
      </c>
      <c r="Y574" s="10">
        <v>8.44</v>
      </c>
      <c r="Z574" s="3">
        <v>45045</v>
      </c>
      <c r="AA574" s="3">
        <v>45050</v>
      </c>
      <c r="AB574" t="s">
        <v>2926</v>
      </c>
      <c r="AC574">
        <v>5</v>
      </c>
    </row>
    <row r="575" spans="1:29" x14ac:dyDescent="0.3">
      <c r="A575" s="3">
        <v>45046</v>
      </c>
      <c r="B575" s="3" t="str">
        <f>TEXT(CleanedTable[[#This Row],[OrderDate]],"mmm")</f>
        <v>Apr</v>
      </c>
      <c r="C575" s="3" t="str">
        <f>TEXT(CleanedTable[[#This Row],[OrderDate]],"yyyy")</f>
        <v>2023</v>
      </c>
      <c r="D575" s="3" t="str">
        <f>TEXT(CleanedTable[[#This Row],[OrderDate]],"mmm yyyy")</f>
        <v>Apr 2023</v>
      </c>
      <c r="E575" t="s">
        <v>19</v>
      </c>
      <c r="F575" t="s">
        <v>30</v>
      </c>
      <c r="G575" s="12">
        <v>17</v>
      </c>
      <c r="H575" s="8">
        <v>369.52</v>
      </c>
      <c r="I575" t="s">
        <v>33</v>
      </c>
      <c r="J575" t="s">
        <v>35</v>
      </c>
      <c r="K575" s="10">
        <v>0</v>
      </c>
      <c r="L575" t="s">
        <v>40</v>
      </c>
      <c r="M575">
        <v>6281.84</v>
      </c>
      <c r="N575">
        <v>3769.1039999999998</v>
      </c>
      <c r="O575" s="10">
        <v>2495.6160000000004</v>
      </c>
      <c r="P575" s="10">
        <v>0.39727468385059161</v>
      </c>
      <c r="Q575" s="8">
        <v>6281.84</v>
      </c>
      <c r="R575" t="s">
        <v>44</v>
      </c>
      <c r="T575" t="s">
        <v>2932</v>
      </c>
      <c r="U575">
        <v>0</v>
      </c>
      <c r="V575" t="str">
        <f>IF(CleanedTable[[#This Row],[Returned]] = 0,"NO","Yes")</f>
        <v>NO</v>
      </c>
      <c r="W575" t="s">
        <v>624</v>
      </c>
      <c r="X575" t="s">
        <v>2101</v>
      </c>
      <c r="Y575" s="10">
        <v>17.12</v>
      </c>
      <c r="Z575" s="3">
        <v>45046</v>
      </c>
      <c r="AA575" s="3">
        <v>45052</v>
      </c>
      <c r="AB575" t="s">
        <v>2922</v>
      </c>
      <c r="AC575">
        <v>6</v>
      </c>
    </row>
    <row r="576" spans="1:29" x14ac:dyDescent="0.3">
      <c r="A576" s="3">
        <v>45365</v>
      </c>
      <c r="B576" s="3" t="str">
        <f>TEXT(CleanedTable[[#This Row],[OrderDate]],"mmm")</f>
        <v>Mar</v>
      </c>
      <c r="C576" s="3" t="str">
        <f>TEXT(CleanedTable[[#This Row],[OrderDate]],"yyyy")</f>
        <v>2024</v>
      </c>
      <c r="D576" s="3" t="str">
        <f>TEXT(CleanedTable[[#This Row],[OrderDate]],"mmm yyyy")</f>
        <v>Mar 2024</v>
      </c>
      <c r="E576" t="s">
        <v>23</v>
      </c>
      <c r="F576" t="s">
        <v>25</v>
      </c>
      <c r="G576" s="12">
        <v>8</v>
      </c>
      <c r="H576" s="8">
        <v>142.09</v>
      </c>
      <c r="I576" t="s">
        <v>32</v>
      </c>
      <c r="J576" t="s">
        <v>35</v>
      </c>
      <c r="K576" s="10">
        <v>0</v>
      </c>
      <c r="L576" t="s">
        <v>37</v>
      </c>
      <c r="M576">
        <v>1136.72</v>
      </c>
      <c r="N576">
        <v>682.03200000000004</v>
      </c>
      <c r="O576" s="10">
        <v>415.71799999999996</v>
      </c>
      <c r="P576" s="10">
        <v>0.36571715110141456</v>
      </c>
      <c r="Q576" s="8">
        <v>1136.72</v>
      </c>
      <c r="R576" t="s">
        <v>45</v>
      </c>
      <c r="S576" t="s">
        <v>50</v>
      </c>
      <c r="T576" t="s">
        <v>2931</v>
      </c>
      <c r="U576">
        <v>0</v>
      </c>
      <c r="V576" t="str">
        <f>IF(CleanedTable[[#This Row],[Returned]] = 0,"NO","Yes")</f>
        <v>NO</v>
      </c>
      <c r="W576" t="s">
        <v>625</v>
      </c>
      <c r="X576" t="s">
        <v>2102</v>
      </c>
      <c r="Y576" s="10">
        <v>38.97</v>
      </c>
      <c r="Z576" s="3">
        <v>45365</v>
      </c>
      <c r="AA576" s="3">
        <v>45371</v>
      </c>
      <c r="AB576" t="s">
        <v>2926</v>
      </c>
      <c r="AC576">
        <v>6</v>
      </c>
    </row>
    <row r="577" spans="1:29" x14ac:dyDescent="0.3">
      <c r="A577" s="3">
        <v>45104</v>
      </c>
      <c r="B577" s="3" t="str">
        <f>TEXT(CleanedTable[[#This Row],[OrderDate]],"mmm")</f>
        <v>Jun</v>
      </c>
      <c r="C577" s="3" t="str">
        <f>TEXT(CleanedTable[[#This Row],[OrderDate]],"yyyy")</f>
        <v>2023</v>
      </c>
      <c r="D577" s="3" t="str">
        <f>TEXT(CleanedTable[[#This Row],[OrderDate]],"mmm yyyy")</f>
        <v>Jun 2023</v>
      </c>
      <c r="E577" t="s">
        <v>22</v>
      </c>
      <c r="F577" t="s">
        <v>27</v>
      </c>
      <c r="G577" s="12">
        <v>3</v>
      </c>
      <c r="H577" s="8">
        <v>497.61</v>
      </c>
      <c r="I577" t="s">
        <v>31</v>
      </c>
      <c r="J577" t="s">
        <v>35</v>
      </c>
      <c r="K577" s="10">
        <v>0.15</v>
      </c>
      <c r="L577" t="s">
        <v>38</v>
      </c>
      <c r="M577">
        <v>1268.9054999999998</v>
      </c>
      <c r="N577">
        <v>895.69799999999987</v>
      </c>
      <c r="O577" s="10">
        <v>359.23749999999995</v>
      </c>
      <c r="P577" s="10">
        <v>0.28310815896061603</v>
      </c>
      <c r="Q577" s="8">
        <v>1268.9055000000001</v>
      </c>
      <c r="R577" t="s">
        <v>47</v>
      </c>
      <c r="S577" t="s">
        <v>48</v>
      </c>
      <c r="T577" t="s">
        <v>2931</v>
      </c>
      <c r="U577">
        <v>1</v>
      </c>
      <c r="V577" t="str">
        <f>IF(CleanedTable[[#This Row],[Returned]] = 0,"NO","Yes")</f>
        <v>Yes</v>
      </c>
      <c r="W577" t="s">
        <v>626</v>
      </c>
      <c r="X577" t="s">
        <v>2103</v>
      </c>
      <c r="Y577" s="10">
        <v>13.97</v>
      </c>
      <c r="Z577" s="3">
        <v>45104</v>
      </c>
      <c r="AA577" s="3">
        <v>45109</v>
      </c>
      <c r="AB577" t="s">
        <v>2925</v>
      </c>
      <c r="AC577">
        <v>5</v>
      </c>
    </row>
    <row r="578" spans="1:29" x14ac:dyDescent="0.3">
      <c r="A578" s="3">
        <v>45392</v>
      </c>
      <c r="B578" s="3" t="str">
        <f>TEXT(CleanedTable[[#This Row],[OrderDate]],"mmm")</f>
        <v>Apr</v>
      </c>
      <c r="C578" s="3" t="str">
        <f>TEXT(CleanedTable[[#This Row],[OrderDate]],"yyyy")</f>
        <v>2024</v>
      </c>
      <c r="D578" s="3" t="str">
        <f>TEXT(CleanedTable[[#This Row],[OrderDate]],"mmm yyyy")</f>
        <v>Apr 2024</v>
      </c>
      <c r="E578" t="s">
        <v>21</v>
      </c>
      <c r="F578" t="s">
        <v>24</v>
      </c>
      <c r="G578" s="12">
        <v>19</v>
      </c>
      <c r="H578" s="8">
        <v>9.48</v>
      </c>
      <c r="I578" t="s">
        <v>32</v>
      </c>
      <c r="J578" t="s">
        <v>35</v>
      </c>
      <c r="K578" s="10">
        <v>0</v>
      </c>
      <c r="L578" t="s">
        <v>40</v>
      </c>
      <c r="M578">
        <v>180.12</v>
      </c>
      <c r="N578">
        <v>108.07199999999999</v>
      </c>
      <c r="O578" s="10">
        <v>49.718000000000018</v>
      </c>
      <c r="P578" s="10">
        <v>0.27602709304907846</v>
      </c>
      <c r="Q578" s="8">
        <v>180.12</v>
      </c>
      <c r="R578" t="s">
        <v>43</v>
      </c>
      <c r="T578" t="s">
        <v>2932</v>
      </c>
      <c r="U578">
        <v>0</v>
      </c>
      <c r="V578" t="str">
        <f>IF(CleanedTable[[#This Row],[Returned]] = 0,"NO","Yes")</f>
        <v>NO</v>
      </c>
      <c r="W578" t="s">
        <v>627</v>
      </c>
      <c r="X578" t="s">
        <v>2104</v>
      </c>
      <c r="Y578" s="10">
        <v>22.33</v>
      </c>
      <c r="Z578" s="3">
        <v>45392</v>
      </c>
      <c r="AA578" s="3">
        <v>45394</v>
      </c>
      <c r="AB578" t="s">
        <v>2924</v>
      </c>
      <c r="AC578">
        <v>2</v>
      </c>
    </row>
    <row r="579" spans="1:29" x14ac:dyDescent="0.3">
      <c r="A579" s="3">
        <v>45168</v>
      </c>
      <c r="B579" s="3" t="str">
        <f>TEXT(CleanedTable[[#This Row],[OrderDate]],"mmm")</f>
        <v>Aug</v>
      </c>
      <c r="C579" s="3" t="str">
        <f>TEXT(CleanedTable[[#This Row],[OrderDate]],"yyyy")</f>
        <v>2023</v>
      </c>
      <c r="D579" s="3" t="str">
        <f>TEXT(CleanedTable[[#This Row],[OrderDate]],"mmm yyyy")</f>
        <v>Aug 2023</v>
      </c>
      <c r="E579" t="s">
        <v>22</v>
      </c>
      <c r="F579" t="s">
        <v>30</v>
      </c>
      <c r="G579" s="12">
        <v>8</v>
      </c>
      <c r="H579" s="8">
        <v>55.27</v>
      </c>
      <c r="I579" t="s">
        <v>32</v>
      </c>
      <c r="J579" t="s">
        <v>35</v>
      </c>
      <c r="K579" s="10">
        <v>0.15</v>
      </c>
      <c r="L579" t="s">
        <v>42</v>
      </c>
      <c r="M579">
        <v>375.83600000000001</v>
      </c>
      <c r="N579">
        <v>265.29599999999999</v>
      </c>
      <c r="O579" s="10">
        <v>93.700000000000017</v>
      </c>
      <c r="P579" s="10">
        <v>0.2493108696346279</v>
      </c>
      <c r="Q579" s="8">
        <v>375.83600000000001</v>
      </c>
      <c r="R579" t="s">
        <v>47</v>
      </c>
      <c r="S579" t="s">
        <v>50</v>
      </c>
      <c r="T579" t="s">
        <v>2931</v>
      </c>
      <c r="U579">
        <v>0</v>
      </c>
      <c r="V579" t="str">
        <f>IF(CleanedTable[[#This Row],[Returned]] = 0,"NO","Yes")</f>
        <v>NO</v>
      </c>
      <c r="W579" t="s">
        <v>628</v>
      </c>
      <c r="X579" t="s">
        <v>2105</v>
      </c>
      <c r="Y579" s="10">
        <v>16.84</v>
      </c>
      <c r="Z579" s="3">
        <v>45168</v>
      </c>
      <c r="AA579" s="3">
        <v>45170</v>
      </c>
      <c r="AB579" t="s">
        <v>2925</v>
      </c>
      <c r="AC579">
        <v>2</v>
      </c>
    </row>
    <row r="580" spans="1:29" x14ac:dyDescent="0.3">
      <c r="A580" s="3">
        <v>45222</v>
      </c>
      <c r="B580" s="3" t="str">
        <f>TEXT(CleanedTable[[#This Row],[OrderDate]],"mmm")</f>
        <v>Oct</v>
      </c>
      <c r="C580" s="3" t="str">
        <f>TEXT(CleanedTable[[#This Row],[OrderDate]],"yyyy")</f>
        <v>2023</v>
      </c>
      <c r="D580" s="3" t="str">
        <f>TEXT(CleanedTable[[#This Row],[OrderDate]],"mmm yyyy")</f>
        <v>Oct 2023</v>
      </c>
      <c r="E580" t="s">
        <v>23</v>
      </c>
      <c r="F580" t="s">
        <v>24</v>
      </c>
      <c r="G580" s="12">
        <v>17</v>
      </c>
      <c r="H580" s="8">
        <v>25.95</v>
      </c>
      <c r="I580" t="s">
        <v>31</v>
      </c>
      <c r="J580" t="s">
        <v>35</v>
      </c>
      <c r="K580" s="10">
        <v>0.05</v>
      </c>
      <c r="L580" t="s">
        <v>42</v>
      </c>
      <c r="M580">
        <v>419.09249999999997</v>
      </c>
      <c r="N580">
        <v>264.69</v>
      </c>
      <c r="O580" s="10">
        <v>126.72249999999997</v>
      </c>
      <c r="P580" s="10">
        <v>0.30237358101135187</v>
      </c>
      <c r="Q580" s="8">
        <v>419.09249999999997</v>
      </c>
      <c r="R580" t="s">
        <v>44</v>
      </c>
      <c r="T580" t="s">
        <v>2932</v>
      </c>
      <c r="U580">
        <v>0</v>
      </c>
      <c r="V580" t="str">
        <f>IF(CleanedTable[[#This Row],[Returned]] = 0,"NO","Yes")</f>
        <v>NO</v>
      </c>
      <c r="W580" t="s">
        <v>629</v>
      </c>
      <c r="X580" t="s">
        <v>2106</v>
      </c>
      <c r="Y580" s="10">
        <v>27.68</v>
      </c>
      <c r="Z580" s="3">
        <v>45222</v>
      </c>
      <c r="AA580" s="3">
        <v>45229</v>
      </c>
      <c r="AB580" t="s">
        <v>2926</v>
      </c>
      <c r="AC580">
        <v>7</v>
      </c>
    </row>
    <row r="581" spans="1:29" x14ac:dyDescent="0.3">
      <c r="A581" s="3">
        <v>45008</v>
      </c>
      <c r="B581" s="3" t="str">
        <f>TEXT(CleanedTable[[#This Row],[OrderDate]],"mmm")</f>
        <v>Mar</v>
      </c>
      <c r="C581" s="3" t="str">
        <f>TEXT(CleanedTable[[#This Row],[OrderDate]],"yyyy")</f>
        <v>2023</v>
      </c>
      <c r="D581" s="3" t="str">
        <f>TEXT(CleanedTable[[#This Row],[OrderDate]],"mmm yyyy")</f>
        <v>Mar 2023</v>
      </c>
      <c r="E581" t="s">
        <v>21</v>
      </c>
      <c r="F581" t="s">
        <v>26</v>
      </c>
      <c r="G581" s="12">
        <v>18</v>
      </c>
      <c r="H581" s="8">
        <v>209.65</v>
      </c>
      <c r="I581" t="s">
        <v>32</v>
      </c>
      <c r="J581" t="s">
        <v>35</v>
      </c>
      <c r="K581" s="10">
        <v>0.1</v>
      </c>
      <c r="L581" t="s">
        <v>40</v>
      </c>
      <c r="M581">
        <v>3396.3300000000004</v>
      </c>
      <c r="N581">
        <v>2264.2199999999998</v>
      </c>
      <c r="O581" s="10">
        <v>1090.0700000000006</v>
      </c>
      <c r="P581" s="10">
        <v>0.32095526641992989</v>
      </c>
      <c r="Q581" s="8">
        <v>3396.33</v>
      </c>
      <c r="R581" t="s">
        <v>46</v>
      </c>
      <c r="T581" t="s">
        <v>2932</v>
      </c>
      <c r="U581">
        <v>0</v>
      </c>
      <c r="V581" t="str">
        <f>IF(CleanedTable[[#This Row],[Returned]] = 0,"NO","Yes")</f>
        <v>NO</v>
      </c>
      <c r="W581" t="s">
        <v>630</v>
      </c>
      <c r="X581" t="s">
        <v>2107</v>
      </c>
      <c r="Y581" s="10">
        <v>42.04</v>
      </c>
      <c r="Z581" s="3">
        <v>45008</v>
      </c>
      <c r="AA581" s="3">
        <v>45015</v>
      </c>
      <c r="AB581" t="s">
        <v>2924</v>
      </c>
      <c r="AC581">
        <v>7</v>
      </c>
    </row>
    <row r="582" spans="1:29" x14ac:dyDescent="0.3">
      <c r="A582" s="3">
        <v>45556</v>
      </c>
      <c r="B582" s="3" t="str">
        <f>TEXT(CleanedTable[[#This Row],[OrderDate]],"mmm")</f>
        <v>Sep</v>
      </c>
      <c r="C582" s="3" t="str">
        <f>TEXT(CleanedTable[[#This Row],[OrderDate]],"yyyy")</f>
        <v>2024</v>
      </c>
      <c r="D582" s="3" t="str">
        <f>TEXT(CleanedTable[[#This Row],[OrderDate]],"mmm yyyy")</f>
        <v>Sep 2024</v>
      </c>
      <c r="E582" t="s">
        <v>22</v>
      </c>
      <c r="F582" t="s">
        <v>24</v>
      </c>
      <c r="G582" s="12">
        <v>13</v>
      </c>
      <c r="H582" s="8">
        <v>75.77</v>
      </c>
      <c r="I582" t="s">
        <v>31</v>
      </c>
      <c r="J582" t="s">
        <v>35</v>
      </c>
      <c r="K582" s="10">
        <v>0.15</v>
      </c>
      <c r="L582" t="s">
        <v>39</v>
      </c>
      <c r="M582">
        <v>837.25850000000003</v>
      </c>
      <c r="N582">
        <v>591.00599999999997</v>
      </c>
      <c r="O582" s="10">
        <v>204.31250000000006</v>
      </c>
      <c r="P582" s="10">
        <v>0.24402559066285986</v>
      </c>
      <c r="Q582" s="8">
        <v>837.25850000000003</v>
      </c>
      <c r="R582" t="s">
        <v>46</v>
      </c>
      <c r="S582" t="s">
        <v>49</v>
      </c>
      <c r="T582" t="s">
        <v>2931</v>
      </c>
      <c r="U582">
        <v>0</v>
      </c>
      <c r="V582" t="str">
        <f>IF(CleanedTable[[#This Row],[Returned]] = 0,"NO","Yes")</f>
        <v>NO</v>
      </c>
      <c r="W582" t="s">
        <v>631</v>
      </c>
      <c r="X582" t="s">
        <v>2108</v>
      </c>
      <c r="Y582" s="10">
        <v>41.94</v>
      </c>
      <c r="Z582" s="3">
        <v>45556</v>
      </c>
      <c r="AA582" s="3">
        <v>45565</v>
      </c>
      <c r="AB582" t="s">
        <v>2925</v>
      </c>
      <c r="AC582">
        <v>9</v>
      </c>
    </row>
    <row r="583" spans="1:29" x14ac:dyDescent="0.3">
      <c r="A583" s="3">
        <v>45652</v>
      </c>
      <c r="B583" s="3" t="str">
        <f>TEXT(CleanedTable[[#This Row],[OrderDate]],"mmm")</f>
        <v>Dec</v>
      </c>
      <c r="C583" s="3" t="str">
        <f>TEXT(CleanedTable[[#This Row],[OrderDate]],"yyyy")</f>
        <v>2024</v>
      </c>
      <c r="D583" s="3" t="str">
        <f>TEXT(CleanedTable[[#This Row],[OrderDate]],"mmm yyyy")</f>
        <v>Dec 2024</v>
      </c>
      <c r="E583" t="s">
        <v>23</v>
      </c>
      <c r="F583" t="s">
        <v>29</v>
      </c>
      <c r="G583" s="12">
        <v>5</v>
      </c>
      <c r="H583" s="8">
        <v>307.83999999999997</v>
      </c>
      <c r="I583" t="s">
        <v>31</v>
      </c>
      <c r="J583" t="s">
        <v>35</v>
      </c>
      <c r="K583" s="10">
        <v>0.1</v>
      </c>
      <c r="L583" t="s">
        <v>42</v>
      </c>
      <c r="M583">
        <v>1385.28</v>
      </c>
      <c r="N583">
        <v>923.51999999999987</v>
      </c>
      <c r="O583" s="10">
        <v>448.15000000000009</v>
      </c>
      <c r="P583" s="10">
        <v>0.32350860475860482</v>
      </c>
      <c r="Q583" s="8">
        <v>1385.28</v>
      </c>
      <c r="R583" t="s">
        <v>43</v>
      </c>
      <c r="S583" t="s">
        <v>49</v>
      </c>
      <c r="T583" t="s">
        <v>2931</v>
      </c>
      <c r="U583">
        <v>0</v>
      </c>
      <c r="V583" t="str">
        <f>IF(CleanedTable[[#This Row],[Returned]] = 0,"NO","Yes")</f>
        <v>NO</v>
      </c>
      <c r="W583" t="s">
        <v>632</v>
      </c>
      <c r="X583" t="s">
        <v>2109</v>
      </c>
      <c r="Y583" s="10">
        <v>13.61</v>
      </c>
      <c r="Z583" s="3">
        <v>45652</v>
      </c>
      <c r="AA583" s="3">
        <v>45660</v>
      </c>
      <c r="AB583" t="s">
        <v>2926</v>
      </c>
      <c r="AC583">
        <v>8</v>
      </c>
    </row>
    <row r="584" spans="1:29" x14ac:dyDescent="0.3">
      <c r="A584" s="3">
        <v>44983</v>
      </c>
      <c r="B584" s="3" t="str">
        <f>TEXT(CleanedTable[[#This Row],[OrderDate]],"mmm")</f>
        <v>Feb</v>
      </c>
      <c r="C584" s="3" t="str">
        <f>TEXT(CleanedTable[[#This Row],[OrderDate]],"yyyy")</f>
        <v>2023</v>
      </c>
      <c r="D584" s="3" t="str">
        <f>TEXT(CleanedTable[[#This Row],[OrderDate]],"mmm yyyy")</f>
        <v>Feb 2023</v>
      </c>
      <c r="E584" t="s">
        <v>19</v>
      </c>
      <c r="F584" t="s">
        <v>25</v>
      </c>
      <c r="G584" s="12">
        <v>13</v>
      </c>
      <c r="H584" s="8">
        <v>6.5</v>
      </c>
      <c r="I584" t="s">
        <v>32</v>
      </c>
      <c r="J584" t="s">
        <v>35</v>
      </c>
      <c r="K584" s="10">
        <v>0</v>
      </c>
      <c r="L584" t="s">
        <v>41</v>
      </c>
      <c r="M584">
        <v>84.5</v>
      </c>
      <c r="N584">
        <v>50.699999999999996</v>
      </c>
      <c r="O584" s="10">
        <v>13.780000000000005</v>
      </c>
      <c r="P584" s="10">
        <v>0.16307692307692312</v>
      </c>
      <c r="Q584" s="8">
        <v>84.5</v>
      </c>
      <c r="R584" t="s">
        <v>47</v>
      </c>
      <c r="T584" t="s">
        <v>2932</v>
      </c>
      <c r="U584">
        <v>0</v>
      </c>
      <c r="V584" t="str">
        <f>IF(CleanedTable[[#This Row],[Returned]] = 0,"NO","Yes")</f>
        <v>NO</v>
      </c>
      <c r="W584" t="s">
        <v>633</v>
      </c>
      <c r="X584" t="s">
        <v>2110</v>
      </c>
      <c r="Y584" s="10">
        <v>20.02</v>
      </c>
      <c r="Z584" s="3">
        <v>44983</v>
      </c>
      <c r="AA584" s="3">
        <v>44988</v>
      </c>
      <c r="AB584" t="s">
        <v>2922</v>
      </c>
      <c r="AC584">
        <v>5</v>
      </c>
    </row>
    <row r="585" spans="1:29" x14ac:dyDescent="0.3">
      <c r="A585" s="3">
        <v>45636</v>
      </c>
      <c r="B585" s="3" t="str">
        <f>TEXT(CleanedTable[[#This Row],[OrderDate]],"mmm")</f>
        <v>Dec</v>
      </c>
      <c r="C585" s="3" t="str">
        <f>TEXT(CleanedTable[[#This Row],[OrderDate]],"yyyy")</f>
        <v>2024</v>
      </c>
      <c r="D585" s="3" t="str">
        <f>TEXT(CleanedTable[[#This Row],[OrderDate]],"mmm yyyy")</f>
        <v>Dec 2024</v>
      </c>
      <c r="E585" t="s">
        <v>21</v>
      </c>
      <c r="F585" t="s">
        <v>28</v>
      </c>
      <c r="G585" s="12">
        <v>8</v>
      </c>
      <c r="H585" s="8">
        <v>70.790000000000006</v>
      </c>
      <c r="I585" t="s">
        <v>31</v>
      </c>
      <c r="J585" t="s">
        <v>35</v>
      </c>
      <c r="K585" s="10">
        <v>0</v>
      </c>
      <c r="L585" t="s">
        <v>41</v>
      </c>
      <c r="M585">
        <v>566.32000000000005</v>
      </c>
      <c r="N585">
        <v>339.79200000000003</v>
      </c>
      <c r="O585" s="10">
        <v>180.17800000000003</v>
      </c>
      <c r="P585" s="10">
        <v>0.31815581296793333</v>
      </c>
      <c r="Q585" s="8">
        <v>566.32000000000005</v>
      </c>
      <c r="R585" t="s">
        <v>43</v>
      </c>
      <c r="T585" t="s">
        <v>2932</v>
      </c>
      <c r="U585">
        <v>0</v>
      </c>
      <c r="V585" t="str">
        <f>IF(CleanedTable[[#This Row],[Returned]] = 0,"NO","Yes")</f>
        <v>NO</v>
      </c>
      <c r="W585" t="s">
        <v>634</v>
      </c>
      <c r="X585" t="s">
        <v>2111</v>
      </c>
      <c r="Y585" s="10">
        <v>46.35</v>
      </c>
      <c r="Z585" s="3">
        <v>45636</v>
      </c>
      <c r="AA585" s="3">
        <v>45640</v>
      </c>
      <c r="AB585" t="s">
        <v>2924</v>
      </c>
      <c r="AC585">
        <v>4</v>
      </c>
    </row>
    <row r="586" spans="1:29" x14ac:dyDescent="0.3">
      <c r="A586" s="3">
        <v>45658</v>
      </c>
      <c r="B586" s="3" t="str">
        <f>TEXT(CleanedTable[[#This Row],[OrderDate]],"mmm")</f>
        <v>Jan</v>
      </c>
      <c r="C586" s="3" t="str">
        <f>TEXT(CleanedTable[[#This Row],[OrderDate]],"yyyy")</f>
        <v>2025</v>
      </c>
      <c r="D586" s="3" t="str">
        <f>TEXT(CleanedTable[[#This Row],[OrderDate]],"mmm yyyy")</f>
        <v>Jan 2025</v>
      </c>
      <c r="E586" t="s">
        <v>19</v>
      </c>
      <c r="F586" t="s">
        <v>24</v>
      </c>
      <c r="G586" s="12">
        <v>17</v>
      </c>
      <c r="H586" s="8">
        <v>584.70000000000005</v>
      </c>
      <c r="I586" t="s">
        <v>34</v>
      </c>
      <c r="J586" t="s">
        <v>36</v>
      </c>
      <c r="K586" s="10">
        <v>0.1</v>
      </c>
      <c r="L586" t="s">
        <v>37</v>
      </c>
      <c r="M586">
        <v>8945.9100000000017</v>
      </c>
      <c r="N586">
        <v>5963.94</v>
      </c>
      <c r="O586" s="10">
        <v>2935.3800000000019</v>
      </c>
      <c r="P586" s="10">
        <v>0.32812536678772775</v>
      </c>
      <c r="Q586" s="8">
        <v>8945.9100000000017</v>
      </c>
      <c r="R586" t="s">
        <v>43</v>
      </c>
      <c r="T586" t="s">
        <v>2932</v>
      </c>
      <c r="U586">
        <v>1</v>
      </c>
      <c r="V586" t="str">
        <f>IF(CleanedTable[[#This Row],[Returned]] = 0,"NO","Yes")</f>
        <v>Yes</v>
      </c>
      <c r="W586" t="s">
        <v>635</v>
      </c>
      <c r="X586" t="s">
        <v>2112</v>
      </c>
      <c r="Y586" s="10">
        <v>46.59</v>
      </c>
      <c r="Z586" s="3">
        <v>45658</v>
      </c>
      <c r="AA586" s="3">
        <v>45660</v>
      </c>
      <c r="AB586" t="s">
        <v>2922</v>
      </c>
      <c r="AC586">
        <v>2</v>
      </c>
    </row>
    <row r="587" spans="1:29" x14ac:dyDescent="0.3">
      <c r="A587" s="3">
        <v>45730</v>
      </c>
      <c r="B587" s="3" t="str">
        <f>TEXT(CleanedTable[[#This Row],[OrderDate]],"mmm")</f>
        <v>Mar</v>
      </c>
      <c r="C587" s="3" t="str">
        <f>TEXT(CleanedTable[[#This Row],[OrderDate]],"yyyy")</f>
        <v>2025</v>
      </c>
      <c r="D587" s="3" t="str">
        <f>TEXT(CleanedTable[[#This Row],[OrderDate]],"mmm yyyy")</f>
        <v>Mar 2025</v>
      </c>
      <c r="E587" t="s">
        <v>19</v>
      </c>
      <c r="F587" t="s">
        <v>25</v>
      </c>
      <c r="G587" s="12">
        <v>4</v>
      </c>
      <c r="H587" s="8">
        <v>23.27</v>
      </c>
      <c r="I587" t="s">
        <v>33</v>
      </c>
      <c r="J587" t="s">
        <v>35</v>
      </c>
      <c r="K587" s="10">
        <v>0.15</v>
      </c>
      <c r="L587" t="s">
        <v>41</v>
      </c>
      <c r="M587">
        <v>79.117999999999995</v>
      </c>
      <c r="N587">
        <v>55.847999999999999</v>
      </c>
      <c r="O587" s="10">
        <v>-9.5900000000000034</v>
      </c>
      <c r="P587" s="10">
        <v>-0.12121135519098061</v>
      </c>
      <c r="Q587" s="8">
        <v>79.117999999999995</v>
      </c>
      <c r="R587" t="s">
        <v>43</v>
      </c>
      <c r="S587" t="s">
        <v>49</v>
      </c>
      <c r="T587" t="s">
        <v>2931</v>
      </c>
      <c r="U587">
        <v>0</v>
      </c>
      <c r="V587" t="str">
        <f>IF(CleanedTable[[#This Row],[Returned]] = 0,"NO","Yes")</f>
        <v>NO</v>
      </c>
      <c r="W587" t="s">
        <v>636</v>
      </c>
      <c r="X587" t="s">
        <v>2113</v>
      </c>
      <c r="Y587" s="10">
        <v>32.86</v>
      </c>
      <c r="Z587" s="3">
        <v>45730</v>
      </c>
      <c r="AA587" s="3">
        <v>45737</v>
      </c>
      <c r="AB587" t="s">
        <v>2922</v>
      </c>
      <c r="AC587">
        <v>7</v>
      </c>
    </row>
    <row r="588" spans="1:29" x14ac:dyDescent="0.3">
      <c r="A588" s="3">
        <v>45307</v>
      </c>
      <c r="B588" s="3" t="str">
        <f>TEXT(CleanedTable[[#This Row],[OrderDate]],"mmm")</f>
        <v>Jan</v>
      </c>
      <c r="C588" s="3" t="str">
        <f>TEXT(CleanedTable[[#This Row],[OrderDate]],"yyyy")</f>
        <v>2024</v>
      </c>
      <c r="D588" s="3" t="str">
        <f>TEXT(CleanedTable[[#This Row],[OrderDate]],"mmm yyyy")</f>
        <v>Jan 2024</v>
      </c>
      <c r="E588" t="s">
        <v>20</v>
      </c>
      <c r="F588" t="s">
        <v>29</v>
      </c>
      <c r="G588" s="12">
        <v>5</v>
      </c>
      <c r="H588" s="8">
        <v>440.93</v>
      </c>
      <c r="I588" t="s">
        <v>31</v>
      </c>
      <c r="J588" t="s">
        <v>35</v>
      </c>
      <c r="K588" s="10">
        <v>0.1</v>
      </c>
      <c r="L588" t="s">
        <v>40</v>
      </c>
      <c r="M588">
        <v>1984.1850000000002</v>
      </c>
      <c r="N588">
        <v>1322.79</v>
      </c>
      <c r="O588" s="10">
        <v>637.55500000000018</v>
      </c>
      <c r="P588" s="10">
        <v>0.32131832465218724</v>
      </c>
      <c r="Q588" s="8">
        <v>1984.1849999999999</v>
      </c>
      <c r="R588" t="s">
        <v>44</v>
      </c>
      <c r="T588" t="s">
        <v>2932</v>
      </c>
      <c r="U588">
        <v>0</v>
      </c>
      <c r="V588" t="str">
        <f>IF(CleanedTable[[#This Row],[Returned]] = 0,"NO","Yes")</f>
        <v>NO</v>
      </c>
      <c r="W588" t="s">
        <v>637</v>
      </c>
      <c r="X588" t="s">
        <v>2114</v>
      </c>
      <c r="Y588" s="10">
        <v>23.84</v>
      </c>
      <c r="Z588" s="3">
        <v>45307</v>
      </c>
      <c r="AA588" s="3">
        <v>45311</v>
      </c>
      <c r="AB588" t="s">
        <v>2923</v>
      </c>
      <c r="AC588">
        <v>4</v>
      </c>
    </row>
    <row r="589" spans="1:29" x14ac:dyDescent="0.3">
      <c r="A589" s="3">
        <v>45401</v>
      </c>
      <c r="B589" s="3" t="str">
        <f>TEXT(CleanedTable[[#This Row],[OrderDate]],"mmm")</f>
        <v>Apr</v>
      </c>
      <c r="C589" s="3" t="str">
        <f>TEXT(CleanedTable[[#This Row],[OrderDate]],"yyyy")</f>
        <v>2024</v>
      </c>
      <c r="D589" s="3" t="str">
        <f>TEXT(CleanedTable[[#This Row],[OrderDate]],"mmm yyyy")</f>
        <v>Apr 2024</v>
      </c>
      <c r="E589" t="s">
        <v>23</v>
      </c>
      <c r="F589" t="s">
        <v>29</v>
      </c>
      <c r="G589" s="12">
        <v>10</v>
      </c>
      <c r="H589" s="8">
        <v>278.45</v>
      </c>
      <c r="I589" t="s">
        <v>34</v>
      </c>
      <c r="J589" t="s">
        <v>35</v>
      </c>
      <c r="K589" s="10">
        <v>0</v>
      </c>
      <c r="L589" t="s">
        <v>37</v>
      </c>
      <c r="M589">
        <v>2784.5</v>
      </c>
      <c r="N589">
        <v>1670.6999999999998</v>
      </c>
      <c r="O589" s="10">
        <v>1102.67</v>
      </c>
      <c r="P589" s="10">
        <v>0.39600287304722576</v>
      </c>
      <c r="Q589" s="8">
        <v>2784.5</v>
      </c>
      <c r="R589" t="s">
        <v>45</v>
      </c>
      <c r="S589" t="s">
        <v>49</v>
      </c>
      <c r="T589" t="s">
        <v>2931</v>
      </c>
      <c r="U589">
        <v>0</v>
      </c>
      <c r="V589" t="str">
        <f>IF(CleanedTable[[#This Row],[Returned]] = 0,"NO","Yes")</f>
        <v>NO</v>
      </c>
      <c r="W589" t="s">
        <v>638</v>
      </c>
      <c r="X589" t="s">
        <v>2115</v>
      </c>
      <c r="Y589" s="10">
        <v>11.13</v>
      </c>
      <c r="Z589" s="3">
        <v>45401</v>
      </c>
      <c r="AA589" s="3">
        <v>45407</v>
      </c>
      <c r="AB589" t="s">
        <v>2926</v>
      </c>
      <c r="AC589">
        <v>6</v>
      </c>
    </row>
    <row r="590" spans="1:29" x14ac:dyDescent="0.3">
      <c r="A590" s="3">
        <v>45268</v>
      </c>
      <c r="B590" s="3" t="str">
        <f>TEXT(CleanedTable[[#This Row],[OrderDate]],"mmm")</f>
        <v>Dec</v>
      </c>
      <c r="C590" s="3" t="str">
        <f>TEXT(CleanedTable[[#This Row],[OrderDate]],"yyyy")</f>
        <v>2023</v>
      </c>
      <c r="D590" s="3" t="str">
        <f>TEXT(CleanedTable[[#This Row],[OrderDate]],"mmm yyyy")</f>
        <v>Dec 2023</v>
      </c>
      <c r="E590" t="s">
        <v>21</v>
      </c>
      <c r="F590" t="s">
        <v>28</v>
      </c>
      <c r="G590" s="12">
        <v>14</v>
      </c>
      <c r="H590" s="8">
        <v>382.19</v>
      </c>
      <c r="I590" t="s">
        <v>31</v>
      </c>
      <c r="J590" t="s">
        <v>35</v>
      </c>
      <c r="K590" s="10">
        <v>0.05</v>
      </c>
      <c r="L590" t="s">
        <v>39</v>
      </c>
      <c r="M590">
        <v>5083.1269999999995</v>
      </c>
      <c r="N590">
        <v>3210.3959999999997</v>
      </c>
      <c r="O590" s="10">
        <v>1823.6109999999999</v>
      </c>
      <c r="P590" s="10">
        <v>0.35875770957522801</v>
      </c>
      <c r="Q590" s="8">
        <v>5083.1269999999986</v>
      </c>
      <c r="R590" t="s">
        <v>47</v>
      </c>
      <c r="S590" t="s">
        <v>48</v>
      </c>
      <c r="T590" t="s">
        <v>2931</v>
      </c>
      <c r="U590">
        <v>1</v>
      </c>
      <c r="V590" t="str">
        <f>IF(CleanedTable[[#This Row],[Returned]] = 0,"NO","Yes")</f>
        <v>Yes</v>
      </c>
      <c r="W590" t="s">
        <v>639</v>
      </c>
      <c r="X590" t="s">
        <v>2116</v>
      </c>
      <c r="Y590" s="10">
        <v>49.12</v>
      </c>
      <c r="Z590" s="3">
        <v>45268</v>
      </c>
      <c r="AA590" s="3">
        <v>45271</v>
      </c>
      <c r="AB590" t="s">
        <v>2924</v>
      </c>
      <c r="AC590">
        <v>3</v>
      </c>
    </row>
    <row r="591" spans="1:29" x14ac:dyDescent="0.3">
      <c r="A591" s="3">
        <v>45000</v>
      </c>
      <c r="B591" s="3" t="str">
        <f>TEXT(CleanedTable[[#This Row],[OrderDate]],"mmm")</f>
        <v>Mar</v>
      </c>
      <c r="C591" s="3" t="str">
        <f>TEXT(CleanedTable[[#This Row],[OrderDate]],"yyyy")</f>
        <v>2023</v>
      </c>
      <c r="D591" s="3" t="str">
        <f>TEXT(CleanedTable[[#This Row],[OrderDate]],"mmm yyyy")</f>
        <v>Mar 2023</v>
      </c>
      <c r="E591" t="s">
        <v>21</v>
      </c>
      <c r="F591" t="s">
        <v>28</v>
      </c>
      <c r="G591" s="12">
        <v>14</v>
      </c>
      <c r="H591" s="8">
        <v>232.49</v>
      </c>
      <c r="I591" t="s">
        <v>34</v>
      </c>
      <c r="J591" t="s">
        <v>35</v>
      </c>
      <c r="K591" s="10">
        <v>0.05</v>
      </c>
      <c r="L591" t="s">
        <v>41</v>
      </c>
      <c r="M591">
        <v>3092.1170000000002</v>
      </c>
      <c r="N591">
        <v>1952.9159999999999</v>
      </c>
      <c r="O591" s="10">
        <v>1133.8810000000003</v>
      </c>
      <c r="P591" s="10">
        <v>0.36670054852387546</v>
      </c>
      <c r="Q591" s="8">
        <v>3092.1170000000002</v>
      </c>
      <c r="R591" t="s">
        <v>43</v>
      </c>
      <c r="S591" t="s">
        <v>49</v>
      </c>
      <c r="T591" t="s">
        <v>2931</v>
      </c>
      <c r="U591">
        <v>1</v>
      </c>
      <c r="V591" t="str">
        <f>IF(CleanedTable[[#This Row],[Returned]] = 0,"NO","Yes")</f>
        <v>Yes</v>
      </c>
      <c r="W591" t="s">
        <v>640</v>
      </c>
      <c r="X591" t="s">
        <v>2117</v>
      </c>
      <c r="Y591" s="10">
        <v>5.32</v>
      </c>
      <c r="Z591" s="3">
        <v>45000</v>
      </c>
      <c r="AA591" s="3">
        <v>45004</v>
      </c>
      <c r="AB591" t="s">
        <v>2924</v>
      </c>
      <c r="AC591">
        <v>4</v>
      </c>
    </row>
    <row r="592" spans="1:29" x14ac:dyDescent="0.3">
      <c r="A592" s="3">
        <v>45695</v>
      </c>
      <c r="B592" s="3" t="str">
        <f>TEXT(CleanedTable[[#This Row],[OrderDate]],"mmm")</f>
        <v>Feb</v>
      </c>
      <c r="C592" s="3" t="str">
        <f>TEXT(CleanedTable[[#This Row],[OrderDate]],"yyyy")</f>
        <v>2025</v>
      </c>
      <c r="D592" s="3" t="str">
        <f>TEXT(CleanedTable[[#This Row],[OrderDate]],"mmm yyyy")</f>
        <v>Feb 2025</v>
      </c>
      <c r="E592" t="s">
        <v>20</v>
      </c>
      <c r="F592" t="s">
        <v>24</v>
      </c>
      <c r="G592" s="12">
        <v>17</v>
      </c>
      <c r="H592" s="8">
        <v>15.01</v>
      </c>
      <c r="I592" t="s">
        <v>34</v>
      </c>
      <c r="J592" t="s">
        <v>35</v>
      </c>
      <c r="K592" s="10">
        <v>0.15</v>
      </c>
      <c r="L592" t="s">
        <v>41</v>
      </c>
      <c r="M592">
        <v>216.89449999999999</v>
      </c>
      <c r="N592">
        <v>153.102</v>
      </c>
      <c r="O592" s="10">
        <v>41.79249999999999</v>
      </c>
      <c r="P592" s="10">
        <v>0.19268584496149047</v>
      </c>
      <c r="Q592" s="8">
        <v>216.89449999999999</v>
      </c>
      <c r="R592" t="s">
        <v>46</v>
      </c>
      <c r="S592" t="s">
        <v>49</v>
      </c>
      <c r="T592" t="s">
        <v>2931</v>
      </c>
      <c r="U592">
        <v>1</v>
      </c>
      <c r="V592" t="str">
        <f>IF(CleanedTable[[#This Row],[Returned]] = 0,"NO","Yes")</f>
        <v>Yes</v>
      </c>
      <c r="W592" t="s">
        <v>641</v>
      </c>
      <c r="X592" t="s">
        <v>2118</v>
      </c>
      <c r="Y592" s="10">
        <v>22</v>
      </c>
      <c r="Z592" s="3">
        <v>45695</v>
      </c>
      <c r="AA592" s="3">
        <v>45701</v>
      </c>
      <c r="AB592" t="s">
        <v>2923</v>
      </c>
      <c r="AC592">
        <v>6</v>
      </c>
    </row>
    <row r="593" spans="1:29" x14ac:dyDescent="0.3">
      <c r="A593" s="3">
        <v>45835</v>
      </c>
      <c r="B593" s="3" t="str">
        <f>TEXT(CleanedTable[[#This Row],[OrderDate]],"mmm")</f>
        <v>Jun</v>
      </c>
      <c r="C593" s="3" t="str">
        <f>TEXT(CleanedTable[[#This Row],[OrderDate]],"yyyy")</f>
        <v>2025</v>
      </c>
      <c r="D593" s="3" t="str">
        <f>TEXT(CleanedTable[[#This Row],[OrderDate]],"mmm yyyy")</f>
        <v>Jun 2025</v>
      </c>
      <c r="E593" t="s">
        <v>21</v>
      </c>
      <c r="F593" t="s">
        <v>28</v>
      </c>
      <c r="G593" s="12">
        <v>11</v>
      </c>
      <c r="H593" s="8">
        <v>29.41</v>
      </c>
      <c r="I593" t="s">
        <v>34</v>
      </c>
      <c r="J593" t="s">
        <v>36</v>
      </c>
      <c r="K593" s="10">
        <v>0.05</v>
      </c>
      <c r="L593" t="s">
        <v>40</v>
      </c>
      <c r="M593">
        <v>307.33449999999999</v>
      </c>
      <c r="N593">
        <v>194.10599999999999</v>
      </c>
      <c r="O593" s="10">
        <v>107.0685</v>
      </c>
      <c r="P593" s="10">
        <v>0.34837774476994937</v>
      </c>
      <c r="Q593" s="8">
        <v>307.33449999999999</v>
      </c>
      <c r="R593" t="s">
        <v>45</v>
      </c>
      <c r="S593" t="s">
        <v>49</v>
      </c>
      <c r="T593" t="s">
        <v>2931</v>
      </c>
      <c r="U593">
        <v>0</v>
      </c>
      <c r="V593" t="str">
        <f>IF(CleanedTable[[#This Row],[Returned]] = 0,"NO","Yes")</f>
        <v>NO</v>
      </c>
      <c r="W593" t="s">
        <v>642</v>
      </c>
      <c r="X593" t="s">
        <v>2119</v>
      </c>
      <c r="Y593" s="10">
        <v>6.16</v>
      </c>
      <c r="Z593" s="3">
        <v>45835</v>
      </c>
      <c r="AA593" s="3">
        <v>45840</v>
      </c>
      <c r="AB593" t="s">
        <v>2924</v>
      </c>
      <c r="AC593">
        <v>5</v>
      </c>
    </row>
    <row r="594" spans="1:29" x14ac:dyDescent="0.3">
      <c r="A594" s="3">
        <v>45643</v>
      </c>
      <c r="B594" s="3" t="str">
        <f>TEXT(CleanedTable[[#This Row],[OrderDate]],"mmm")</f>
        <v>Dec</v>
      </c>
      <c r="C594" s="3" t="str">
        <f>TEXT(CleanedTable[[#This Row],[OrderDate]],"yyyy")</f>
        <v>2024</v>
      </c>
      <c r="D594" s="3" t="str">
        <f>TEXT(CleanedTable[[#This Row],[OrderDate]],"mmm yyyy")</f>
        <v>Dec 2024</v>
      </c>
      <c r="E594" t="s">
        <v>22</v>
      </c>
      <c r="F594" t="s">
        <v>29</v>
      </c>
      <c r="G594" s="12">
        <v>1</v>
      </c>
      <c r="H594" s="8">
        <v>486.19</v>
      </c>
      <c r="I594" t="s">
        <v>31</v>
      </c>
      <c r="J594" t="s">
        <v>36</v>
      </c>
      <c r="K594" s="10">
        <v>0.05</v>
      </c>
      <c r="L594" t="s">
        <v>39</v>
      </c>
      <c r="M594">
        <v>461.88049999999998</v>
      </c>
      <c r="N594">
        <v>291.714</v>
      </c>
      <c r="O594" s="10">
        <v>128.4365</v>
      </c>
      <c r="P594" s="10">
        <v>0.27807300806160901</v>
      </c>
      <c r="Q594" s="8">
        <v>461.88049999999998</v>
      </c>
      <c r="R594" t="s">
        <v>43</v>
      </c>
      <c r="S594" t="s">
        <v>49</v>
      </c>
      <c r="T594" t="s">
        <v>2931</v>
      </c>
      <c r="U594">
        <v>0</v>
      </c>
      <c r="V594" t="str">
        <f>IF(CleanedTable[[#This Row],[Returned]] = 0,"NO","Yes")</f>
        <v>NO</v>
      </c>
      <c r="W594" t="s">
        <v>643</v>
      </c>
      <c r="X594" t="s">
        <v>2120</v>
      </c>
      <c r="Y594" s="10">
        <v>41.73</v>
      </c>
      <c r="Z594" s="3">
        <v>45643</v>
      </c>
      <c r="AA594" s="3">
        <v>45646</v>
      </c>
      <c r="AB594" t="s">
        <v>2925</v>
      </c>
      <c r="AC594">
        <v>3</v>
      </c>
    </row>
    <row r="595" spans="1:29" x14ac:dyDescent="0.3">
      <c r="A595" s="3">
        <v>45415</v>
      </c>
      <c r="B595" s="3" t="str">
        <f>TEXT(CleanedTable[[#This Row],[OrderDate]],"mmm")</f>
        <v>May</v>
      </c>
      <c r="C595" s="3" t="str">
        <f>TEXT(CleanedTable[[#This Row],[OrderDate]],"yyyy")</f>
        <v>2024</v>
      </c>
      <c r="D595" s="3" t="str">
        <f>TEXT(CleanedTable[[#This Row],[OrderDate]],"mmm yyyy")</f>
        <v>May 2024</v>
      </c>
      <c r="E595" t="s">
        <v>20</v>
      </c>
      <c r="F595" t="s">
        <v>24</v>
      </c>
      <c r="G595" s="12">
        <v>6</v>
      </c>
      <c r="H595" s="8">
        <v>266.67</v>
      </c>
      <c r="I595" t="s">
        <v>31</v>
      </c>
      <c r="J595" t="s">
        <v>35</v>
      </c>
      <c r="K595" s="10">
        <v>0.05</v>
      </c>
      <c r="L595" t="s">
        <v>37</v>
      </c>
      <c r="M595">
        <v>1520.019</v>
      </c>
      <c r="N595">
        <v>960.01200000000006</v>
      </c>
      <c r="O595" s="10">
        <v>511.51699999999994</v>
      </c>
      <c r="P595" s="10">
        <v>0.33652013560356808</v>
      </c>
      <c r="Q595" s="8">
        <v>1520.019</v>
      </c>
      <c r="R595" t="s">
        <v>46</v>
      </c>
      <c r="T595" t="s">
        <v>2932</v>
      </c>
      <c r="U595">
        <v>0</v>
      </c>
      <c r="V595" t="str">
        <f>IF(CleanedTable[[#This Row],[Returned]] = 0,"NO","Yes")</f>
        <v>NO</v>
      </c>
      <c r="W595" t="s">
        <v>644</v>
      </c>
      <c r="X595" t="s">
        <v>2121</v>
      </c>
      <c r="Y595" s="10">
        <v>48.49</v>
      </c>
      <c r="Z595" s="3">
        <v>45415</v>
      </c>
      <c r="AA595" s="3">
        <v>45423</v>
      </c>
      <c r="AB595" t="s">
        <v>2923</v>
      </c>
      <c r="AC595">
        <v>8</v>
      </c>
    </row>
    <row r="596" spans="1:29" x14ac:dyDescent="0.3">
      <c r="A596" s="3">
        <v>45286</v>
      </c>
      <c r="B596" s="3" t="str">
        <f>TEXT(CleanedTable[[#This Row],[OrderDate]],"mmm")</f>
        <v>Dec</v>
      </c>
      <c r="C596" s="3" t="str">
        <f>TEXT(CleanedTable[[#This Row],[OrderDate]],"yyyy")</f>
        <v>2023</v>
      </c>
      <c r="D596" s="3" t="str">
        <f>TEXT(CleanedTable[[#This Row],[OrderDate]],"mmm yyyy")</f>
        <v>Dec 2023</v>
      </c>
      <c r="E596" t="s">
        <v>20</v>
      </c>
      <c r="F596" t="s">
        <v>30</v>
      </c>
      <c r="G596" s="12">
        <v>3</v>
      </c>
      <c r="H596" s="8">
        <v>300.8</v>
      </c>
      <c r="I596" t="s">
        <v>31</v>
      </c>
      <c r="J596" t="s">
        <v>35</v>
      </c>
      <c r="K596" s="10">
        <v>0.1</v>
      </c>
      <c r="L596" t="s">
        <v>40</v>
      </c>
      <c r="M596">
        <v>812.16000000000008</v>
      </c>
      <c r="N596">
        <v>541.43999999999994</v>
      </c>
      <c r="O596" s="10">
        <v>254.74000000000015</v>
      </c>
      <c r="P596" s="10">
        <v>0.31365740740740755</v>
      </c>
      <c r="Q596" s="8">
        <v>812.16000000000008</v>
      </c>
      <c r="R596" t="s">
        <v>47</v>
      </c>
      <c r="T596" t="s">
        <v>2932</v>
      </c>
      <c r="U596">
        <v>1</v>
      </c>
      <c r="V596" t="str">
        <f>IF(CleanedTable[[#This Row],[Returned]] = 0,"NO","Yes")</f>
        <v>Yes</v>
      </c>
      <c r="W596" t="s">
        <v>645</v>
      </c>
      <c r="X596" t="s">
        <v>2029</v>
      </c>
      <c r="Y596" s="10">
        <v>15.98</v>
      </c>
      <c r="Z596" s="3">
        <v>45286</v>
      </c>
      <c r="AA596" s="3">
        <v>45292</v>
      </c>
      <c r="AB596" t="s">
        <v>2923</v>
      </c>
      <c r="AC596">
        <v>6</v>
      </c>
    </row>
    <row r="597" spans="1:29" x14ac:dyDescent="0.3">
      <c r="A597" s="3">
        <v>45425</v>
      </c>
      <c r="B597" s="3" t="str">
        <f>TEXT(CleanedTable[[#This Row],[OrderDate]],"mmm")</f>
        <v>May</v>
      </c>
      <c r="C597" s="3" t="str">
        <f>TEXT(CleanedTable[[#This Row],[OrderDate]],"yyyy")</f>
        <v>2024</v>
      </c>
      <c r="D597" s="3" t="str">
        <f>TEXT(CleanedTable[[#This Row],[OrderDate]],"mmm yyyy")</f>
        <v>May 2024</v>
      </c>
      <c r="E597" t="s">
        <v>22</v>
      </c>
      <c r="F597" t="s">
        <v>30</v>
      </c>
      <c r="G597" s="12">
        <v>11</v>
      </c>
      <c r="H597" s="8">
        <v>79.63</v>
      </c>
      <c r="I597" t="s">
        <v>31</v>
      </c>
      <c r="J597" t="s">
        <v>35</v>
      </c>
      <c r="K597" s="10">
        <v>0.05</v>
      </c>
      <c r="L597" t="s">
        <v>39</v>
      </c>
      <c r="M597">
        <v>832.13349999999991</v>
      </c>
      <c r="N597">
        <v>525.55799999999999</v>
      </c>
      <c r="O597" s="10">
        <v>262.73549999999989</v>
      </c>
      <c r="P597" s="10">
        <v>0.31573719841828252</v>
      </c>
      <c r="Q597" s="8">
        <v>832.13349999999991</v>
      </c>
      <c r="R597" t="s">
        <v>43</v>
      </c>
      <c r="T597" t="s">
        <v>2932</v>
      </c>
      <c r="U597">
        <v>0</v>
      </c>
      <c r="V597" t="str">
        <f>IF(CleanedTable[[#This Row],[Returned]] = 0,"NO","Yes")</f>
        <v>NO</v>
      </c>
      <c r="W597" t="s">
        <v>646</v>
      </c>
      <c r="X597" t="s">
        <v>2122</v>
      </c>
      <c r="Y597" s="10">
        <v>43.84</v>
      </c>
      <c r="Z597" s="3">
        <v>45425</v>
      </c>
      <c r="AA597" s="3">
        <v>45431</v>
      </c>
      <c r="AB597" t="s">
        <v>2925</v>
      </c>
      <c r="AC597">
        <v>6</v>
      </c>
    </row>
    <row r="598" spans="1:29" x14ac:dyDescent="0.3">
      <c r="A598" s="3">
        <v>45206</v>
      </c>
      <c r="B598" s="3" t="str">
        <f>TEXT(CleanedTable[[#This Row],[OrderDate]],"mmm")</f>
        <v>Oct</v>
      </c>
      <c r="C598" s="3" t="str">
        <f>TEXT(CleanedTable[[#This Row],[OrderDate]],"yyyy")</f>
        <v>2023</v>
      </c>
      <c r="D598" s="3" t="str">
        <f>TEXT(CleanedTable[[#This Row],[OrderDate]],"mmm yyyy")</f>
        <v>Oct 2023</v>
      </c>
      <c r="E598" t="s">
        <v>20</v>
      </c>
      <c r="F598" t="s">
        <v>24</v>
      </c>
      <c r="G598" s="12">
        <v>6</v>
      </c>
      <c r="H598" s="8">
        <v>505.7</v>
      </c>
      <c r="I598" t="s">
        <v>33</v>
      </c>
      <c r="J598" t="s">
        <v>36</v>
      </c>
      <c r="K598" s="10">
        <v>0</v>
      </c>
      <c r="L598" t="s">
        <v>38</v>
      </c>
      <c r="M598">
        <v>3034.2</v>
      </c>
      <c r="N598">
        <v>1820.5199999999998</v>
      </c>
      <c r="O598" s="10">
        <v>1173.3</v>
      </c>
      <c r="P598" s="10">
        <v>0.38669171445521061</v>
      </c>
      <c r="Q598" s="8">
        <v>3034.2</v>
      </c>
      <c r="R598" t="s">
        <v>47</v>
      </c>
      <c r="T598" t="s">
        <v>2932</v>
      </c>
      <c r="U598">
        <v>0</v>
      </c>
      <c r="V598" t="str">
        <f>IF(CleanedTable[[#This Row],[Returned]] = 0,"NO","Yes")</f>
        <v>NO</v>
      </c>
      <c r="W598" t="s">
        <v>647</v>
      </c>
      <c r="X598" t="s">
        <v>2123</v>
      </c>
      <c r="Y598" s="10">
        <v>40.380000000000003</v>
      </c>
      <c r="Z598" s="3">
        <v>45206</v>
      </c>
      <c r="AA598" s="3">
        <v>45215</v>
      </c>
      <c r="AB598" t="s">
        <v>2923</v>
      </c>
      <c r="AC598">
        <v>9</v>
      </c>
    </row>
    <row r="599" spans="1:29" x14ac:dyDescent="0.3">
      <c r="A599" s="3">
        <v>45118</v>
      </c>
      <c r="B599" s="3" t="str">
        <f>TEXT(CleanedTable[[#This Row],[OrderDate]],"mmm")</f>
        <v>Jul</v>
      </c>
      <c r="C599" s="3" t="str">
        <f>TEXT(CleanedTable[[#This Row],[OrderDate]],"yyyy")</f>
        <v>2023</v>
      </c>
      <c r="D599" s="3" t="str">
        <f>TEXT(CleanedTable[[#This Row],[OrderDate]],"mmm yyyy")</f>
        <v>Jul 2023</v>
      </c>
      <c r="E599" t="s">
        <v>23</v>
      </c>
      <c r="F599" t="s">
        <v>30</v>
      </c>
      <c r="G599" s="12">
        <v>5</v>
      </c>
      <c r="H599" s="8">
        <v>569.62</v>
      </c>
      <c r="I599" t="s">
        <v>33</v>
      </c>
      <c r="J599" t="s">
        <v>35</v>
      </c>
      <c r="K599" s="10">
        <v>0</v>
      </c>
      <c r="L599" t="s">
        <v>41</v>
      </c>
      <c r="M599">
        <v>2848.1</v>
      </c>
      <c r="N599">
        <v>1708.86</v>
      </c>
      <c r="O599" s="10">
        <v>1090.44</v>
      </c>
      <c r="P599" s="10">
        <v>0.38286577016256457</v>
      </c>
      <c r="Q599" s="8">
        <v>2848.1</v>
      </c>
      <c r="R599" t="s">
        <v>46</v>
      </c>
      <c r="S599" t="s">
        <v>48</v>
      </c>
      <c r="T599" t="s">
        <v>2931</v>
      </c>
      <c r="U599">
        <v>0</v>
      </c>
      <c r="V599" t="str">
        <f>IF(CleanedTable[[#This Row],[Returned]] = 0,"NO","Yes")</f>
        <v>NO</v>
      </c>
      <c r="W599" t="s">
        <v>648</v>
      </c>
      <c r="X599" t="s">
        <v>2124</v>
      </c>
      <c r="Y599" s="10">
        <v>48.8</v>
      </c>
      <c r="Z599" s="3">
        <v>45118</v>
      </c>
      <c r="AA599" s="3">
        <v>45120</v>
      </c>
      <c r="AB599" t="s">
        <v>2926</v>
      </c>
      <c r="AC599">
        <v>2</v>
      </c>
    </row>
    <row r="600" spans="1:29" x14ac:dyDescent="0.3">
      <c r="A600" s="3">
        <v>45688</v>
      </c>
      <c r="B600" s="3" t="str">
        <f>TEXT(CleanedTable[[#This Row],[OrderDate]],"mmm")</f>
        <v>Jan</v>
      </c>
      <c r="C600" s="3" t="str">
        <f>TEXT(CleanedTable[[#This Row],[OrderDate]],"yyyy")</f>
        <v>2025</v>
      </c>
      <c r="D600" s="3" t="str">
        <f>TEXT(CleanedTable[[#This Row],[OrderDate]],"mmm yyyy")</f>
        <v>Jan 2025</v>
      </c>
      <c r="E600" t="s">
        <v>20</v>
      </c>
      <c r="F600" t="s">
        <v>29</v>
      </c>
      <c r="G600" s="12">
        <v>19</v>
      </c>
      <c r="H600" s="8">
        <v>90.85</v>
      </c>
      <c r="I600" t="s">
        <v>33</v>
      </c>
      <c r="J600" t="s">
        <v>36</v>
      </c>
      <c r="K600" s="10">
        <v>0.05</v>
      </c>
      <c r="L600" t="s">
        <v>38</v>
      </c>
      <c r="M600">
        <v>1639.8424999999997</v>
      </c>
      <c r="N600">
        <v>1035.69</v>
      </c>
      <c r="O600" s="10">
        <v>581.87249999999972</v>
      </c>
      <c r="P600" s="10">
        <v>0.35483438196046257</v>
      </c>
      <c r="Q600" s="8">
        <v>1639.8425</v>
      </c>
      <c r="R600" t="s">
        <v>45</v>
      </c>
      <c r="S600" t="s">
        <v>49</v>
      </c>
      <c r="T600" t="s">
        <v>2931</v>
      </c>
      <c r="U600">
        <v>0</v>
      </c>
      <c r="V600" t="str">
        <f>IF(CleanedTable[[#This Row],[Returned]] = 0,"NO","Yes")</f>
        <v>NO</v>
      </c>
      <c r="W600" t="s">
        <v>649</v>
      </c>
      <c r="X600" t="s">
        <v>2125</v>
      </c>
      <c r="Y600" s="10">
        <v>22.28</v>
      </c>
      <c r="Z600" s="3">
        <v>45688</v>
      </c>
      <c r="AA600" s="3">
        <v>45694</v>
      </c>
      <c r="AB600" t="s">
        <v>2923</v>
      </c>
      <c r="AC600">
        <v>6</v>
      </c>
    </row>
    <row r="601" spans="1:29" x14ac:dyDescent="0.3">
      <c r="A601" s="3">
        <v>44961</v>
      </c>
      <c r="B601" s="3" t="str">
        <f>TEXT(CleanedTable[[#This Row],[OrderDate]],"mmm")</f>
        <v>Feb</v>
      </c>
      <c r="C601" s="3" t="str">
        <f>TEXT(CleanedTable[[#This Row],[OrderDate]],"yyyy")</f>
        <v>2023</v>
      </c>
      <c r="D601" s="3" t="str">
        <f>TEXT(CleanedTable[[#This Row],[OrderDate]],"mmm yyyy")</f>
        <v>Feb 2023</v>
      </c>
      <c r="E601" t="s">
        <v>20</v>
      </c>
      <c r="F601" t="s">
        <v>27</v>
      </c>
      <c r="G601" s="12">
        <v>2</v>
      </c>
      <c r="H601" s="8">
        <v>296.91000000000003</v>
      </c>
      <c r="I601" t="s">
        <v>32</v>
      </c>
      <c r="J601" t="s">
        <v>35</v>
      </c>
      <c r="K601" s="10">
        <v>0.05</v>
      </c>
      <c r="L601" t="s">
        <v>40</v>
      </c>
      <c r="M601">
        <v>564.12900000000002</v>
      </c>
      <c r="N601">
        <v>356.29200000000003</v>
      </c>
      <c r="O601" s="10">
        <v>163.48699999999999</v>
      </c>
      <c r="P601" s="10">
        <v>0.28980428235385874</v>
      </c>
      <c r="Q601" s="8">
        <v>564.12900000000002</v>
      </c>
      <c r="R601" t="s">
        <v>46</v>
      </c>
      <c r="S601" t="s">
        <v>50</v>
      </c>
      <c r="T601" t="s">
        <v>2931</v>
      </c>
      <c r="U601">
        <v>0</v>
      </c>
      <c r="V601" t="str">
        <f>IF(CleanedTable[[#This Row],[Returned]] = 0,"NO","Yes")</f>
        <v>NO</v>
      </c>
      <c r="W601" t="s">
        <v>650</v>
      </c>
      <c r="X601" t="s">
        <v>2126</v>
      </c>
      <c r="Y601" s="10">
        <v>44.35</v>
      </c>
      <c r="Z601" s="3">
        <v>44961</v>
      </c>
      <c r="AA601" s="3">
        <v>44964</v>
      </c>
      <c r="AB601" t="s">
        <v>2923</v>
      </c>
      <c r="AC601">
        <v>3</v>
      </c>
    </row>
    <row r="602" spans="1:29" x14ac:dyDescent="0.3">
      <c r="A602" s="3">
        <v>45171</v>
      </c>
      <c r="B602" s="3" t="str">
        <f>TEXT(CleanedTable[[#This Row],[OrderDate]],"mmm")</f>
        <v>Sep</v>
      </c>
      <c r="C602" s="3" t="str">
        <f>TEXT(CleanedTable[[#This Row],[OrderDate]],"yyyy")</f>
        <v>2023</v>
      </c>
      <c r="D602" s="3" t="str">
        <f>TEXT(CleanedTable[[#This Row],[OrderDate]],"mmm yyyy")</f>
        <v>Sep 2023</v>
      </c>
      <c r="E602" t="s">
        <v>20</v>
      </c>
      <c r="F602" t="s">
        <v>30</v>
      </c>
      <c r="G602" s="12">
        <v>2</v>
      </c>
      <c r="H602" s="8">
        <v>6.19</v>
      </c>
      <c r="I602" t="s">
        <v>31</v>
      </c>
      <c r="J602" t="s">
        <v>36</v>
      </c>
      <c r="K602" s="10">
        <v>0.1</v>
      </c>
      <c r="L602" t="s">
        <v>39</v>
      </c>
      <c r="M602">
        <v>11.142000000000001</v>
      </c>
      <c r="N602">
        <v>7.4279999999999999</v>
      </c>
      <c r="O602" s="10">
        <v>-43.526000000000003</v>
      </c>
      <c r="P602" s="10">
        <v>-3.9064799856399208</v>
      </c>
      <c r="Q602" s="8">
        <v>11.141999999999999</v>
      </c>
      <c r="R602" t="s">
        <v>45</v>
      </c>
      <c r="S602" t="s">
        <v>48</v>
      </c>
      <c r="T602" t="s">
        <v>2931</v>
      </c>
      <c r="U602">
        <v>1</v>
      </c>
      <c r="V602" t="str">
        <f>IF(CleanedTable[[#This Row],[Returned]] = 0,"NO","Yes")</f>
        <v>Yes</v>
      </c>
      <c r="W602" t="s">
        <v>651</v>
      </c>
      <c r="X602" t="s">
        <v>2127</v>
      </c>
      <c r="Y602" s="10">
        <v>47.24</v>
      </c>
      <c r="Z602" s="3">
        <v>45171</v>
      </c>
      <c r="AA602" s="3">
        <v>45181</v>
      </c>
      <c r="AB602" t="s">
        <v>2923</v>
      </c>
      <c r="AC602">
        <v>10</v>
      </c>
    </row>
    <row r="603" spans="1:29" x14ac:dyDescent="0.3">
      <c r="A603" s="3">
        <v>45639</v>
      </c>
      <c r="B603" s="3" t="str">
        <f>TEXT(CleanedTable[[#This Row],[OrderDate]],"mmm")</f>
        <v>Dec</v>
      </c>
      <c r="C603" s="3" t="str">
        <f>TEXT(CleanedTable[[#This Row],[OrderDate]],"yyyy")</f>
        <v>2024</v>
      </c>
      <c r="D603" s="3" t="str">
        <f>TEXT(CleanedTable[[#This Row],[OrderDate]],"mmm yyyy")</f>
        <v>Dec 2024</v>
      </c>
      <c r="E603" t="s">
        <v>22</v>
      </c>
      <c r="F603" t="s">
        <v>28</v>
      </c>
      <c r="G603" s="12">
        <v>18</v>
      </c>
      <c r="H603" s="8">
        <v>207.35</v>
      </c>
      <c r="I603" t="s">
        <v>34</v>
      </c>
      <c r="J603" t="s">
        <v>35</v>
      </c>
      <c r="K603" s="10">
        <v>0.15</v>
      </c>
      <c r="L603" t="s">
        <v>38</v>
      </c>
      <c r="M603">
        <v>3172.4549999999995</v>
      </c>
      <c r="N603">
        <v>2239.38</v>
      </c>
      <c r="O603" s="10">
        <v>921.9049999999994</v>
      </c>
      <c r="P603" s="10">
        <v>0.29059671453180569</v>
      </c>
      <c r="Q603" s="8">
        <v>3172.454999999999</v>
      </c>
      <c r="R603" t="s">
        <v>46</v>
      </c>
      <c r="S603" t="s">
        <v>48</v>
      </c>
      <c r="T603" t="s">
        <v>2931</v>
      </c>
      <c r="U603">
        <v>0</v>
      </c>
      <c r="V603" t="str">
        <f>IF(CleanedTable[[#This Row],[Returned]] = 0,"NO","Yes")</f>
        <v>NO</v>
      </c>
      <c r="W603" t="s">
        <v>652</v>
      </c>
      <c r="X603" t="s">
        <v>2128</v>
      </c>
      <c r="Y603" s="10">
        <v>11.17</v>
      </c>
      <c r="Z603" s="3">
        <v>45639</v>
      </c>
      <c r="AA603" s="3">
        <v>45641</v>
      </c>
      <c r="AB603" t="s">
        <v>2925</v>
      </c>
      <c r="AC603">
        <v>2</v>
      </c>
    </row>
    <row r="604" spans="1:29" x14ac:dyDescent="0.3">
      <c r="A604" s="3">
        <v>45212</v>
      </c>
      <c r="B604" s="3" t="str">
        <f>TEXT(CleanedTable[[#This Row],[OrderDate]],"mmm")</f>
        <v>Oct</v>
      </c>
      <c r="C604" s="3" t="str">
        <f>TEXT(CleanedTable[[#This Row],[OrderDate]],"yyyy")</f>
        <v>2023</v>
      </c>
      <c r="D604" s="3" t="str">
        <f>TEXT(CleanedTable[[#This Row],[OrderDate]],"mmm yyyy")</f>
        <v>Oct 2023</v>
      </c>
      <c r="E604" t="s">
        <v>22</v>
      </c>
      <c r="F604" t="s">
        <v>29</v>
      </c>
      <c r="G604" s="12">
        <v>5</v>
      </c>
      <c r="H604" s="8">
        <v>75.27</v>
      </c>
      <c r="I604" t="s">
        <v>32</v>
      </c>
      <c r="J604" t="s">
        <v>35</v>
      </c>
      <c r="K604" s="10">
        <v>0</v>
      </c>
      <c r="L604" t="s">
        <v>40</v>
      </c>
      <c r="M604">
        <v>376.34999999999997</v>
      </c>
      <c r="N604">
        <v>225.81</v>
      </c>
      <c r="O604" s="10">
        <v>118.92999999999996</v>
      </c>
      <c r="P604" s="10">
        <v>0.31600903414374909</v>
      </c>
      <c r="Q604" s="8">
        <v>376.35</v>
      </c>
      <c r="R604" t="s">
        <v>47</v>
      </c>
      <c r="T604" t="s">
        <v>2932</v>
      </c>
      <c r="U604">
        <v>0</v>
      </c>
      <c r="V604" t="str">
        <f>IF(CleanedTable[[#This Row],[Returned]] = 0,"NO","Yes")</f>
        <v>NO</v>
      </c>
      <c r="W604" t="s">
        <v>653</v>
      </c>
      <c r="X604" t="s">
        <v>2129</v>
      </c>
      <c r="Y604" s="10">
        <v>31.61</v>
      </c>
      <c r="Z604" s="3">
        <v>45212</v>
      </c>
      <c r="AA604" s="3">
        <v>45221</v>
      </c>
      <c r="AB604" t="s">
        <v>2925</v>
      </c>
      <c r="AC604">
        <v>9</v>
      </c>
    </row>
    <row r="605" spans="1:29" x14ac:dyDescent="0.3">
      <c r="A605" s="3">
        <v>45568</v>
      </c>
      <c r="B605" s="3" t="str">
        <f>TEXT(CleanedTable[[#This Row],[OrderDate]],"mmm")</f>
        <v>Oct</v>
      </c>
      <c r="C605" s="3" t="str">
        <f>TEXT(CleanedTable[[#This Row],[OrderDate]],"yyyy")</f>
        <v>2024</v>
      </c>
      <c r="D605" s="3" t="str">
        <f>TEXT(CleanedTable[[#This Row],[OrderDate]],"mmm yyyy")</f>
        <v>Oct 2024</v>
      </c>
      <c r="E605" t="s">
        <v>20</v>
      </c>
      <c r="F605" t="s">
        <v>28</v>
      </c>
      <c r="G605" s="12">
        <v>3</v>
      </c>
      <c r="H605" s="8">
        <v>136.15</v>
      </c>
      <c r="I605" t="s">
        <v>32</v>
      </c>
      <c r="J605" t="s">
        <v>36</v>
      </c>
      <c r="K605" s="10">
        <v>0.1</v>
      </c>
      <c r="L605" t="s">
        <v>41</v>
      </c>
      <c r="M605">
        <v>367.60500000000008</v>
      </c>
      <c r="N605">
        <v>245.07</v>
      </c>
      <c r="O605" s="10">
        <v>74.155000000000086</v>
      </c>
      <c r="P605" s="10">
        <v>0.20172467730308366</v>
      </c>
      <c r="Q605" s="8">
        <v>367.60500000000008</v>
      </c>
      <c r="R605" t="s">
        <v>44</v>
      </c>
      <c r="S605" t="s">
        <v>49</v>
      </c>
      <c r="T605" t="s">
        <v>2931</v>
      </c>
      <c r="U605">
        <v>0</v>
      </c>
      <c r="V605" t="str">
        <f>IF(CleanedTable[[#This Row],[Returned]] = 0,"NO","Yes")</f>
        <v>NO</v>
      </c>
      <c r="W605" t="s">
        <v>654</v>
      </c>
      <c r="X605" t="s">
        <v>2130</v>
      </c>
      <c r="Y605" s="10">
        <v>48.38</v>
      </c>
      <c r="Z605" s="3">
        <v>45568</v>
      </c>
      <c r="AA605" s="3">
        <v>45572</v>
      </c>
      <c r="AB605" t="s">
        <v>2923</v>
      </c>
      <c r="AC605">
        <v>4</v>
      </c>
    </row>
    <row r="606" spans="1:29" x14ac:dyDescent="0.3">
      <c r="A606" s="3">
        <v>45410</v>
      </c>
      <c r="B606" s="3" t="str">
        <f>TEXT(CleanedTable[[#This Row],[OrderDate]],"mmm")</f>
        <v>Apr</v>
      </c>
      <c r="C606" s="3" t="str">
        <f>TEXT(CleanedTable[[#This Row],[OrderDate]],"yyyy")</f>
        <v>2024</v>
      </c>
      <c r="D606" s="3" t="str">
        <f>TEXT(CleanedTable[[#This Row],[OrderDate]],"mmm yyyy")</f>
        <v>Apr 2024</v>
      </c>
      <c r="E606" t="s">
        <v>22</v>
      </c>
      <c r="F606" t="s">
        <v>26</v>
      </c>
      <c r="G606" s="12">
        <v>5</v>
      </c>
      <c r="H606" s="8">
        <v>544.66</v>
      </c>
      <c r="I606" t="s">
        <v>31</v>
      </c>
      <c r="J606" t="s">
        <v>36</v>
      </c>
      <c r="K606" s="10">
        <v>0.1</v>
      </c>
      <c r="L606" t="s">
        <v>41</v>
      </c>
      <c r="M606">
        <v>2450.9699999999998</v>
      </c>
      <c r="N606">
        <v>1633.98</v>
      </c>
      <c r="O606" s="10">
        <v>808.5999999999998</v>
      </c>
      <c r="P606" s="10">
        <v>0.32991019881924294</v>
      </c>
      <c r="Q606" s="8">
        <v>2450.9699999999998</v>
      </c>
      <c r="R606" t="s">
        <v>43</v>
      </c>
      <c r="S606" t="s">
        <v>49</v>
      </c>
      <c r="T606" t="s">
        <v>2931</v>
      </c>
      <c r="U606">
        <v>0</v>
      </c>
      <c r="V606" t="str">
        <f>IF(CleanedTable[[#This Row],[Returned]] = 0,"NO","Yes")</f>
        <v>NO</v>
      </c>
      <c r="W606" t="s">
        <v>655</v>
      </c>
      <c r="X606" t="s">
        <v>2131</v>
      </c>
      <c r="Y606" s="10">
        <v>8.39</v>
      </c>
      <c r="Z606" s="3">
        <v>45410</v>
      </c>
      <c r="AA606" s="3">
        <v>45416</v>
      </c>
      <c r="AB606" t="s">
        <v>2925</v>
      </c>
      <c r="AC606">
        <v>6</v>
      </c>
    </row>
    <row r="607" spans="1:29" x14ac:dyDescent="0.3">
      <c r="A607" s="3">
        <v>45329</v>
      </c>
      <c r="B607" s="3" t="str">
        <f>TEXT(CleanedTable[[#This Row],[OrderDate]],"mmm")</f>
        <v>Feb</v>
      </c>
      <c r="C607" s="3" t="str">
        <f>TEXT(CleanedTable[[#This Row],[OrderDate]],"yyyy")</f>
        <v>2024</v>
      </c>
      <c r="D607" s="3" t="str">
        <f>TEXT(CleanedTable[[#This Row],[OrderDate]],"mmm yyyy")</f>
        <v>Feb 2024</v>
      </c>
      <c r="E607" t="s">
        <v>22</v>
      </c>
      <c r="F607" t="s">
        <v>26</v>
      </c>
      <c r="G607" s="12">
        <v>8</v>
      </c>
      <c r="H607" s="8">
        <v>561.9</v>
      </c>
      <c r="I607" t="s">
        <v>32</v>
      </c>
      <c r="J607" t="s">
        <v>36</v>
      </c>
      <c r="K607" s="10">
        <v>0.15</v>
      </c>
      <c r="L607" t="s">
        <v>42</v>
      </c>
      <c r="M607">
        <v>3820.9199999999996</v>
      </c>
      <c r="N607">
        <v>2697.12</v>
      </c>
      <c r="O607" s="10">
        <v>1107.8299999999997</v>
      </c>
      <c r="P607" s="10">
        <v>0.28993802539702473</v>
      </c>
      <c r="Q607" s="8">
        <v>3820.92</v>
      </c>
      <c r="R607" t="s">
        <v>43</v>
      </c>
      <c r="S607" t="s">
        <v>48</v>
      </c>
      <c r="T607" t="s">
        <v>2931</v>
      </c>
      <c r="U607">
        <v>1</v>
      </c>
      <c r="V607" t="str">
        <f>IF(CleanedTable[[#This Row],[Returned]] = 0,"NO","Yes")</f>
        <v>Yes</v>
      </c>
      <c r="W607" t="s">
        <v>656</v>
      </c>
      <c r="X607" t="s">
        <v>2132</v>
      </c>
      <c r="Y607" s="10">
        <v>15.97</v>
      </c>
      <c r="Z607" s="3">
        <v>45329</v>
      </c>
      <c r="AA607" s="3">
        <v>45336</v>
      </c>
      <c r="AB607" t="s">
        <v>2925</v>
      </c>
      <c r="AC607">
        <v>7</v>
      </c>
    </row>
    <row r="608" spans="1:29" x14ac:dyDescent="0.3">
      <c r="A608" s="3">
        <v>44965</v>
      </c>
      <c r="B608" s="3" t="str">
        <f>TEXT(CleanedTable[[#This Row],[OrderDate]],"mmm")</f>
        <v>Feb</v>
      </c>
      <c r="C608" s="3" t="str">
        <f>TEXT(CleanedTable[[#This Row],[OrderDate]],"yyyy")</f>
        <v>2023</v>
      </c>
      <c r="D608" s="3" t="str">
        <f>TEXT(CleanedTable[[#This Row],[OrderDate]],"mmm yyyy")</f>
        <v>Feb 2023</v>
      </c>
      <c r="E608" t="s">
        <v>20</v>
      </c>
      <c r="F608" t="s">
        <v>27</v>
      </c>
      <c r="G608" s="12">
        <v>20</v>
      </c>
      <c r="H608" s="8">
        <v>313.47000000000003</v>
      </c>
      <c r="I608" t="s">
        <v>33</v>
      </c>
      <c r="J608" t="s">
        <v>36</v>
      </c>
      <c r="K608" s="10">
        <v>0.15</v>
      </c>
      <c r="L608" t="s">
        <v>38</v>
      </c>
      <c r="M608">
        <v>5328.9900000000007</v>
      </c>
      <c r="N608">
        <v>3761.6400000000003</v>
      </c>
      <c r="O608" s="10">
        <v>1549.1800000000003</v>
      </c>
      <c r="P608" s="10">
        <v>0.29070799532369174</v>
      </c>
      <c r="Q608" s="8">
        <v>5328.9900000000007</v>
      </c>
      <c r="R608" t="s">
        <v>43</v>
      </c>
      <c r="S608" t="s">
        <v>48</v>
      </c>
      <c r="T608" t="s">
        <v>2931</v>
      </c>
      <c r="U608">
        <v>0</v>
      </c>
      <c r="V608" t="str">
        <f>IF(CleanedTable[[#This Row],[Returned]] = 0,"NO","Yes")</f>
        <v>NO</v>
      </c>
      <c r="W608" t="s">
        <v>657</v>
      </c>
      <c r="X608" t="s">
        <v>2133</v>
      </c>
      <c r="Y608" s="10">
        <v>18.170000000000002</v>
      </c>
      <c r="Z608" s="3">
        <v>44965</v>
      </c>
      <c r="AA608" s="3">
        <v>44968</v>
      </c>
      <c r="AB608" t="s">
        <v>2923</v>
      </c>
      <c r="AC608">
        <v>3</v>
      </c>
    </row>
    <row r="609" spans="1:29" x14ac:dyDescent="0.3">
      <c r="A609" s="3">
        <v>45094</v>
      </c>
      <c r="B609" s="3" t="str">
        <f>TEXT(CleanedTable[[#This Row],[OrderDate]],"mmm")</f>
        <v>Jun</v>
      </c>
      <c r="C609" s="3" t="str">
        <f>TEXT(CleanedTable[[#This Row],[OrderDate]],"yyyy")</f>
        <v>2023</v>
      </c>
      <c r="D609" s="3" t="str">
        <f>TEXT(CleanedTable[[#This Row],[OrderDate]],"mmm yyyy")</f>
        <v>Jun 2023</v>
      </c>
      <c r="E609" t="s">
        <v>20</v>
      </c>
      <c r="F609" t="s">
        <v>25</v>
      </c>
      <c r="G609" s="12">
        <v>1</v>
      </c>
      <c r="H609" s="8">
        <v>418.45</v>
      </c>
      <c r="I609" t="s">
        <v>33</v>
      </c>
      <c r="J609" t="s">
        <v>36</v>
      </c>
      <c r="K609" s="10">
        <v>0.15</v>
      </c>
      <c r="L609" t="s">
        <v>41</v>
      </c>
      <c r="M609">
        <v>355.6825</v>
      </c>
      <c r="N609">
        <v>251.07</v>
      </c>
      <c r="O609" s="10">
        <v>69.032500000000013</v>
      </c>
      <c r="P609" s="10">
        <v>0.19408461197837962</v>
      </c>
      <c r="Q609" s="8">
        <v>355.6825</v>
      </c>
      <c r="R609" t="s">
        <v>47</v>
      </c>
      <c r="S609" t="s">
        <v>50</v>
      </c>
      <c r="T609" t="s">
        <v>2931</v>
      </c>
      <c r="U609">
        <v>0</v>
      </c>
      <c r="V609" t="str">
        <f>IF(CleanedTable[[#This Row],[Returned]] = 0,"NO","Yes")</f>
        <v>NO</v>
      </c>
      <c r="W609" t="s">
        <v>658</v>
      </c>
      <c r="X609" t="s">
        <v>2134</v>
      </c>
      <c r="Y609" s="10">
        <v>35.58</v>
      </c>
      <c r="Z609" s="3">
        <v>45094</v>
      </c>
      <c r="AA609" s="3">
        <v>45096</v>
      </c>
      <c r="AB609" t="s">
        <v>2923</v>
      </c>
      <c r="AC609">
        <v>2</v>
      </c>
    </row>
    <row r="610" spans="1:29" x14ac:dyDescent="0.3">
      <c r="A610" s="3">
        <v>45502</v>
      </c>
      <c r="B610" s="3" t="str">
        <f>TEXT(CleanedTable[[#This Row],[OrderDate]],"mmm")</f>
        <v>Jul</v>
      </c>
      <c r="C610" s="3" t="str">
        <f>TEXT(CleanedTable[[#This Row],[OrderDate]],"yyyy")</f>
        <v>2024</v>
      </c>
      <c r="D610" s="3" t="str">
        <f>TEXT(CleanedTable[[#This Row],[OrderDate]],"mmm yyyy")</f>
        <v>Jul 2024</v>
      </c>
      <c r="E610" t="s">
        <v>23</v>
      </c>
      <c r="F610" t="s">
        <v>28</v>
      </c>
      <c r="G610" s="12">
        <v>8</v>
      </c>
      <c r="H610" s="8">
        <v>420.75</v>
      </c>
      <c r="I610" t="s">
        <v>31</v>
      </c>
      <c r="J610" t="s">
        <v>35</v>
      </c>
      <c r="K610" s="10">
        <v>0.1</v>
      </c>
      <c r="L610" t="s">
        <v>42</v>
      </c>
      <c r="M610">
        <v>3029.4</v>
      </c>
      <c r="N610">
        <v>2019.6</v>
      </c>
      <c r="O610" s="10">
        <v>965.19000000000017</v>
      </c>
      <c r="P610" s="10">
        <v>0.31860764507823336</v>
      </c>
      <c r="Q610" s="8">
        <v>3029.4</v>
      </c>
      <c r="R610" t="s">
        <v>43</v>
      </c>
      <c r="S610" t="s">
        <v>49</v>
      </c>
      <c r="T610" t="s">
        <v>2931</v>
      </c>
      <c r="U610">
        <v>1</v>
      </c>
      <c r="V610" t="str">
        <f>IF(CleanedTable[[#This Row],[Returned]] = 0,"NO","Yes")</f>
        <v>Yes</v>
      </c>
      <c r="W610" t="s">
        <v>659</v>
      </c>
      <c r="X610" t="s">
        <v>2135</v>
      </c>
      <c r="Y610" s="10">
        <v>44.61</v>
      </c>
      <c r="Z610" s="3">
        <v>45502</v>
      </c>
      <c r="AA610" s="3">
        <v>45505</v>
      </c>
      <c r="AB610" t="s">
        <v>2926</v>
      </c>
      <c r="AC610">
        <v>3</v>
      </c>
    </row>
    <row r="611" spans="1:29" x14ac:dyDescent="0.3">
      <c r="A611" s="3">
        <v>45320</v>
      </c>
      <c r="B611" s="3" t="str">
        <f>TEXT(CleanedTable[[#This Row],[OrderDate]],"mmm")</f>
        <v>Jan</v>
      </c>
      <c r="C611" s="3" t="str">
        <f>TEXT(CleanedTable[[#This Row],[OrderDate]],"yyyy")</f>
        <v>2024</v>
      </c>
      <c r="D611" s="3" t="str">
        <f>TEXT(CleanedTable[[#This Row],[OrderDate]],"mmm yyyy")</f>
        <v>Jan 2024</v>
      </c>
      <c r="E611" t="s">
        <v>23</v>
      </c>
      <c r="F611" t="s">
        <v>30</v>
      </c>
      <c r="G611" s="12">
        <v>16</v>
      </c>
      <c r="H611" s="8">
        <v>514.36</v>
      </c>
      <c r="I611" t="s">
        <v>34</v>
      </c>
      <c r="J611" t="s">
        <v>35</v>
      </c>
      <c r="K611" s="10">
        <v>0</v>
      </c>
      <c r="L611" t="s">
        <v>38</v>
      </c>
      <c r="M611">
        <v>8229.76</v>
      </c>
      <c r="N611">
        <v>4937.8559999999998</v>
      </c>
      <c r="O611" s="10">
        <v>3251.1540000000005</v>
      </c>
      <c r="P611" s="10">
        <v>0.39504845827824875</v>
      </c>
      <c r="Q611" s="8">
        <v>8229.76</v>
      </c>
      <c r="R611" t="s">
        <v>43</v>
      </c>
      <c r="S611" t="s">
        <v>49</v>
      </c>
      <c r="T611" t="s">
        <v>2931</v>
      </c>
      <c r="U611">
        <v>0</v>
      </c>
      <c r="V611" t="str">
        <f>IF(CleanedTable[[#This Row],[Returned]] = 0,"NO","Yes")</f>
        <v>NO</v>
      </c>
      <c r="W611" t="s">
        <v>660</v>
      </c>
      <c r="X611" t="s">
        <v>2136</v>
      </c>
      <c r="Y611" s="10">
        <v>40.75</v>
      </c>
      <c r="Z611" s="3">
        <v>45320</v>
      </c>
      <c r="AA611" s="3">
        <v>45323</v>
      </c>
      <c r="AB611" t="s">
        <v>2926</v>
      </c>
      <c r="AC611">
        <v>3</v>
      </c>
    </row>
    <row r="612" spans="1:29" x14ac:dyDescent="0.3">
      <c r="A612" s="3">
        <v>45309</v>
      </c>
      <c r="B612" s="3" t="str">
        <f>TEXT(CleanedTable[[#This Row],[OrderDate]],"mmm")</f>
        <v>Jan</v>
      </c>
      <c r="C612" s="3" t="str">
        <f>TEXT(CleanedTable[[#This Row],[OrderDate]],"yyyy")</f>
        <v>2024</v>
      </c>
      <c r="D612" s="3" t="str">
        <f>TEXT(CleanedTable[[#This Row],[OrderDate]],"mmm yyyy")</f>
        <v>Jan 2024</v>
      </c>
      <c r="E612" t="s">
        <v>19</v>
      </c>
      <c r="F612" t="s">
        <v>25</v>
      </c>
      <c r="G612" s="12">
        <v>2</v>
      </c>
      <c r="H612" s="8">
        <v>297.2</v>
      </c>
      <c r="I612" t="s">
        <v>31</v>
      </c>
      <c r="J612" t="s">
        <v>36</v>
      </c>
      <c r="K612" s="10">
        <v>0.1</v>
      </c>
      <c r="L612" t="s">
        <v>39</v>
      </c>
      <c r="M612">
        <v>534.96</v>
      </c>
      <c r="N612">
        <v>356.64</v>
      </c>
      <c r="O612" s="10">
        <v>169.61000000000004</v>
      </c>
      <c r="P612" s="10">
        <v>0.31705174218633175</v>
      </c>
      <c r="Q612" s="8">
        <v>534.96</v>
      </c>
      <c r="R612" t="s">
        <v>44</v>
      </c>
      <c r="S612" t="s">
        <v>48</v>
      </c>
      <c r="T612" t="s">
        <v>2931</v>
      </c>
      <c r="U612">
        <v>0</v>
      </c>
      <c r="V612" t="str">
        <f>IF(CleanedTable[[#This Row],[Returned]] = 0,"NO","Yes")</f>
        <v>NO</v>
      </c>
      <c r="W612" t="s">
        <v>661</v>
      </c>
      <c r="X612" t="s">
        <v>2137</v>
      </c>
      <c r="Y612" s="10">
        <v>8.7100000000000009</v>
      </c>
      <c r="Z612" s="3">
        <v>45309</v>
      </c>
      <c r="AA612" s="3">
        <v>45314</v>
      </c>
      <c r="AB612" t="s">
        <v>2922</v>
      </c>
      <c r="AC612">
        <v>5</v>
      </c>
    </row>
    <row r="613" spans="1:29" x14ac:dyDescent="0.3">
      <c r="A613" s="3">
        <v>45516</v>
      </c>
      <c r="B613" s="3" t="str">
        <f>TEXT(CleanedTable[[#This Row],[OrderDate]],"mmm")</f>
        <v>Aug</v>
      </c>
      <c r="C613" s="3" t="str">
        <f>TEXT(CleanedTable[[#This Row],[OrderDate]],"yyyy")</f>
        <v>2024</v>
      </c>
      <c r="D613" s="3" t="str">
        <f>TEXT(CleanedTable[[#This Row],[OrderDate]],"mmm yyyy")</f>
        <v>Aug 2024</v>
      </c>
      <c r="E613" t="s">
        <v>21</v>
      </c>
      <c r="F613" t="s">
        <v>27</v>
      </c>
      <c r="G613" s="12">
        <v>10</v>
      </c>
      <c r="H613" s="8">
        <v>278</v>
      </c>
      <c r="I613" t="s">
        <v>33</v>
      </c>
      <c r="J613" t="s">
        <v>36</v>
      </c>
      <c r="K613" s="10">
        <v>0</v>
      </c>
      <c r="L613" t="s">
        <v>42</v>
      </c>
      <c r="M613">
        <v>2780</v>
      </c>
      <c r="N613">
        <v>1667.9999999999998</v>
      </c>
      <c r="O613" s="10">
        <v>1087.7500000000002</v>
      </c>
      <c r="P613" s="10">
        <v>0.39127697841726627</v>
      </c>
      <c r="Q613" s="8">
        <v>2780</v>
      </c>
      <c r="R613" t="s">
        <v>45</v>
      </c>
      <c r="T613" t="s">
        <v>2932</v>
      </c>
      <c r="U613">
        <v>0</v>
      </c>
      <c r="V613" t="str">
        <f>IF(CleanedTable[[#This Row],[Returned]] = 0,"NO","Yes")</f>
        <v>NO</v>
      </c>
      <c r="W613" t="s">
        <v>662</v>
      </c>
      <c r="X613" t="s">
        <v>2138</v>
      </c>
      <c r="Y613" s="10">
        <v>24.25</v>
      </c>
      <c r="Z613" s="3">
        <v>45516</v>
      </c>
      <c r="AA613" s="3">
        <v>45526</v>
      </c>
      <c r="AB613" t="s">
        <v>2924</v>
      </c>
      <c r="AC613">
        <v>10</v>
      </c>
    </row>
    <row r="614" spans="1:29" x14ac:dyDescent="0.3">
      <c r="A614" s="3">
        <v>45763</v>
      </c>
      <c r="B614" s="3" t="str">
        <f>TEXT(CleanedTable[[#This Row],[OrderDate]],"mmm")</f>
        <v>Apr</v>
      </c>
      <c r="C614" s="3" t="str">
        <f>TEXT(CleanedTable[[#This Row],[OrderDate]],"yyyy")</f>
        <v>2025</v>
      </c>
      <c r="D614" s="3" t="str">
        <f>TEXT(CleanedTable[[#This Row],[OrderDate]],"mmm yyyy")</f>
        <v>Apr 2025</v>
      </c>
      <c r="E614" t="s">
        <v>23</v>
      </c>
      <c r="F614" t="s">
        <v>28</v>
      </c>
      <c r="G614" s="12">
        <v>8</v>
      </c>
      <c r="H614" s="8">
        <v>583.16999999999996</v>
      </c>
      <c r="I614" t="s">
        <v>34</v>
      </c>
      <c r="J614" t="s">
        <v>35</v>
      </c>
      <c r="K614" s="10">
        <v>0.1</v>
      </c>
      <c r="L614" t="s">
        <v>39</v>
      </c>
      <c r="M614">
        <v>4198.8239999999996</v>
      </c>
      <c r="N614">
        <v>2799.2159999999999</v>
      </c>
      <c r="O614" s="10">
        <v>1350.4279999999997</v>
      </c>
      <c r="P614" s="10">
        <v>0.32162052993885903</v>
      </c>
      <c r="Q614" s="8">
        <v>4198.8239999999996</v>
      </c>
      <c r="R614" t="s">
        <v>45</v>
      </c>
      <c r="S614" t="s">
        <v>50</v>
      </c>
      <c r="T614" t="s">
        <v>2931</v>
      </c>
      <c r="U614">
        <v>0</v>
      </c>
      <c r="V614" t="str">
        <f>IF(CleanedTable[[#This Row],[Returned]] = 0,"NO","Yes")</f>
        <v>NO</v>
      </c>
      <c r="W614" t="s">
        <v>663</v>
      </c>
      <c r="X614" t="s">
        <v>2139</v>
      </c>
      <c r="Y614" s="10">
        <v>49.18</v>
      </c>
      <c r="Z614" s="3">
        <v>45763</v>
      </c>
      <c r="AA614" s="3">
        <v>45767</v>
      </c>
      <c r="AB614" t="s">
        <v>2926</v>
      </c>
      <c r="AC614">
        <v>4</v>
      </c>
    </row>
    <row r="615" spans="1:29" x14ac:dyDescent="0.3">
      <c r="A615" s="3">
        <v>44983</v>
      </c>
      <c r="B615" s="3" t="str">
        <f>TEXT(CleanedTable[[#This Row],[OrderDate]],"mmm")</f>
        <v>Feb</v>
      </c>
      <c r="C615" s="3" t="str">
        <f>TEXT(CleanedTable[[#This Row],[OrderDate]],"yyyy")</f>
        <v>2023</v>
      </c>
      <c r="D615" s="3" t="str">
        <f>TEXT(CleanedTable[[#This Row],[OrderDate]],"mmm yyyy")</f>
        <v>Feb 2023</v>
      </c>
      <c r="E615" t="s">
        <v>22</v>
      </c>
      <c r="F615" t="s">
        <v>26</v>
      </c>
      <c r="G615" s="12">
        <v>16</v>
      </c>
      <c r="H615" s="8">
        <v>75.62</v>
      </c>
      <c r="I615" t="s">
        <v>34</v>
      </c>
      <c r="J615" t="s">
        <v>36</v>
      </c>
      <c r="K615" s="10">
        <v>0.1</v>
      </c>
      <c r="L615" t="s">
        <v>41</v>
      </c>
      <c r="M615">
        <v>1088.9280000000001</v>
      </c>
      <c r="N615">
        <v>725.952</v>
      </c>
      <c r="O615" s="10">
        <v>335.58600000000013</v>
      </c>
      <c r="P615" s="10">
        <v>0.30818015516177388</v>
      </c>
      <c r="Q615" s="8">
        <v>1088.9280000000001</v>
      </c>
      <c r="R615" t="s">
        <v>47</v>
      </c>
      <c r="S615" t="s">
        <v>50</v>
      </c>
      <c r="T615" t="s">
        <v>2931</v>
      </c>
      <c r="U615">
        <v>0</v>
      </c>
      <c r="V615" t="str">
        <f>IF(CleanedTable[[#This Row],[Returned]] = 0,"NO","Yes")</f>
        <v>NO</v>
      </c>
      <c r="W615" t="s">
        <v>664</v>
      </c>
      <c r="X615" t="s">
        <v>2140</v>
      </c>
      <c r="Y615" s="10">
        <v>27.39</v>
      </c>
      <c r="Z615" s="3">
        <v>44983</v>
      </c>
      <c r="AA615" s="3">
        <v>44987</v>
      </c>
      <c r="AB615" t="s">
        <v>2925</v>
      </c>
      <c r="AC615">
        <v>4</v>
      </c>
    </row>
    <row r="616" spans="1:29" x14ac:dyDescent="0.3">
      <c r="A616" s="3">
        <v>44933</v>
      </c>
      <c r="B616" s="3" t="str">
        <f>TEXT(CleanedTable[[#This Row],[OrderDate]],"mmm")</f>
        <v>Jan</v>
      </c>
      <c r="C616" s="3" t="str">
        <f>TEXT(CleanedTable[[#This Row],[OrderDate]],"yyyy")</f>
        <v>2023</v>
      </c>
      <c r="D616" s="3" t="str">
        <f>TEXT(CleanedTable[[#This Row],[OrderDate]],"mmm yyyy")</f>
        <v>Jan 2023</v>
      </c>
      <c r="E616" t="s">
        <v>19</v>
      </c>
      <c r="F616" t="s">
        <v>26</v>
      </c>
      <c r="G616" s="12">
        <v>13</v>
      </c>
      <c r="H616" s="8">
        <v>561.62</v>
      </c>
      <c r="I616" t="s">
        <v>33</v>
      </c>
      <c r="J616" t="s">
        <v>35</v>
      </c>
      <c r="K616" s="10">
        <v>0.05</v>
      </c>
      <c r="L616" t="s">
        <v>39</v>
      </c>
      <c r="M616">
        <v>6936.0069999999996</v>
      </c>
      <c r="N616">
        <v>4380.6359999999995</v>
      </c>
      <c r="O616" s="10">
        <v>2542.4610000000002</v>
      </c>
      <c r="P616" s="10">
        <v>0.36655975116518774</v>
      </c>
      <c r="Q616" s="8">
        <v>6936.0069999999996</v>
      </c>
      <c r="R616" t="s">
        <v>44</v>
      </c>
      <c r="S616" t="s">
        <v>48</v>
      </c>
      <c r="T616" t="s">
        <v>2931</v>
      </c>
      <c r="U616">
        <v>0</v>
      </c>
      <c r="V616" t="str">
        <f>IF(CleanedTable[[#This Row],[Returned]] = 0,"NO","Yes")</f>
        <v>NO</v>
      </c>
      <c r="W616" t="s">
        <v>665</v>
      </c>
      <c r="X616" t="s">
        <v>2141</v>
      </c>
      <c r="Y616" s="10">
        <v>12.91</v>
      </c>
      <c r="Z616" s="3">
        <v>44933</v>
      </c>
      <c r="AA616" s="3">
        <v>44937</v>
      </c>
      <c r="AB616" t="s">
        <v>2922</v>
      </c>
      <c r="AC616">
        <v>4</v>
      </c>
    </row>
    <row r="617" spans="1:29" x14ac:dyDescent="0.3">
      <c r="A617" s="3">
        <v>45223</v>
      </c>
      <c r="B617" s="3" t="str">
        <f>TEXT(CleanedTable[[#This Row],[OrderDate]],"mmm")</f>
        <v>Oct</v>
      </c>
      <c r="C617" s="3" t="str">
        <f>TEXT(CleanedTable[[#This Row],[OrderDate]],"yyyy")</f>
        <v>2023</v>
      </c>
      <c r="D617" s="3" t="str">
        <f>TEXT(CleanedTable[[#This Row],[OrderDate]],"mmm yyyy")</f>
        <v>Oct 2023</v>
      </c>
      <c r="E617" t="s">
        <v>20</v>
      </c>
      <c r="F617" t="s">
        <v>26</v>
      </c>
      <c r="G617" s="12">
        <v>5</v>
      </c>
      <c r="H617" s="8">
        <v>359.61</v>
      </c>
      <c r="I617" t="s">
        <v>32</v>
      </c>
      <c r="J617" t="s">
        <v>36</v>
      </c>
      <c r="K617" s="10">
        <v>0</v>
      </c>
      <c r="L617" t="s">
        <v>42</v>
      </c>
      <c r="M617">
        <v>1798.0500000000002</v>
      </c>
      <c r="N617">
        <v>1078.83</v>
      </c>
      <c r="O617" s="10">
        <v>677.91000000000031</v>
      </c>
      <c r="P617" s="10">
        <v>0.37702511053641458</v>
      </c>
      <c r="Q617" s="8">
        <v>1798.05</v>
      </c>
      <c r="R617" t="s">
        <v>43</v>
      </c>
      <c r="S617" t="s">
        <v>48</v>
      </c>
      <c r="T617" t="s">
        <v>2931</v>
      </c>
      <c r="U617">
        <v>0</v>
      </c>
      <c r="V617" t="str">
        <f>IF(CleanedTable[[#This Row],[Returned]] = 0,"NO","Yes")</f>
        <v>NO</v>
      </c>
      <c r="W617" t="s">
        <v>666</v>
      </c>
      <c r="X617" t="s">
        <v>2142</v>
      </c>
      <c r="Y617" s="10">
        <v>41.31</v>
      </c>
      <c r="Z617" s="3">
        <v>45223</v>
      </c>
      <c r="AA617" s="3">
        <v>45233</v>
      </c>
      <c r="AB617" t="s">
        <v>2923</v>
      </c>
      <c r="AC617">
        <v>10</v>
      </c>
    </row>
    <row r="618" spans="1:29" x14ac:dyDescent="0.3">
      <c r="A618" s="3">
        <v>45293</v>
      </c>
      <c r="B618" s="3" t="str">
        <f>TEXT(CleanedTable[[#This Row],[OrderDate]],"mmm")</f>
        <v>Jan</v>
      </c>
      <c r="C618" s="3" t="str">
        <f>TEXT(CleanedTable[[#This Row],[OrderDate]],"yyyy")</f>
        <v>2024</v>
      </c>
      <c r="D618" s="3" t="str">
        <f>TEXT(CleanedTable[[#This Row],[OrderDate]],"mmm yyyy")</f>
        <v>Jan 2024</v>
      </c>
      <c r="E618" t="s">
        <v>21</v>
      </c>
      <c r="F618" t="s">
        <v>29</v>
      </c>
      <c r="G618" s="12">
        <v>15</v>
      </c>
      <c r="H618" s="8">
        <v>115.48</v>
      </c>
      <c r="I618" t="s">
        <v>32</v>
      </c>
      <c r="J618" t="s">
        <v>36</v>
      </c>
      <c r="K618" s="10">
        <v>0.15</v>
      </c>
      <c r="L618" t="s">
        <v>39</v>
      </c>
      <c r="M618">
        <v>1472.37</v>
      </c>
      <c r="N618">
        <v>1039.32</v>
      </c>
      <c r="O618" s="10">
        <v>427.00999999999993</v>
      </c>
      <c r="P618" s="10">
        <v>0.29001541732037461</v>
      </c>
      <c r="Q618" s="8">
        <v>1472.37</v>
      </c>
      <c r="R618" t="s">
        <v>45</v>
      </c>
      <c r="T618" t="s">
        <v>2932</v>
      </c>
      <c r="U618">
        <v>0</v>
      </c>
      <c r="V618" t="str">
        <f>IF(CleanedTable[[#This Row],[Returned]] = 0,"NO","Yes")</f>
        <v>NO</v>
      </c>
      <c r="W618" t="s">
        <v>667</v>
      </c>
      <c r="X618" t="s">
        <v>2143</v>
      </c>
      <c r="Y618" s="10">
        <v>6.04</v>
      </c>
      <c r="Z618" s="3">
        <v>45293</v>
      </c>
      <c r="AA618" s="3">
        <v>45303</v>
      </c>
      <c r="AB618" t="s">
        <v>2924</v>
      </c>
      <c r="AC618">
        <v>10</v>
      </c>
    </row>
    <row r="619" spans="1:29" x14ac:dyDescent="0.3">
      <c r="A619" s="3">
        <v>45552</v>
      </c>
      <c r="B619" s="3" t="str">
        <f>TEXT(CleanedTable[[#This Row],[OrderDate]],"mmm")</f>
        <v>Sep</v>
      </c>
      <c r="C619" s="3" t="str">
        <f>TEXT(CleanedTable[[#This Row],[OrderDate]],"yyyy")</f>
        <v>2024</v>
      </c>
      <c r="D619" s="3" t="str">
        <f>TEXT(CleanedTable[[#This Row],[OrderDate]],"mmm yyyy")</f>
        <v>Sep 2024</v>
      </c>
      <c r="E619" t="s">
        <v>20</v>
      </c>
      <c r="F619" t="s">
        <v>24</v>
      </c>
      <c r="G619" s="12">
        <v>12</v>
      </c>
      <c r="H619" s="8">
        <v>596.26</v>
      </c>
      <c r="I619" t="s">
        <v>34</v>
      </c>
      <c r="J619" t="s">
        <v>35</v>
      </c>
      <c r="K619" s="10">
        <v>0.15</v>
      </c>
      <c r="L619" t="s">
        <v>37</v>
      </c>
      <c r="M619">
        <v>6081.8519999999999</v>
      </c>
      <c r="N619">
        <v>4293.0720000000001</v>
      </c>
      <c r="O619" s="10">
        <v>1760.5099999999998</v>
      </c>
      <c r="P619" s="10">
        <v>0.28946939188918108</v>
      </c>
      <c r="Q619" s="8">
        <v>6081.8519999999999</v>
      </c>
      <c r="R619" t="s">
        <v>44</v>
      </c>
      <c r="S619" t="s">
        <v>50</v>
      </c>
      <c r="T619" t="s">
        <v>2931</v>
      </c>
      <c r="U619">
        <v>0</v>
      </c>
      <c r="V619" t="str">
        <f>IF(CleanedTable[[#This Row],[Returned]] = 0,"NO","Yes")</f>
        <v>NO</v>
      </c>
      <c r="W619" t="s">
        <v>668</v>
      </c>
      <c r="X619" t="s">
        <v>2144</v>
      </c>
      <c r="Y619" s="10">
        <v>28.27</v>
      </c>
      <c r="Z619" s="3">
        <v>45552</v>
      </c>
      <c r="AA619" s="3">
        <v>45560</v>
      </c>
      <c r="AB619" t="s">
        <v>2923</v>
      </c>
      <c r="AC619">
        <v>8</v>
      </c>
    </row>
    <row r="620" spans="1:29" x14ac:dyDescent="0.3">
      <c r="A620" s="3">
        <v>45417</v>
      </c>
      <c r="B620" s="3" t="str">
        <f>TEXT(CleanedTable[[#This Row],[OrderDate]],"mmm")</f>
        <v>May</v>
      </c>
      <c r="C620" s="3" t="str">
        <f>TEXT(CleanedTable[[#This Row],[OrderDate]],"yyyy")</f>
        <v>2024</v>
      </c>
      <c r="D620" s="3" t="str">
        <f>TEXT(CleanedTable[[#This Row],[OrderDate]],"mmm yyyy")</f>
        <v>May 2024</v>
      </c>
      <c r="E620" t="s">
        <v>22</v>
      </c>
      <c r="F620" t="s">
        <v>29</v>
      </c>
      <c r="G620" s="12">
        <v>19</v>
      </c>
      <c r="H620" s="8">
        <v>401.68</v>
      </c>
      <c r="I620" t="s">
        <v>33</v>
      </c>
      <c r="J620" t="s">
        <v>35</v>
      </c>
      <c r="K620" s="10">
        <v>0.05</v>
      </c>
      <c r="L620" t="s">
        <v>38</v>
      </c>
      <c r="M620">
        <v>7250.3239999999996</v>
      </c>
      <c r="N620">
        <v>4579.152</v>
      </c>
      <c r="O620" s="10">
        <v>2633.4019999999996</v>
      </c>
      <c r="P620" s="10">
        <v>0.36321163026645426</v>
      </c>
      <c r="Q620" s="8">
        <v>7250.3239999999996</v>
      </c>
      <c r="R620" t="s">
        <v>46</v>
      </c>
      <c r="S620" t="s">
        <v>50</v>
      </c>
      <c r="T620" t="s">
        <v>2931</v>
      </c>
      <c r="U620">
        <v>1</v>
      </c>
      <c r="V620" t="str">
        <f>IF(CleanedTable[[#This Row],[Returned]] = 0,"NO","Yes")</f>
        <v>Yes</v>
      </c>
      <c r="W620" t="s">
        <v>669</v>
      </c>
      <c r="X620" t="s">
        <v>2145</v>
      </c>
      <c r="Y620" s="10">
        <v>37.770000000000003</v>
      </c>
      <c r="Z620" s="3">
        <v>45417</v>
      </c>
      <c r="AA620" s="3">
        <v>45423</v>
      </c>
      <c r="AB620" t="s">
        <v>2925</v>
      </c>
      <c r="AC620">
        <v>6</v>
      </c>
    </row>
    <row r="621" spans="1:29" x14ac:dyDescent="0.3">
      <c r="A621" s="3">
        <v>45835</v>
      </c>
      <c r="B621" s="3" t="str">
        <f>TEXT(CleanedTable[[#This Row],[OrderDate]],"mmm")</f>
        <v>Jun</v>
      </c>
      <c r="C621" s="3" t="str">
        <f>TEXT(CleanedTable[[#This Row],[OrderDate]],"yyyy")</f>
        <v>2025</v>
      </c>
      <c r="D621" s="3" t="str">
        <f>TEXT(CleanedTable[[#This Row],[OrderDate]],"mmm yyyy")</f>
        <v>Jun 2025</v>
      </c>
      <c r="E621" t="s">
        <v>23</v>
      </c>
      <c r="F621" t="s">
        <v>26</v>
      </c>
      <c r="G621" s="12">
        <v>13</v>
      </c>
      <c r="H621" s="8">
        <v>112.88</v>
      </c>
      <c r="I621" t="s">
        <v>34</v>
      </c>
      <c r="J621" t="s">
        <v>36</v>
      </c>
      <c r="K621" s="10">
        <v>0</v>
      </c>
      <c r="L621" t="s">
        <v>39</v>
      </c>
      <c r="M621">
        <v>1467.44</v>
      </c>
      <c r="N621">
        <v>880.46399999999994</v>
      </c>
      <c r="O621" s="10">
        <v>574.58600000000013</v>
      </c>
      <c r="P621" s="10">
        <v>0.39155672463610103</v>
      </c>
      <c r="Q621" s="8">
        <v>1467.44</v>
      </c>
      <c r="R621" t="s">
        <v>46</v>
      </c>
      <c r="T621" t="s">
        <v>2932</v>
      </c>
      <c r="U621">
        <v>0</v>
      </c>
      <c r="V621" t="str">
        <f>IF(CleanedTable[[#This Row],[Returned]] = 0,"NO","Yes")</f>
        <v>NO</v>
      </c>
      <c r="W621" t="s">
        <v>670</v>
      </c>
      <c r="X621" t="s">
        <v>2146</v>
      </c>
      <c r="Y621" s="10">
        <v>12.39</v>
      </c>
      <c r="Z621" s="3">
        <v>45835</v>
      </c>
      <c r="AA621" s="3">
        <v>45837</v>
      </c>
      <c r="AB621" t="s">
        <v>2926</v>
      </c>
      <c r="AC621">
        <v>2</v>
      </c>
    </row>
    <row r="622" spans="1:29" x14ac:dyDescent="0.3">
      <c r="A622" s="3">
        <v>45426</v>
      </c>
      <c r="B622" s="3" t="str">
        <f>TEXT(CleanedTable[[#This Row],[OrderDate]],"mmm")</f>
        <v>May</v>
      </c>
      <c r="C622" s="3" t="str">
        <f>TEXT(CleanedTable[[#This Row],[OrderDate]],"yyyy")</f>
        <v>2024</v>
      </c>
      <c r="D622" s="3" t="str">
        <f>TEXT(CleanedTable[[#This Row],[OrderDate]],"mmm yyyy")</f>
        <v>May 2024</v>
      </c>
      <c r="E622" t="s">
        <v>23</v>
      </c>
      <c r="F622" t="s">
        <v>25</v>
      </c>
      <c r="G622" s="12">
        <v>6</v>
      </c>
      <c r="H622" s="8">
        <v>370.08</v>
      </c>
      <c r="I622" t="s">
        <v>34</v>
      </c>
      <c r="J622" t="s">
        <v>36</v>
      </c>
      <c r="K622" s="10">
        <v>0.15</v>
      </c>
      <c r="L622" t="s">
        <v>38</v>
      </c>
      <c r="M622">
        <v>1887.4079999999999</v>
      </c>
      <c r="N622">
        <v>1332.2879999999998</v>
      </c>
      <c r="O622" s="10">
        <v>547.73000000000013</v>
      </c>
      <c r="P622" s="10">
        <v>0.29020222442630322</v>
      </c>
      <c r="Q622" s="8">
        <v>1887.4079999999999</v>
      </c>
      <c r="R622" t="s">
        <v>43</v>
      </c>
      <c r="S622" t="s">
        <v>49</v>
      </c>
      <c r="T622" t="s">
        <v>2931</v>
      </c>
      <c r="U622">
        <v>0</v>
      </c>
      <c r="V622" t="str">
        <f>IF(CleanedTable[[#This Row],[Returned]] = 0,"NO","Yes")</f>
        <v>NO</v>
      </c>
      <c r="W622" t="s">
        <v>671</v>
      </c>
      <c r="X622" t="s">
        <v>2147</v>
      </c>
      <c r="Y622" s="10">
        <v>7.39</v>
      </c>
      <c r="Z622" s="3">
        <v>45426</v>
      </c>
      <c r="AA622" s="3">
        <v>45434</v>
      </c>
      <c r="AB622" t="s">
        <v>2926</v>
      </c>
      <c r="AC622">
        <v>8</v>
      </c>
    </row>
    <row r="623" spans="1:29" x14ac:dyDescent="0.3">
      <c r="A623" s="3">
        <v>45351</v>
      </c>
      <c r="B623" s="3" t="str">
        <f>TEXT(CleanedTable[[#This Row],[OrderDate]],"mmm")</f>
        <v>Feb</v>
      </c>
      <c r="C623" s="3" t="str">
        <f>TEXT(CleanedTable[[#This Row],[OrderDate]],"yyyy")</f>
        <v>2024</v>
      </c>
      <c r="D623" s="3" t="str">
        <f>TEXT(CleanedTable[[#This Row],[OrderDate]],"mmm yyyy")</f>
        <v>Feb 2024</v>
      </c>
      <c r="E623" t="s">
        <v>21</v>
      </c>
      <c r="F623" t="s">
        <v>27</v>
      </c>
      <c r="G623" s="12">
        <v>15</v>
      </c>
      <c r="H623" s="8">
        <v>119.86</v>
      </c>
      <c r="I623" t="s">
        <v>32</v>
      </c>
      <c r="J623" t="s">
        <v>35</v>
      </c>
      <c r="K623" s="10">
        <v>0.15</v>
      </c>
      <c r="L623" t="s">
        <v>42</v>
      </c>
      <c r="M623">
        <v>1528.2150000000001</v>
      </c>
      <c r="N623">
        <v>1078.74</v>
      </c>
      <c r="O623" s="10">
        <v>418.69500000000016</v>
      </c>
      <c r="P623" s="10">
        <v>0.27397650199742846</v>
      </c>
      <c r="Q623" s="8">
        <v>1528.2149999999999</v>
      </c>
      <c r="R623" t="s">
        <v>46</v>
      </c>
      <c r="T623" t="s">
        <v>2932</v>
      </c>
      <c r="U623">
        <v>1</v>
      </c>
      <c r="V623" t="str">
        <f>IF(CleanedTable[[#This Row],[Returned]] = 0,"NO","Yes")</f>
        <v>Yes</v>
      </c>
      <c r="W623" t="s">
        <v>672</v>
      </c>
      <c r="X623" t="s">
        <v>2148</v>
      </c>
      <c r="Y623" s="10">
        <v>30.78</v>
      </c>
      <c r="Z623" s="3">
        <v>45351</v>
      </c>
      <c r="AA623" s="3">
        <v>45356</v>
      </c>
      <c r="AB623" t="s">
        <v>2924</v>
      </c>
      <c r="AC623">
        <v>5</v>
      </c>
    </row>
    <row r="624" spans="1:29" x14ac:dyDescent="0.3">
      <c r="A624" s="3">
        <v>45796</v>
      </c>
      <c r="B624" s="3" t="str">
        <f>TEXT(CleanedTable[[#This Row],[OrderDate]],"mmm")</f>
        <v>May</v>
      </c>
      <c r="C624" s="3" t="str">
        <f>TEXT(CleanedTable[[#This Row],[OrderDate]],"yyyy")</f>
        <v>2025</v>
      </c>
      <c r="D624" s="3" t="str">
        <f>TEXT(CleanedTable[[#This Row],[OrderDate]],"mmm yyyy")</f>
        <v>May 2025</v>
      </c>
      <c r="E624" t="s">
        <v>19</v>
      </c>
      <c r="F624" t="s">
        <v>25</v>
      </c>
      <c r="G624" s="12">
        <v>5</v>
      </c>
      <c r="H624" s="8">
        <v>271.44</v>
      </c>
      <c r="I624" t="s">
        <v>32</v>
      </c>
      <c r="J624" t="s">
        <v>35</v>
      </c>
      <c r="K624" s="10">
        <v>0.15</v>
      </c>
      <c r="L624" t="s">
        <v>41</v>
      </c>
      <c r="M624">
        <v>1153.6200000000001</v>
      </c>
      <c r="N624">
        <v>814.32</v>
      </c>
      <c r="O624" s="10">
        <v>333.32000000000005</v>
      </c>
      <c r="P624" s="10">
        <v>0.28893396439035385</v>
      </c>
      <c r="Q624" s="8">
        <v>1153.6199999999999</v>
      </c>
      <c r="R624" t="s">
        <v>46</v>
      </c>
      <c r="S624" t="s">
        <v>48</v>
      </c>
      <c r="T624" t="s">
        <v>2931</v>
      </c>
      <c r="U624">
        <v>0</v>
      </c>
      <c r="V624" t="str">
        <f>IF(CleanedTable[[#This Row],[Returned]] = 0,"NO","Yes")</f>
        <v>NO</v>
      </c>
      <c r="W624" t="s">
        <v>673</v>
      </c>
      <c r="X624" t="s">
        <v>2149</v>
      </c>
      <c r="Y624" s="10">
        <v>5.98</v>
      </c>
      <c r="Z624" s="3">
        <v>45796</v>
      </c>
      <c r="AA624" s="3">
        <v>45804</v>
      </c>
      <c r="AB624" t="s">
        <v>2922</v>
      </c>
      <c r="AC624">
        <v>8</v>
      </c>
    </row>
    <row r="625" spans="1:29" x14ac:dyDescent="0.3">
      <c r="A625" s="3">
        <v>45628</v>
      </c>
      <c r="B625" s="3" t="str">
        <f>TEXT(CleanedTable[[#This Row],[OrderDate]],"mmm")</f>
        <v>Dec</v>
      </c>
      <c r="C625" s="3" t="str">
        <f>TEXT(CleanedTable[[#This Row],[OrderDate]],"yyyy")</f>
        <v>2024</v>
      </c>
      <c r="D625" s="3" t="str">
        <f>TEXT(CleanedTable[[#This Row],[OrderDate]],"mmm yyyy")</f>
        <v>Dec 2024</v>
      </c>
      <c r="E625" t="s">
        <v>19</v>
      </c>
      <c r="F625" t="s">
        <v>26</v>
      </c>
      <c r="G625" s="12">
        <v>9</v>
      </c>
      <c r="H625" s="8">
        <v>363.39</v>
      </c>
      <c r="I625" t="s">
        <v>31</v>
      </c>
      <c r="J625" t="s">
        <v>35</v>
      </c>
      <c r="K625" s="10">
        <v>0.05</v>
      </c>
      <c r="L625" t="s">
        <v>41</v>
      </c>
      <c r="M625">
        <v>3106.9844999999996</v>
      </c>
      <c r="N625">
        <v>1962.306</v>
      </c>
      <c r="O625" s="10">
        <v>1103.0384999999994</v>
      </c>
      <c r="P625" s="10">
        <v>0.35501899027819406</v>
      </c>
      <c r="Q625" s="8">
        <v>3106.9845</v>
      </c>
      <c r="R625" t="s">
        <v>44</v>
      </c>
      <c r="T625" t="s">
        <v>2932</v>
      </c>
      <c r="U625">
        <v>0</v>
      </c>
      <c r="V625" t="str">
        <f>IF(CleanedTable[[#This Row],[Returned]] = 0,"NO","Yes")</f>
        <v>NO</v>
      </c>
      <c r="W625" t="s">
        <v>674</v>
      </c>
      <c r="X625" t="s">
        <v>1652</v>
      </c>
      <c r="Y625" s="10">
        <v>41.64</v>
      </c>
      <c r="Z625" s="3">
        <v>45628</v>
      </c>
      <c r="AA625" s="3">
        <v>45630</v>
      </c>
      <c r="AB625" t="s">
        <v>2922</v>
      </c>
      <c r="AC625">
        <v>2</v>
      </c>
    </row>
    <row r="626" spans="1:29" x14ac:dyDescent="0.3">
      <c r="A626" s="3">
        <v>45503</v>
      </c>
      <c r="B626" s="3" t="str">
        <f>TEXT(CleanedTable[[#This Row],[OrderDate]],"mmm")</f>
        <v>Jul</v>
      </c>
      <c r="C626" s="3" t="str">
        <f>TEXT(CleanedTable[[#This Row],[OrderDate]],"yyyy")</f>
        <v>2024</v>
      </c>
      <c r="D626" s="3" t="str">
        <f>TEXT(CleanedTable[[#This Row],[OrderDate]],"mmm yyyy")</f>
        <v>Jul 2024</v>
      </c>
      <c r="E626" t="s">
        <v>23</v>
      </c>
      <c r="F626" t="s">
        <v>30</v>
      </c>
      <c r="G626" s="12">
        <v>12</v>
      </c>
      <c r="H626" s="8">
        <v>533.77</v>
      </c>
      <c r="I626" t="s">
        <v>34</v>
      </c>
      <c r="J626" t="s">
        <v>35</v>
      </c>
      <c r="K626" s="10">
        <v>0.15</v>
      </c>
      <c r="L626" t="s">
        <v>38</v>
      </c>
      <c r="M626">
        <v>5444.4539999999997</v>
      </c>
      <c r="N626">
        <v>3843.1440000000002</v>
      </c>
      <c r="O626" s="10">
        <v>1552.5999999999995</v>
      </c>
      <c r="P626" s="10">
        <v>0.28517092806735067</v>
      </c>
      <c r="Q626" s="8">
        <v>5444.4539999999997</v>
      </c>
      <c r="R626" t="s">
        <v>47</v>
      </c>
      <c r="S626" t="s">
        <v>49</v>
      </c>
      <c r="T626" t="s">
        <v>2931</v>
      </c>
      <c r="U626">
        <v>0</v>
      </c>
      <c r="V626" t="str">
        <f>IF(CleanedTable[[#This Row],[Returned]] = 0,"NO","Yes")</f>
        <v>NO</v>
      </c>
      <c r="W626" t="s">
        <v>675</v>
      </c>
      <c r="X626" t="s">
        <v>2150</v>
      </c>
      <c r="Y626" s="10">
        <v>48.71</v>
      </c>
      <c r="Z626" s="3">
        <v>45503</v>
      </c>
      <c r="AA626" s="3">
        <v>45508</v>
      </c>
      <c r="AB626" t="s">
        <v>2926</v>
      </c>
      <c r="AC626">
        <v>5</v>
      </c>
    </row>
    <row r="627" spans="1:29" x14ac:dyDescent="0.3">
      <c r="A627" s="3">
        <v>45102</v>
      </c>
      <c r="B627" s="3" t="str">
        <f>TEXT(CleanedTable[[#This Row],[OrderDate]],"mmm")</f>
        <v>Jun</v>
      </c>
      <c r="C627" s="3" t="str">
        <f>TEXT(CleanedTable[[#This Row],[OrderDate]],"yyyy")</f>
        <v>2023</v>
      </c>
      <c r="D627" s="3" t="str">
        <f>TEXT(CleanedTable[[#This Row],[OrderDate]],"mmm yyyy")</f>
        <v>Jun 2023</v>
      </c>
      <c r="E627" t="s">
        <v>20</v>
      </c>
      <c r="F627" t="s">
        <v>26</v>
      </c>
      <c r="G627" s="12">
        <v>12</v>
      </c>
      <c r="H627" s="8">
        <v>192.03</v>
      </c>
      <c r="I627" t="s">
        <v>31</v>
      </c>
      <c r="J627" t="s">
        <v>35</v>
      </c>
      <c r="K627" s="10">
        <v>0.1</v>
      </c>
      <c r="L627" t="s">
        <v>40</v>
      </c>
      <c r="M627">
        <v>2073.924</v>
      </c>
      <c r="N627">
        <v>1382.616</v>
      </c>
      <c r="O627" s="10">
        <v>650.22799999999995</v>
      </c>
      <c r="P627" s="10">
        <v>0.31352547152161792</v>
      </c>
      <c r="Q627" s="8">
        <v>2073.924</v>
      </c>
      <c r="R627" t="s">
        <v>45</v>
      </c>
      <c r="T627" t="s">
        <v>2932</v>
      </c>
      <c r="U627">
        <v>0</v>
      </c>
      <c r="V627" t="str">
        <f>IF(CleanedTable[[#This Row],[Returned]] = 0,"NO","Yes")</f>
        <v>NO</v>
      </c>
      <c r="W627" t="s">
        <v>676</v>
      </c>
      <c r="X627" t="s">
        <v>2151</v>
      </c>
      <c r="Y627" s="10">
        <v>41.08</v>
      </c>
      <c r="Z627" s="3">
        <v>45102</v>
      </c>
      <c r="AA627" s="3">
        <v>45110</v>
      </c>
      <c r="AB627" t="s">
        <v>2923</v>
      </c>
      <c r="AC627">
        <v>8</v>
      </c>
    </row>
    <row r="628" spans="1:29" x14ac:dyDescent="0.3">
      <c r="A628" s="3">
        <v>45483</v>
      </c>
      <c r="B628" s="3" t="str">
        <f>TEXT(CleanedTable[[#This Row],[OrderDate]],"mmm")</f>
        <v>Jul</v>
      </c>
      <c r="C628" s="3" t="str">
        <f>TEXT(CleanedTable[[#This Row],[OrderDate]],"yyyy")</f>
        <v>2024</v>
      </c>
      <c r="D628" s="3" t="str">
        <f>TEXT(CleanedTable[[#This Row],[OrderDate]],"mmm yyyy")</f>
        <v>Jul 2024</v>
      </c>
      <c r="E628" t="s">
        <v>20</v>
      </c>
      <c r="F628" t="s">
        <v>27</v>
      </c>
      <c r="G628" s="12">
        <v>20</v>
      </c>
      <c r="H628" s="8">
        <v>504.22</v>
      </c>
      <c r="I628" t="s">
        <v>34</v>
      </c>
      <c r="J628" t="s">
        <v>35</v>
      </c>
      <c r="K628" s="10">
        <v>0</v>
      </c>
      <c r="L628" t="s">
        <v>39</v>
      </c>
      <c r="M628">
        <v>10084.400000000001</v>
      </c>
      <c r="N628">
        <v>6050.6399999999994</v>
      </c>
      <c r="O628" s="10">
        <v>4019.1500000000019</v>
      </c>
      <c r="P628" s="10">
        <v>0.39855122763872924</v>
      </c>
      <c r="Q628" s="8">
        <v>10084.4</v>
      </c>
      <c r="R628" t="s">
        <v>43</v>
      </c>
      <c r="S628" t="s">
        <v>50</v>
      </c>
      <c r="T628" t="s">
        <v>2931</v>
      </c>
      <c r="U628">
        <v>0</v>
      </c>
      <c r="V628" t="str">
        <f>IF(CleanedTable[[#This Row],[Returned]] = 0,"NO","Yes")</f>
        <v>NO</v>
      </c>
      <c r="W628" t="s">
        <v>677</v>
      </c>
      <c r="X628" t="s">
        <v>2152</v>
      </c>
      <c r="Y628" s="10">
        <v>14.61</v>
      </c>
      <c r="Z628" s="3">
        <v>45483</v>
      </c>
      <c r="AA628" s="3">
        <v>45492</v>
      </c>
      <c r="AB628" t="s">
        <v>2923</v>
      </c>
      <c r="AC628">
        <v>9</v>
      </c>
    </row>
    <row r="629" spans="1:29" x14ac:dyDescent="0.3">
      <c r="A629" s="3">
        <v>44932</v>
      </c>
      <c r="B629" s="3" t="str">
        <f>TEXT(CleanedTable[[#This Row],[OrderDate]],"mmm")</f>
        <v>Jan</v>
      </c>
      <c r="C629" s="3" t="str">
        <f>TEXT(CleanedTable[[#This Row],[OrderDate]],"yyyy")</f>
        <v>2023</v>
      </c>
      <c r="D629" s="3" t="str">
        <f>TEXT(CleanedTable[[#This Row],[OrderDate]],"mmm yyyy")</f>
        <v>Jan 2023</v>
      </c>
      <c r="E629" t="s">
        <v>19</v>
      </c>
      <c r="F629" t="s">
        <v>24</v>
      </c>
      <c r="G629" s="12">
        <v>7</v>
      </c>
      <c r="H629" s="8">
        <v>193.66</v>
      </c>
      <c r="I629" t="s">
        <v>32</v>
      </c>
      <c r="J629" t="s">
        <v>35</v>
      </c>
      <c r="K629" s="10">
        <v>0.1</v>
      </c>
      <c r="L629" t="s">
        <v>41</v>
      </c>
      <c r="M629">
        <v>1220.058</v>
      </c>
      <c r="N629">
        <v>813.37199999999996</v>
      </c>
      <c r="O629" s="10">
        <v>367.67600000000004</v>
      </c>
      <c r="P629" s="10">
        <v>0.30135944356743699</v>
      </c>
      <c r="Q629" s="8">
        <v>1220.058</v>
      </c>
      <c r="R629" t="s">
        <v>45</v>
      </c>
      <c r="S629" t="s">
        <v>48</v>
      </c>
      <c r="T629" t="s">
        <v>2931</v>
      </c>
      <c r="U629">
        <v>0</v>
      </c>
      <c r="V629" t="str">
        <f>IF(CleanedTable[[#This Row],[Returned]] = 0,"NO","Yes")</f>
        <v>NO</v>
      </c>
      <c r="W629" t="s">
        <v>678</v>
      </c>
      <c r="X629" t="s">
        <v>2153</v>
      </c>
      <c r="Y629" s="10">
        <v>39.01</v>
      </c>
      <c r="Z629" s="3">
        <v>44932</v>
      </c>
      <c r="AA629" s="3">
        <v>44941</v>
      </c>
      <c r="AB629" t="s">
        <v>2922</v>
      </c>
      <c r="AC629">
        <v>9</v>
      </c>
    </row>
    <row r="630" spans="1:29" x14ac:dyDescent="0.3">
      <c r="A630" s="3">
        <v>45346</v>
      </c>
      <c r="B630" s="3" t="str">
        <f>TEXT(CleanedTable[[#This Row],[OrderDate]],"mmm")</f>
        <v>Feb</v>
      </c>
      <c r="C630" s="3" t="str">
        <f>TEXT(CleanedTable[[#This Row],[OrderDate]],"yyyy")</f>
        <v>2024</v>
      </c>
      <c r="D630" s="3" t="str">
        <f>TEXT(CleanedTable[[#This Row],[OrderDate]],"mmm yyyy")</f>
        <v>Feb 2024</v>
      </c>
      <c r="E630" t="s">
        <v>20</v>
      </c>
      <c r="F630" t="s">
        <v>27</v>
      </c>
      <c r="G630" s="12">
        <v>3</v>
      </c>
      <c r="H630" s="8">
        <v>270.83</v>
      </c>
      <c r="I630" t="s">
        <v>31</v>
      </c>
      <c r="J630" t="s">
        <v>35</v>
      </c>
      <c r="K630" s="10">
        <v>0.1</v>
      </c>
      <c r="L630" t="s">
        <v>40</v>
      </c>
      <c r="M630">
        <v>731.24099999999999</v>
      </c>
      <c r="N630">
        <v>487.49399999999997</v>
      </c>
      <c r="O630" s="10">
        <v>226.54700000000003</v>
      </c>
      <c r="P630" s="10">
        <v>0.30981167631464868</v>
      </c>
      <c r="Q630" s="8">
        <v>731.24099999999999</v>
      </c>
      <c r="R630" t="s">
        <v>43</v>
      </c>
      <c r="S630" t="s">
        <v>49</v>
      </c>
      <c r="T630" t="s">
        <v>2931</v>
      </c>
      <c r="U630">
        <v>1</v>
      </c>
      <c r="V630" t="str">
        <f>IF(CleanedTable[[#This Row],[Returned]] = 0,"NO","Yes")</f>
        <v>Yes</v>
      </c>
      <c r="W630" t="s">
        <v>679</v>
      </c>
      <c r="X630" t="s">
        <v>2154</v>
      </c>
      <c r="Y630" s="10">
        <v>17.2</v>
      </c>
      <c r="Z630" s="3">
        <v>45346</v>
      </c>
      <c r="AA630" s="3">
        <v>45351</v>
      </c>
      <c r="AB630" t="s">
        <v>2923</v>
      </c>
      <c r="AC630">
        <v>5</v>
      </c>
    </row>
    <row r="631" spans="1:29" x14ac:dyDescent="0.3">
      <c r="A631" s="3">
        <v>45271</v>
      </c>
      <c r="B631" s="3" t="str">
        <f>TEXT(CleanedTable[[#This Row],[OrderDate]],"mmm")</f>
        <v>Dec</v>
      </c>
      <c r="C631" s="3" t="str">
        <f>TEXT(CleanedTable[[#This Row],[OrderDate]],"yyyy")</f>
        <v>2023</v>
      </c>
      <c r="D631" s="3" t="str">
        <f>TEXT(CleanedTable[[#This Row],[OrderDate]],"mmm yyyy")</f>
        <v>Dec 2023</v>
      </c>
      <c r="E631" t="s">
        <v>22</v>
      </c>
      <c r="F631" t="s">
        <v>29</v>
      </c>
      <c r="G631" s="12">
        <v>18</v>
      </c>
      <c r="H631" s="8">
        <v>62.08</v>
      </c>
      <c r="I631" t="s">
        <v>31</v>
      </c>
      <c r="J631" t="s">
        <v>36</v>
      </c>
      <c r="K631" s="10">
        <v>0</v>
      </c>
      <c r="L631" t="s">
        <v>41</v>
      </c>
      <c r="M631">
        <v>1117.44</v>
      </c>
      <c r="N631">
        <v>670.46399999999994</v>
      </c>
      <c r="O631" s="10">
        <v>438.3060000000001</v>
      </c>
      <c r="P631" s="10">
        <v>0.39224119415807568</v>
      </c>
      <c r="Q631" s="8">
        <v>1117.44</v>
      </c>
      <c r="R631" t="s">
        <v>45</v>
      </c>
      <c r="S631" t="s">
        <v>49</v>
      </c>
      <c r="T631" t="s">
        <v>2931</v>
      </c>
      <c r="U631">
        <v>1</v>
      </c>
      <c r="V631" t="str">
        <f>IF(CleanedTable[[#This Row],[Returned]] = 0,"NO","Yes")</f>
        <v>Yes</v>
      </c>
      <c r="W631" t="s">
        <v>680</v>
      </c>
      <c r="X631" t="s">
        <v>2155</v>
      </c>
      <c r="Y631" s="10">
        <v>8.67</v>
      </c>
      <c r="Z631" s="3">
        <v>45271</v>
      </c>
      <c r="AA631" s="3">
        <v>45280</v>
      </c>
      <c r="AB631" t="s">
        <v>2925</v>
      </c>
      <c r="AC631">
        <v>9</v>
      </c>
    </row>
    <row r="632" spans="1:29" x14ac:dyDescent="0.3">
      <c r="A632" s="3">
        <v>45707</v>
      </c>
      <c r="B632" s="3" t="str">
        <f>TEXT(CleanedTable[[#This Row],[OrderDate]],"mmm")</f>
        <v>Feb</v>
      </c>
      <c r="C632" s="3" t="str">
        <f>TEXT(CleanedTable[[#This Row],[OrderDate]],"yyyy")</f>
        <v>2025</v>
      </c>
      <c r="D632" s="3" t="str">
        <f>TEXT(CleanedTable[[#This Row],[OrderDate]],"mmm yyyy")</f>
        <v>Feb 2025</v>
      </c>
      <c r="E632" t="s">
        <v>20</v>
      </c>
      <c r="F632" t="s">
        <v>30</v>
      </c>
      <c r="G632" s="12">
        <v>11</v>
      </c>
      <c r="H632" s="8">
        <v>505.96</v>
      </c>
      <c r="I632" t="s">
        <v>33</v>
      </c>
      <c r="J632" t="s">
        <v>35</v>
      </c>
      <c r="K632" s="10">
        <v>0.15</v>
      </c>
      <c r="L632" t="s">
        <v>37</v>
      </c>
      <c r="M632">
        <v>4730.7259999999997</v>
      </c>
      <c r="N632">
        <v>3339.3359999999998</v>
      </c>
      <c r="O632" s="10">
        <v>1368.55</v>
      </c>
      <c r="P632" s="10">
        <v>0.28928963545975822</v>
      </c>
      <c r="Q632" s="8">
        <v>4730.7259999999997</v>
      </c>
      <c r="R632" t="s">
        <v>46</v>
      </c>
      <c r="S632" t="s">
        <v>48</v>
      </c>
      <c r="T632" t="s">
        <v>2931</v>
      </c>
      <c r="U632">
        <v>1</v>
      </c>
      <c r="V632" t="str">
        <f>IF(CleanedTable[[#This Row],[Returned]] = 0,"NO","Yes")</f>
        <v>Yes</v>
      </c>
      <c r="W632" t="s">
        <v>681</v>
      </c>
      <c r="X632" t="s">
        <v>2156</v>
      </c>
      <c r="Y632" s="10">
        <v>22.84</v>
      </c>
      <c r="Z632" s="3">
        <v>45707</v>
      </c>
      <c r="AA632" s="3">
        <v>45711</v>
      </c>
      <c r="AB632" t="s">
        <v>2923</v>
      </c>
      <c r="AC632">
        <v>4</v>
      </c>
    </row>
    <row r="633" spans="1:29" x14ac:dyDescent="0.3">
      <c r="A633" s="3">
        <v>45734</v>
      </c>
      <c r="B633" s="3" t="str">
        <f>TEXT(CleanedTable[[#This Row],[OrderDate]],"mmm")</f>
        <v>Mar</v>
      </c>
      <c r="C633" s="3" t="str">
        <f>TEXT(CleanedTable[[#This Row],[OrderDate]],"yyyy")</f>
        <v>2025</v>
      </c>
      <c r="D633" s="3" t="str">
        <f>TEXT(CleanedTable[[#This Row],[OrderDate]],"mmm yyyy")</f>
        <v>Mar 2025</v>
      </c>
      <c r="E633" t="s">
        <v>23</v>
      </c>
      <c r="F633" t="s">
        <v>29</v>
      </c>
      <c r="G633" s="12">
        <v>4</v>
      </c>
      <c r="H633" s="8">
        <v>62.46</v>
      </c>
      <c r="I633" t="s">
        <v>34</v>
      </c>
      <c r="J633" t="s">
        <v>35</v>
      </c>
      <c r="K633" s="10">
        <v>0.15</v>
      </c>
      <c r="L633" t="s">
        <v>38</v>
      </c>
      <c r="M633">
        <v>212.364</v>
      </c>
      <c r="N633">
        <v>149.904</v>
      </c>
      <c r="O633" s="10">
        <v>30.550000000000008</v>
      </c>
      <c r="P633" s="10">
        <v>0.1438567742178524</v>
      </c>
      <c r="Q633" s="8">
        <v>212.364</v>
      </c>
      <c r="R633" t="s">
        <v>46</v>
      </c>
      <c r="S633" t="s">
        <v>50</v>
      </c>
      <c r="T633" t="s">
        <v>2931</v>
      </c>
      <c r="U633">
        <v>0</v>
      </c>
      <c r="V633" t="str">
        <f>IF(CleanedTable[[#This Row],[Returned]] = 0,"NO","Yes")</f>
        <v>NO</v>
      </c>
      <c r="W633" t="s">
        <v>682</v>
      </c>
      <c r="X633" t="s">
        <v>2157</v>
      </c>
      <c r="Y633" s="10">
        <v>31.91</v>
      </c>
      <c r="Z633" s="3">
        <v>45734</v>
      </c>
      <c r="AA633" s="3">
        <v>45742</v>
      </c>
      <c r="AB633" t="s">
        <v>2926</v>
      </c>
      <c r="AC633">
        <v>8</v>
      </c>
    </row>
    <row r="634" spans="1:29" x14ac:dyDescent="0.3">
      <c r="A634" s="3">
        <v>45191</v>
      </c>
      <c r="B634" s="3" t="str">
        <f>TEXT(CleanedTable[[#This Row],[OrderDate]],"mmm")</f>
        <v>Sep</v>
      </c>
      <c r="C634" s="3" t="str">
        <f>TEXT(CleanedTable[[#This Row],[OrderDate]],"yyyy")</f>
        <v>2023</v>
      </c>
      <c r="D634" s="3" t="str">
        <f>TEXT(CleanedTable[[#This Row],[OrderDate]],"mmm yyyy")</f>
        <v>Sep 2023</v>
      </c>
      <c r="E634" t="s">
        <v>20</v>
      </c>
      <c r="F634" t="s">
        <v>25</v>
      </c>
      <c r="G634" s="12">
        <v>7</v>
      </c>
      <c r="H634" s="8">
        <v>480.08</v>
      </c>
      <c r="I634" t="s">
        <v>31</v>
      </c>
      <c r="J634" t="s">
        <v>35</v>
      </c>
      <c r="K634" s="10">
        <v>0.1</v>
      </c>
      <c r="L634" t="s">
        <v>41</v>
      </c>
      <c r="M634">
        <v>3024.5039999999999</v>
      </c>
      <c r="N634">
        <v>2016.336</v>
      </c>
      <c r="O634" s="10">
        <v>963.79799999999989</v>
      </c>
      <c r="P634" s="10">
        <v>0.31866315931471734</v>
      </c>
      <c r="Q634" s="8">
        <v>3024.5039999999999</v>
      </c>
      <c r="R634" t="s">
        <v>43</v>
      </c>
      <c r="T634" t="s">
        <v>2932</v>
      </c>
      <c r="U634">
        <v>1</v>
      </c>
      <c r="V634" t="str">
        <f>IF(CleanedTable[[#This Row],[Returned]] = 0,"NO","Yes")</f>
        <v>Yes</v>
      </c>
      <c r="W634" t="s">
        <v>683</v>
      </c>
      <c r="X634" t="s">
        <v>2158</v>
      </c>
      <c r="Y634" s="10">
        <v>44.37</v>
      </c>
      <c r="Z634" s="3">
        <v>45191</v>
      </c>
      <c r="AA634" s="3">
        <v>45196</v>
      </c>
      <c r="AB634" t="s">
        <v>2923</v>
      </c>
      <c r="AC634">
        <v>5</v>
      </c>
    </row>
    <row r="635" spans="1:29" x14ac:dyDescent="0.3">
      <c r="A635" s="3">
        <v>45283</v>
      </c>
      <c r="B635" s="3" t="str">
        <f>TEXT(CleanedTable[[#This Row],[OrderDate]],"mmm")</f>
        <v>Dec</v>
      </c>
      <c r="C635" s="3" t="str">
        <f>TEXT(CleanedTable[[#This Row],[OrderDate]],"yyyy")</f>
        <v>2023</v>
      </c>
      <c r="D635" s="3" t="str">
        <f>TEXT(CleanedTable[[#This Row],[OrderDate]],"mmm yyyy")</f>
        <v>Dec 2023</v>
      </c>
      <c r="E635" t="s">
        <v>23</v>
      </c>
      <c r="F635" t="s">
        <v>29</v>
      </c>
      <c r="G635" s="12">
        <v>18</v>
      </c>
      <c r="H635" s="8">
        <v>60.66</v>
      </c>
      <c r="I635" t="s">
        <v>32</v>
      </c>
      <c r="J635" t="s">
        <v>36</v>
      </c>
      <c r="K635" s="10">
        <v>0</v>
      </c>
      <c r="L635" t="s">
        <v>42</v>
      </c>
      <c r="M635">
        <v>1091.8799999999999</v>
      </c>
      <c r="N635">
        <v>655.12799999999993</v>
      </c>
      <c r="O635" s="10">
        <v>426.67199999999997</v>
      </c>
      <c r="P635" s="10">
        <v>0.39076821628750413</v>
      </c>
      <c r="Q635" s="8">
        <v>1091.8800000000001</v>
      </c>
      <c r="R635" t="s">
        <v>43</v>
      </c>
      <c r="S635" t="s">
        <v>48</v>
      </c>
      <c r="T635" t="s">
        <v>2931</v>
      </c>
      <c r="U635">
        <v>1</v>
      </c>
      <c r="V635" t="str">
        <f>IF(CleanedTable[[#This Row],[Returned]] = 0,"NO","Yes")</f>
        <v>Yes</v>
      </c>
      <c r="W635" t="s">
        <v>684</v>
      </c>
      <c r="X635" t="s">
        <v>2159</v>
      </c>
      <c r="Y635" s="10">
        <v>10.08</v>
      </c>
      <c r="Z635" s="3">
        <v>45283</v>
      </c>
      <c r="AA635" s="3">
        <v>45288</v>
      </c>
      <c r="AB635" t="s">
        <v>2926</v>
      </c>
      <c r="AC635">
        <v>5</v>
      </c>
    </row>
    <row r="636" spans="1:29" x14ac:dyDescent="0.3">
      <c r="A636" s="3">
        <v>45781</v>
      </c>
      <c r="B636" s="3" t="str">
        <f>TEXT(CleanedTable[[#This Row],[OrderDate]],"mmm")</f>
        <v>May</v>
      </c>
      <c r="C636" s="3" t="str">
        <f>TEXT(CleanedTable[[#This Row],[OrderDate]],"yyyy")</f>
        <v>2025</v>
      </c>
      <c r="D636" s="3" t="str">
        <f>TEXT(CleanedTable[[#This Row],[OrderDate]],"mmm yyyy")</f>
        <v>May 2025</v>
      </c>
      <c r="E636" t="s">
        <v>21</v>
      </c>
      <c r="F636" t="s">
        <v>26</v>
      </c>
      <c r="G636" s="12">
        <v>6</v>
      </c>
      <c r="H636" s="8">
        <v>249.09</v>
      </c>
      <c r="I636" t="s">
        <v>31</v>
      </c>
      <c r="J636" t="s">
        <v>36</v>
      </c>
      <c r="K636" s="10">
        <v>0.05</v>
      </c>
      <c r="L636" t="s">
        <v>39</v>
      </c>
      <c r="M636">
        <v>1419.8129999999999</v>
      </c>
      <c r="N636">
        <v>896.72400000000005</v>
      </c>
      <c r="O636" s="10">
        <v>502.70899999999983</v>
      </c>
      <c r="P636" s="10">
        <v>0.35406704967485148</v>
      </c>
      <c r="Q636" s="8">
        <v>1419.8130000000001</v>
      </c>
      <c r="R636" t="s">
        <v>47</v>
      </c>
      <c r="T636" t="s">
        <v>2932</v>
      </c>
      <c r="U636">
        <v>0</v>
      </c>
      <c r="V636" t="str">
        <f>IF(CleanedTable[[#This Row],[Returned]] = 0,"NO","Yes")</f>
        <v>NO</v>
      </c>
      <c r="W636" t="s">
        <v>685</v>
      </c>
      <c r="X636" t="s">
        <v>2160</v>
      </c>
      <c r="Y636" s="10">
        <v>20.38</v>
      </c>
      <c r="Z636" s="3">
        <v>45781</v>
      </c>
      <c r="AA636" s="3">
        <v>45787</v>
      </c>
      <c r="AB636" t="s">
        <v>2924</v>
      </c>
      <c r="AC636">
        <v>6</v>
      </c>
    </row>
    <row r="637" spans="1:29" x14ac:dyDescent="0.3">
      <c r="A637" s="3">
        <v>45668</v>
      </c>
      <c r="B637" s="3" t="str">
        <f>TEXT(CleanedTable[[#This Row],[OrderDate]],"mmm")</f>
        <v>Jan</v>
      </c>
      <c r="C637" s="3" t="str">
        <f>TEXT(CleanedTable[[#This Row],[OrderDate]],"yyyy")</f>
        <v>2025</v>
      </c>
      <c r="D637" s="3" t="str">
        <f>TEXT(CleanedTable[[#This Row],[OrderDate]],"mmm yyyy")</f>
        <v>Jan 2025</v>
      </c>
      <c r="E637" t="s">
        <v>19</v>
      </c>
      <c r="F637" t="s">
        <v>25</v>
      </c>
      <c r="G637" s="12">
        <v>20</v>
      </c>
      <c r="H637" s="8">
        <v>400.05</v>
      </c>
      <c r="I637" t="s">
        <v>34</v>
      </c>
      <c r="J637" t="s">
        <v>35</v>
      </c>
      <c r="K637" s="10">
        <v>0.1</v>
      </c>
      <c r="L637" t="s">
        <v>41</v>
      </c>
      <c r="M637">
        <v>7200.9000000000005</v>
      </c>
      <c r="N637">
        <v>4800.6000000000004</v>
      </c>
      <c r="O637" s="10">
        <v>2375.8900000000003</v>
      </c>
      <c r="P637" s="10">
        <v>0.32994347928731133</v>
      </c>
      <c r="Q637" s="8">
        <v>7200.9000000000005</v>
      </c>
      <c r="R637" t="s">
        <v>46</v>
      </c>
      <c r="S637" t="s">
        <v>50</v>
      </c>
      <c r="T637" t="s">
        <v>2931</v>
      </c>
      <c r="U637">
        <v>0</v>
      </c>
      <c r="V637" t="str">
        <f>IF(CleanedTable[[#This Row],[Returned]] = 0,"NO","Yes")</f>
        <v>NO</v>
      </c>
      <c r="W637" t="s">
        <v>686</v>
      </c>
      <c r="X637" t="s">
        <v>2161</v>
      </c>
      <c r="Y637" s="10">
        <v>24.41</v>
      </c>
      <c r="Z637" s="3">
        <v>45668</v>
      </c>
      <c r="AA637" s="3">
        <v>45670</v>
      </c>
      <c r="AB637" t="s">
        <v>2922</v>
      </c>
      <c r="AC637">
        <v>2</v>
      </c>
    </row>
    <row r="638" spans="1:29" x14ac:dyDescent="0.3">
      <c r="A638" s="3">
        <v>45768</v>
      </c>
      <c r="B638" s="3" t="str">
        <f>TEXT(CleanedTable[[#This Row],[OrderDate]],"mmm")</f>
        <v>Apr</v>
      </c>
      <c r="C638" s="3" t="str">
        <f>TEXT(CleanedTable[[#This Row],[OrderDate]],"yyyy")</f>
        <v>2025</v>
      </c>
      <c r="D638" s="3" t="str">
        <f>TEXT(CleanedTable[[#This Row],[OrderDate]],"mmm yyyy")</f>
        <v>Apr 2025</v>
      </c>
      <c r="E638" t="s">
        <v>20</v>
      </c>
      <c r="F638" t="s">
        <v>30</v>
      </c>
      <c r="G638" s="12">
        <v>1</v>
      </c>
      <c r="H638" s="8">
        <v>130.87</v>
      </c>
      <c r="I638" t="s">
        <v>31</v>
      </c>
      <c r="J638" t="s">
        <v>36</v>
      </c>
      <c r="K638" s="10">
        <v>0.05</v>
      </c>
      <c r="L638" t="s">
        <v>41</v>
      </c>
      <c r="M638">
        <v>124.3265</v>
      </c>
      <c r="N638">
        <v>78.522000000000006</v>
      </c>
      <c r="O638" s="10">
        <v>2.5944999999999894</v>
      </c>
      <c r="P638" s="10">
        <v>2.0868439150140874E-2</v>
      </c>
      <c r="Q638" s="8">
        <v>124.3265</v>
      </c>
      <c r="R638" t="s">
        <v>43</v>
      </c>
      <c r="S638" t="s">
        <v>50</v>
      </c>
      <c r="T638" t="s">
        <v>2931</v>
      </c>
      <c r="U638">
        <v>0</v>
      </c>
      <c r="V638" t="str">
        <f>IF(CleanedTable[[#This Row],[Returned]] = 0,"NO","Yes")</f>
        <v>NO</v>
      </c>
      <c r="W638" t="s">
        <v>687</v>
      </c>
      <c r="X638" t="s">
        <v>2162</v>
      </c>
      <c r="Y638" s="10">
        <v>43.21</v>
      </c>
      <c r="Z638" s="3">
        <v>45768</v>
      </c>
      <c r="AA638" s="3">
        <v>45771</v>
      </c>
      <c r="AB638" t="s">
        <v>2923</v>
      </c>
      <c r="AC638">
        <v>3</v>
      </c>
    </row>
    <row r="639" spans="1:29" x14ac:dyDescent="0.3">
      <c r="A639" s="3">
        <v>45273</v>
      </c>
      <c r="B639" s="3" t="str">
        <f>TEXT(CleanedTable[[#This Row],[OrderDate]],"mmm")</f>
        <v>Dec</v>
      </c>
      <c r="C639" s="3" t="str">
        <f>TEXT(CleanedTable[[#This Row],[OrderDate]],"yyyy")</f>
        <v>2023</v>
      </c>
      <c r="D639" s="3" t="str">
        <f>TEXT(CleanedTable[[#This Row],[OrderDate]],"mmm yyyy")</f>
        <v>Dec 2023</v>
      </c>
      <c r="E639" t="s">
        <v>22</v>
      </c>
      <c r="F639" t="s">
        <v>29</v>
      </c>
      <c r="G639" s="12">
        <v>11</v>
      </c>
      <c r="H639" s="8">
        <v>133.08000000000001</v>
      </c>
      <c r="I639" t="s">
        <v>32</v>
      </c>
      <c r="J639" t="s">
        <v>35</v>
      </c>
      <c r="K639" s="10">
        <v>0.15</v>
      </c>
      <c r="L639" t="s">
        <v>39</v>
      </c>
      <c r="M639">
        <v>1244.298</v>
      </c>
      <c r="N639">
        <v>878.32799999999997</v>
      </c>
      <c r="O639" s="10">
        <v>321.36</v>
      </c>
      <c r="P639" s="10">
        <v>0.25826610667219591</v>
      </c>
      <c r="Q639" s="8">
        <v>1244.298</v>
      </c>
      <c r="R639" t="s">
        <v>45</v>
      </c>
      <c r="S639" t="s">
        <v>50</v>
      </c>
      <c r="T639" t="s">
        <v>2931</v>
      </c>
      <c r="U639">
        <v>0</v>
      </c>
      <c r="V639" t="str">
        <f>IF(CleanedTable[[#This Row],[Returned]] = 0,"NO","Yes")</f>
        <v>NO</v>
      </c>
      <c r="W639" t="s">
        <v>688</v>
      </c>
      <c r="X639" t="s">
        <v>2163</v>
      </c>
      <c r="Y639" s="10">
        <v>44.61</v>
      </c>
      <c r="Z639" s="3">
        <v>45273</v>
      </c>
      <c r="AA639" s="3">
        <v>45282</v>
      </c>
      <c r="AB639" t="s">
        <v>2925</v>
      </c>
      <c r="AC639">
        <v>9</v>
      </c>
    </row>
    <row r="640" spans="1:29" x14ac:dyDescent="0.3">
      <c r="A640" s="3">
        <v>45329</v>
      </c>
      <c r="B640" s="3" t="str">
        <f>TEXT(CleanedTable[[#This Row],[OrderDate]],"mmm")</f>
        <v>Feb</v>
      </c>
      <c r="C640" s="3" t="str">
        <f>TEXT(CleanedTable[[#This Row],[OrderDate]],"yyyy")</f>
        <v>2024</v>
      </c>
      <c r="D640" s="3" t="str">
        <f>TEXT(CleanedTable[[#This Row],[OrderDate]],"mmm yyyy")</f>
        <v>Feb 2024</v>
      </c>
      <c r="E640" t="s">
        <v>19</v>
      </c>
      <c r="F640" t="s">
        <v>27</v>
      </c>
      <c r="G640" s="12">
        <v>13</v>
      </c>
      <c r="H640" s="8">
        <v>448.68</v>
      </c>
      <c r="I640" t="s">
        <v>31</v>
      </c>
      <c r="J640" t="s">
        <v>35</v>
      </c>
      <c r="K640" s="10">
        <v>0.1</v>
      </c>
      <c r="L640" t="s">
        <v>41</v>
      </c>
      <c r="M640">
        <v>5249.5560000000005</v>
      </c>
      <c r="N640">
        <v>3499.7039999999997</v>
      </c>
      <c r="O640" s="10">
        <v>1733.0320000000008</v>
      </c>
      <c r="P640" s="10">
        <v>0.33012925283585903</v>
      </c>
      <c r="Q640" s="8">
        <v>5249.5559999999996</v>
      </c>
      <c r="R640" t="s">
        <v>45</v>
      </c>
      <c r="S640" t="s">
        <v>48</v>
      </c>
      <c r="T640" t="s">
        <v>2931</v>
      </c>
      <c r="U640">
        <v>1</v>
      </c>
      <c r="V640" t="str">
        <f>IF(CleanedTable[[#This Row],[Returned]] = 0,"NO","Yes")</f>
        <v>Yes</v>
      </c>
      <c r="W640" t="s">
        <v>689</v>
      </c>
      <c r="X640" t="s">
        <v>2164</v>
      </c>
      <c r="Y640" s="10">
        <v>16.82</v>
      </c>
      <c r="Z640" s="3">
        <v>45329</v>
      </c>
      <c r="AA640" s="3">
        <v>45333</v>
      </c>
      <c r="AB640" t="s">
        <v>2922</v>
      </c>
      <c r="AC640">
        <v>4</v>
      </c>
    </row>
    <row r="641" spans="1:29" x14ac:dyDescent="0.3">
      <c r="A641" s="3">
        <v>45406</v>
      </c>
      <c r="B641" s="3" t="str">
        <f>TEXT(CleanedTable[[#This Row],[OrderDate]],"mmm")</f>
        <v>Apr</v>
      </c>
      <c r="C641" s="3" t="str">
        <f>TEXT(CleanedTable[[#This Row],[OrderDate]],"yyyy")</f>
        <v>2024</v>
      </c>
      <c r="D641" s="3" t="str">
        <f>TEXT(CleanedTable[[#This Row],[OrderDate]],"mmm yyyy")</f>
        <v>Apr 2024</v>
      </c>
      <c r="E641" t="s">
        <v>21</v>
      </c>
      <c r="F641" t="s">
        <v>29</v>
      </c>
      <c r="G641" s="12">
        <v>19</v>
      </c>
      <c r="H641" s="8">
        <v>36.229999999999997</v>
      </c>
      <c r="I641" t="s">
        <v>31</v>
      </c>
      <c r="J641" t="s">
        <v>35</v>
      </c>
      <c r="K641" s="10">
        <v>0</v>
      </c>
      <c r="L641" t="s">
        <v>41</v>
      </c>
      <c r="M641">
        <v>688.36999999999989</v>
      </c>
      <c r="N641">
        <v>413.02199999999993</v>
      </c>
      <c r="O641" s="10">
        <v>241.40799999999996</v>
      </c>
      <c r="P641" s="10">
        <v>0.35069512035678485</v>
      </c>
      <c r="Q641" s="8">
        <v>688.36999999999989</v>
      </c>
      <c r="R641" t="s">
        <v>46</v>
      </c>
      <c r="S641" t="s">
        <v>50</v>
      </c>
      <c r="T641" t="s">
        <v>2931</v>
      </c>
      <c r="U641">
        <v>0</v>
      </c>
      <c r="V641" t="str">
        <f>IF(CleanedTable[[#This Row],[Returned]] = 0,"NO","Yes")</f>
        <v>NO</v>
      </c>
      <c r="W641" t="s">
        <v>690</v>
      </c>
      <c r="X641" t="s">
        <v>2165</v>
      </c>
      <c r="Y641" s="10">
        <v>33.94</v>
      </c>
      <c r="Z641" s="3">
        <v>45406</v>
      </c>
      <c r="AA641" s="3">
        <v>45409</v>
      </c>
      <c r="AB641" t="s">
        <v>2924</v>
      </c>
      <c r="AC641">
        <v>3</v>
      </c>
    </row>
    <row r="642" spans="1:29" x14ac:dyDescent="0.3">
      <c r="A642" s="3">
        <v>45180</v>
      </c>
      <c r="B642" s="3" t="str">
        <f>TEXT(CleanedTable[[#This Row],[OrderDate]],"mmm")</f>
        <v>Sep</v>
      </c>
      <c r="C642" s="3" t="str">
        <f>TEXT(CleanedTable[[#This Row],[OrderDate]],"yyyy")</f>
        <v>2023</v>
      </c>
      <c r="D642" s="3" t="str">
        <f>TEXT(CleanedTable[[#This Row],[OrderDate]],"mmm yyyy")</f>
        <v>Sep 2023</v>
      </c>
      <c r="E642" t="s">
        <v>23</v>
      </c>
      <c r="F642" t="s">
        <v>27</v>
      </c>
      <c r="G642" s="12">
        <v>14</v>
      </c>
      <c r="H642" s="8">
        <v>113.77</v>
      </c>
      <c r="I642" t="s">
        <v>33</v>
      </c>
      <c r="J642" t="s">
        <v>36</v>
      </c>
      <c r="K642" s="10">
        <v>0</v>
      </c>
      <c r="L642" t="s">
        <v>37</v>
      </c>
      <c r="M642">
        <v>1592.78</v>
      </c>
      <c r="N642">
        <v>955.66800000000001</v>
      </c>
      <c r="O642" s="10">
        <v>611.76199999999994</v>
      </c>
      <c r="P642" s="10">
        <v>0.38408443099486428</v>
      </c>
      <c r="Q642" s="8">
        <v>1592.78</v>
      </c>
      <c r="R642" t="s">
        <v>47</v>
      </c>
      <c r="S642" t="s">
        <v>48</v>
      </c>
      <c r="T642" t="s">
        <v>2931</v>
      </c>
      <c r="U642">
        <v>0</v>
      </c>
      <c r="V642" t="str">
        <f>IF(CleanedTable[[#This Row],[Returned]] = 0,"NO","Yes")</f>
        <v>NO</v>
      </c>
      <c r="W642" t="s">
        <v>691</v>
      </c>
      <c r="X642" t="s">
        <v>1882</v>
      </c>
      <c r="Y642" s="10">
        <v>25.35</v>
      </c>
      <c r="Z642" s="3">
        <v>45180</v>
      </c>
      <c r="AA642" s="3">
        <v>45185</v>
      </c>
      <c r="AB642" t="s">
        <v>2926</v>
      </c>
      <c r="AC642">
        <v>5</v>
      </c>
    </row>
    <row r="643" spans="1:29" x14ac:dyDescent="0.3">
      <c r="A643" s="3">
        <v>45817</v>
      </c>
      <c r="B643" s="3" t="str">
        <f>TEXT(CleanedTable[[#This Row],[OrderDate]],"mmm")</f>
        <v>Jun</v>
      </c>
      <c r="C643" s="3" t="str">
        <f>TEXT(CleanedTable[[#This Row],[OrderDate]],"yyyy")</f>
        <v>2025</v>
      </c>
      <c r="D643" s="3" t="str">
        <f>TEXT(CleanedTable[[#This Row],[OrderDate]],"mmm yyyy")</f>
        <v>Jun 2025</v>
      </c>
      <c r="E643" t="s">
        <v>22</v>
      </c>
      <c r="F643" t="s">
        <v>30</v>
      </c>
      <c r="G643" s="12">
        <v>2</v>
      </c>
      <c r="H643" s="8">
        <v>89.6</v>
      </c>
      <c r="I643" t="s">
        <v>32</v>
      </c>
      <c r="J643" t="s">
        <v>36</v>
      </c>
      <c r="K643" s="10">
        <v>0</v>
      </c>
      <c r="L643" t="s">
        <v>41</v>
      </c>
      <c r="M643">
        <v>179.2</v>
      </c>
      <c r="N643">
        <v>107.52</v>
      </c>
      <c r="O643" s="10">
        <v>47.989999999999995</v>
      </c>
      <c r="P643" s="10">
        <v>0.26780133928571426</v>
      </c>
      <c r="Q643" s="8">
        <v>179.2</v>
      </c>
      <c r="R643" t="s">
        <v>44</v>
      </c>
      <c r="S643" t="s">
        <v>48</v>
      </c>
      <c r="T643" t="s">
        <v>2931</v>
      </c>
      <c r="U643">
        <v>0</v>
      </c>
      <c r="V643" t="str">
        <f>IF(CleanedTable[[#This Row],[Returned]] = 0,"NO","Yes")</f>
        <v>NO</v>
      </c>
      <c r="W643" t="s">
        <v>692</v>
      </c>
      <c r="X643" t="s">
        <v>2166</v>
      </c>
      <c r="Y643" s="10">
        <v>23.69</v>
      </c>
      <c r="Z643" s="3">
        <v>45817</v>
      </c>
      <c r="AA643" s="3">
        <v>45820</v>
      </c>
      <c r="AB643" t="s">
        <v>2925</v>
      </c>
      <c r="AC643">
        <v>3</v>
      </c>
    </row>
    <row r="644" spans="1:29" x14ac:dyDescent="0.3">
      <c r="A644" s="3">
        <v>45814</v>
      </c>
      <c r="B644" s="3" t="str">
        <f>TEXT(CleanedTable[[#This Row],[OrderDate]],"mmm")</f>
        <v>Jun</v>
      </c>
      <c r="C644" s="3" t="str">
        <f>TEXT(CleanedTable[[#This Row],[OrderDate]],"yyyy")</f>
        <v>2025</v>
      </c>
      <c r="D644" s="3" t="str">
        <f>TEXT(CleanedTable[[#This Row],[OrderDate]],"mmm yyyy")</f>
        <v>Jun 2025</v>
      </c>
      <c r="E644" t="s">
        <v>19</v>
      </c>
      <c r="F644" t="s">
        <v>26</v>
      </c>
      <c r="G644" s="12">
        <v>3</v>
      </c>
      <c r="H644" s="8">
        <v>391.92</v>
      </c>
      <c r="I644" t="s">
        <v>32</v>
      </c>
      <c r="J644" t="s">
        <v>35</v>
      </c>
      <c r="K644" s="10">
        <v>0.15</v>
      </c>
      <c r="L644" t="s">
        <v>38</v>
      </c>
      <c r="M644">
        <v>999.39599999999996</v>
      </c>
      <c r="N644">
        <v>705.4559999999999</v>
      </c>
      <c r="O644" s="10">
        <v>284.08000000000004</v>
      </c>
      <c r="P644" s="10">
        <v>0.28425168801956385</v>
      </c>
      <c r="Q644" s="8">
        <v>999.39599999999996</v>
      </c>
      <c r="R644" t="s">
        <v>46</v>
      </c>
      <c r="S644" t="s">
        <v>49</v>
      </c>
      <c r="T644" t="s">
        <v>2931</v>
      </c>
      <c r="U644">
        <v>0</v>
      </c>
      <c r="V644" t="str">
        <f>IF(CleanedTable[[#This Row],[Returned]] = 0,"NO","Yes")</f>
        <v>NO</v>
      </c>
      <c r="W644" t="s">
        <v>693</v>
      </c>
      <c r="X644" t="s">
        <v>2167</v>
      </c>
      <c r="Y644" s="10">
        <v>9.86</v>
      </c>
      <c r="Z644" s="3">
        <v>45814</v>
      </c>
      <c r="AA644" s="3">
        <v>45824</v>
      </c>
      <c r="AB644" t="s">
        <v>2922</v>
      </c>
      <c r="AC644">
        <v>10</v>
      </c>
    </row>
    <row r="645" spans="1:29" x14ac:dyDescent="0.3">
      <c r="A645" s="3">
        <v>45649</v>
      </c>
      <c r="B645" s="3" t="str">
        <f>TEXT(CleanedTable[[#This Row],[OrderDate]],"mmm")</f>
        <v>Dec</v>
      </c>
      <c r="C645" s="3" t="str">
        <f>TEXT(CleanedTable[[#This Row],[OrderDate]],"yyyy")</f>
        <v>2024</v>
      </c>
      <c r="D645" s="3" t="str">
        <f>TEXT(CleanedTable[[#This Row],[OrderDate]],"mmm yyyy")</f>
        <v>Dec 2024</v>
      </c>
      <c r="E645" t="s">
        <v>20</v>
      </c>
      <c r="F645" t="s">
        <v>27</v>
      </c>
      <c r="G645" s="12">
        <v>10</v>
      </c>
      <c r="H645" s="8">
        <v>418.93</v>
      </c>
      <c r="I645" t="s">
        <v>33</v>
      </c>
      <c r="J645" t="s">
        <v>35</v>
      </c>
      <c r="K645" s="10">
        <v>0.1</v>
      </c>
      <c r="L645" t="s">
        <v>42</v>
      </c>
      <c r="M645">
        <v>3770.3700000000003</v>
      </c>
      <c r="N645">
        <v>2513.58</v>
      </c>
      <c r="O645" s="10">
        <v>1211.1600000000003</v>
      </c>
      <c r="P645" s="10">
        <v>0.32123107281248264</v>
      </c>
      <c r="Q645" s="8">
        <v>3770.37</v>
      </c>
      <c r="R645" t="s">
        <v>45</v>
      </c>
      <c r="S645" t="s">
        <v>48</v>
      </c>
      <c r="T645" t="s">
        <v>2931</v>
      </c>
      <c r="U645">
        <v>0</v>
      </c>
      <c r="V645" t="str">
        <f>IF(CleanedTable[[#This Row],[Returned]] = 0,"NO","Yes")</f>
        <v>NO</v>
      </c>
      <c r="W645" t="s">
        <v>694</v>
      </c>
      <c r="X645" t="s">
        <v>2168</v>
      </c>
      <c r="Y645" s="10">
        <v>45.63</v>
      </c>
      <c r="Z645" s="3">
        <v>45649</v>
      </c>
      <c r="AA645" s="3">
        <v>45654</v>
      </c>
      <c r="AB645" t="s">
        <v>2923</v>
      </c>
      <c r="AC645">
        <v>5</v>
      </c>
    </row>
    <row r="646" spans="1:29" x14ac:dyDescent="0.3">
      <c r="A646" s="3">
        <v>45165</v>
      </c>
      <c r="B646" s="3" t="str">
        <f>TEXT(CleanedTable[[#This Row],[OrderDate]],"mmm")</f>
        <v>Aug</v>
      </c>
      <c r="C646" s="3" t="str">
        <f>TEXT(CleanedTable[[#This Row],[OrderDate]],"yyyy")</f>
        <v>2023</v>
      </c>
      <c r="D646" s="3" t="str">
        <f>TEXT(CleanedTable[[#This Row],[OrderDate]],"mmm yyyy")</f>
        <v>Aug 2023</v>
      </c>
      <c r="E646" t="s">
        <v>19</v>
      </c>
      <c r="F646" t="s">
        <v>28</v>
      </c>
      <c r="G646" s="12">
        <v>12</v>
      </c>
      <c r="H646" s="8">
        <v>303.08999999999997</v>
      </c>
      <c r="I646" t="s">
        <v>31</v>
      </c>
      <c r="J646" t="s">
        <v>35</v>
      </c>
      <c r="K646" s="10">
        <v>0</v>
      </c>
      <c r="L646" t="s">
        <v>38</v>
      </c>
      <c r="M646">
        <v>3637.08</v>
      </c>
      <c r="N646">
        <v>2182.2479999999996</v>
      </c>
      <c r="O646" s="10">
        <v>1449.3520000000003</v>
      </c>
      <c r="P646" s="10">
        <v>0.39849329682052648</v>
      </c>
      <c r="Q646" s="8">
        <v>3637.08</v>
      </c>
      <c r="R646" t="s">
        <v>44</v>
      </c>
      <c r="S646" t="s">
        <v>50</v>
      </c>
      <c r="T646" t="s">
        <v>2931</v>
      </c>
      <c r="U646">
        <v>1</v>
      </c>
      <c r="V646" t="str">
        <f>IF(CleanedTable[[#This Row],[Returned]] = 0,"NO","Yes")</f>
        <v>Yes</v>
      </c>
      <c r="W646" t="s">
        <v>695</v>
      </c>
      <c r="X646" t="s">
        <v>2169</v>
      </c>
      <c r="Y646" s="10">
        <v>5.48</v>
      </c>
      <c r="Z646" s="3">
        <v>45165</v>
      </c>
      <c r="AA646" s="3">
        <v>45172</v>
      </c>
      <c r="AB646" t="s">
        <v>2922</v>
      </c>
      <c r="AC646">
        <v>7</v>
      </c>
    </row>
    <row r="647" spans="1:29" x14ac:dyDescent="0.3">
      <c r="A647" s="3">
        <v>44935</v>
      </c>
      <c r="B647" s="3" t="str">
        <f>TEXT(CleanedTable[[#This Row],[OrderDate]],"mmm")</f>
        <v>Jan</v>
      </c>
      <c r="C647" s="3" t="str">
        <f>TEXT(CleanedTable[[#This Row],[OrderDate]],"yyyy")</f>
        <v>2023</v>
      </c>
      <c r="D647" s="3" t="str">
        <f>TEXT(CleanedTable[[#This Row],[OrderDate]],"mmm yyyy")</f>
        <v>Jan 2023</v>
      </c>
      <c r="E647" t="s">
        <v>19</v>
      </c>
      <c r="F647" t="s">
        <v>28</v>
      </c>
      <c r="G647" s="12">
        <v>10</v>
      </c>
      <c r="H647" s="8">
        <v>209.95</v>
      </c>
      <c r="I647" t="s">
        <v>32</v>
      </c>
      <c r="J647" t="s">
        <v>35</v>
      </c>
      <c r="K647" s="10">
        <v>0.1</v>
      </c>
      <c r="L647" t="s">
        <v>37</v>
      </c>
      <c r="M647">
        <v>1889.55</v>
      </c>
      <c r="N647">
        <v>1259.6999999999998</v>
      </c>
      <c r="O647" s="10">
        <v>618.86000000000013</v>
      </c>
      <c r="P647" s="10">
        <v>0.32751713370908425</v>
      </c>
      <c r="Q647" s="8">
        <v>1889.55</v>
      </c>
      <c r="R647" t="s">
        <v>47</v>
      </c>
      <c r="S647" t="s">
        <v>50</v>
      </c>
      <c r="T647" t="s">
        <v>2931</v>
      </c>
      <c r="U647">
        <v>0</v>
      </c>
      <c r="V647" t="str">
        <f>IF(CleanedTable[[#This Row],[Returned]] = 0,"NO","Yes")</f>
        <v>NO</v>
      </c>
      <c r="W647" t="s">
        <v>696</v>
      </c>
      <c r="X647" t="s">
        <v>2170</v>
      </c>
      <c r="Y647" s="10">
        <v>10.99</v>
      </c>
      <c r="Z647" s="3">
        <v>44935</v>
      </c>
      <c r="AA647" s="3">
        <v>44939</v>
      </c>
      <c r="AB647" t="s">
        <v>2922</v>
      </c>
      <c r="AC647">
        <v>4</v>
      </c>
    </row>
    <row r="648" spans="1:29" x14ac:dyDescent="0.3">
      <c r="A648" s="3">
        <v>45769</v>
      </c>
      <c r="B648" s="3" t="str">
        <f>TEXT(CleanedTable[[#This Row],[OrderDate]],"mmm")</f>
        <v>Apr</v>
      </c>
      <c r="C648" s="3" t="str">
        <f>TEXT(CleanedTable[[#This Row],[OrderDate]],"yyyy")</f>
        <v>2025</v>
      </c>
      <c r="D648" s="3" t="str">
        <f>TEXT(CleanedTable[[#This Row],[OrderDate]],"mmm yyyy")</f>
        <v>Apr 2025</v>
      </c>
      <c r="E648" t="s">
        <v>19</v>
      </c>
      <c r="F648" t="s">
        <v>24</v>
      </c>
      <c r="G648" s="12">
        <v>8</v>
      </c>
      <c r="H648" s="8">
        <v>283.63</v>
      </c>
      <c r="I648" t="s">
        <v>33</v>
      </c>
      <c r="J648" t="s">
        <v>35</v>
      </c>
      <c r="K648" s="10">
        <v>0.1</v>
      </c>
      <c r="L648" t="s">
        <v>38</v>
      </c>
      <c r="M648">
        <v>2042.136</v>
      </c>
      <c r="N648">
        <v>1361.424</v>
      </c>
      <c r="O648" s="10">
        <v>630.80200000000002</v>
      </c>
      <c r="P648" s="10">
        <v>0.30889323727704721</v>
      </c>
      <c r="Q648" s="8">
        <v>2042.136</v>
      </c>
      <c r="R648" t="s">
        <v>47</v>
      </c>
      <c r="S648" t="s">
        <v>49</v>
      </c>
      <c r="T648" t="s">
        <v>2931</v>
      </c>
      <c r="U648">
        <v>0</v>
      </c>
      <c r="V648" t="str">
        <f>IF(CleanedTable[[#This Row],[Returned]] = 0,"NO","Yes")</f>
        <v>NO</v>
      </c>
      <c r="W648" t="s">
        <v>697</v>
      </c>
      <c r="X648" t="s">
        <v>2171</v>
      </c>
      <c r="Y648" s="10">
        <v>49.91</v>
      </c>
      <c r="Z648" s="3">
        <v>45769</v>
      </c>
      <c r="AA648" s="3">
        <v>45772</v>
      </c>
      <c r="AB648" t="s">
        <v>2922</v>
      </c>
      <c r="AC648">
        <v>3</v>
      </c>
    </row>
    <row r="649" spans="1:29" x14ac:dyDescent="0.3">
      <c r="A649" s="3">
        <v>45175</v>
      </c>
      <c r="B649" s="3" t="str">
        <f>TEXT(CleanedTable[[#This Row],[OrderDate]],"mmm")</f>
        <v>Sep</v>
      </c>
      <c r="C649" s="3" t="str">
        <f>TEXT(CleanedTable[[#This Row],[OrderDate]],"yyyy")</f>
        <v>2023</v>
      </c>
      <c r="D649" s="3" t="str">
        <f>TEXT(CleanedTable[[#This Row],[OrderDate]],"mmm yyyy")</f>
        <v>Sep 2023</v>
      </c>
      <c r="E649" t="s">
        <v>20</v>
      </c>
      <c r="F649" t="s">
        <v>25</v>
      </c>
      <c r="G649" s="12">
        <v>7</v>
      </c>
      <c r="H649" s="8">
        <v>18.36</v>
      </c>
      <c r="I649" t="s">
        <v>34</v>
      </c>
      <c r="J649" t="s">
        <v>36</v>
      </c>
      <c r="K649" s="10">
        <v>0.1</v>
      </c>
      <c r="L649" t="s">
        <v>38</v>
      </c>
      <c r="M649">
        <v>115.66799999999999</v>
      </c>
      <c r="N649">
        <v>77.111999999999995</v>
      </c>
      <c r="O649" s="10">
        <v>-10.364000000000004</v>
      </c>
      <c r="P649" s="10">
        <v>-8.9601272607808605E-2</v>
      </c>
      <c r="Q649" s="8">
        <v>115.66800000000001</v>
      </c>
      <c r="R649" t="s">
        <v>43</v>
      </c>
      <c r="T649" t="s">
        <v>2932</v>
      </c>
      <c r="U649">
        <v>0</v>
      </c>
      <c r="V649" t="str">
        <f>IF(CleanedTable[[#This Row],[Returned]] = 0,"NO","Yes")</f>
        <v>NO</v>
      </c>
      <c r="W649" t="s">
        <v>698</v>
      </c>
      <c r="X649" t="s">
        <v>2172</v>
      </c>
      <c r="Y649" s="10">
        <v>48.92</v>
      </c>
      <c r="Z649" s="3">
        <v>45175</v>
      </c>
      <c r="AA649" s="3">
        <v>45180</v>
      </c>
      <c r="AB649" t="s">
        <v>2923</v>
      </c>
      <c r="AC649">
        <v>5</v>
      </c>
    </row>
    <row r="650" spans="1:29" x14ac:dyDescent="0.3">
      <c r="A650" s="3">
        <v>44947</v>
      </c>
      <c r="B650" s="3" t="str">
        <f>TEXT(CleanedTable[[#This Row],[OrderDate]],"mmm")</f>
        <v>Jan</v>
      </c>
      <c r="C650" s="3" t="str">
        <f>TEXT(CleanedTable[[#This Row],[OrderDate]],"yyyy")</f>
        <v>2023</v>
      </c>
      <c r="D650" s="3" t="str">
        <f>TEXT(CleanedTable[[#This Row],[OrderDate]],"mmm yyyy")</f>
        <v>Jan 2023</v>
      </c>
      <c r="E650" t="s">
        <v>19</v>
      </c>
      <c r="F650" t="s">
        <v>28</v>
      </c>
      <c r="G650" s="12">
        <v>9</v>
      </c>
      <c r="H650" s="8">
        <v>475.38</v>
      </c>
      <c r="I650" t="s">
        <v>32</v>
      </c>
      <c r="J650" t="s">
        <v>35</v>
      </c>
      <c r="K650" s="10">
        <v>0.1</v>
      </c>
      <c r="L650" t="s">
        <v>40</v>
      </c>
      <c r="M650">
        <v>3850.578</v>
      </c>
      <c r="N650">
        <v>2567.0520000000001</v>
      </c>
      <c r="O650" s="10">
        <v>1243.5459999999998</v>
      </c>
      <c r="P650" s="10">
        <v>0.32295047652586178</v>
      </c>
      <c r="Q650" s="8">
        <v>3850.578</v>
      </c>
      <c r="R650" t="s">
        <v>46</v>
      </c>
      <c r="S650" t="s">
        <v>49</v>
      </c>
      <c r="T650" t="s">
        <v>2931</v>
      </c>
      <c r="U650">
        <v>0</v>
      </c>
      <c r="V650" t="str">
        <f>IF(CleanedTable[[#This Row],[Returned]] = 0,"NO","Yes")</f>
        <v>NO</v>
      </c>
      <c r="W650" t="s">
        <v>699</v>
      </c>
      <c r="X650" t="s">
        <v>2173</v>
      </c>
      <c r="Y650" s="10">
        <v>39.979999999999997</v>
      </c>
      <c r="Z650" s="3">
        <v>44947</v>
      </c>
      <c r="AA650" s="3">
        <v>44953</v>
      </c>
      <c r="AB650" t="s">
        <v>2922</v>
      </c>
      <c r="AC650">
        <v>6</v>
      </c>
    </row>
    <row r="651" spans="1:29" x14ac:dyDescent="0.3">
      <c r="A651" s="3">
        <v>45408</v>
      </c>
      <c r="B651" s="3" t="str">
        <f>TEXT(CleanedTable[[#This Row],[OrderDate]],"mmm")</f>
        <v>Apr</v>
      </c>
      <c r="C651" s="3" t="str">
        <f>TEXT(CleanedTable[[#This Row],[OrderDate]],"yyyy")</f>
        <v>2024</v>
      </c>
      <c r="D651" s="3" t="str">
        <f>TEXT(CleanedTable[[#This Row],[OrderDate]],"mmm yyyy")</f>
        <v>Apr 2024</v>
      </c>
      <c r="E651" t="s">
        <v>22</v>
      </c>
      <c r="F651" t="s">
        <v>27</v>
      </c>
      <c r="G651" s="12">
        <v>12</v>
      </c>
      <c r="H651" s="8">
        <v>591.91999999999996</v>
      </c>
      <c r="I651" t="s">
        <v>34</v>
      </c>
      <c r="J651" t="s">
        <v>36</v>
      </c>
      <c r="K651" s="10">
        <v>0</v>
      </c>
      <c r="L651" t="s">
        <v>37</v>
      </c>
      <c r="M651">
        <v>7103.0399999999991</v>
      </c>
      <c r="N651">
        <v>4261.8239999999996</v>
      </c>
      <c r="O651" s="10">
        <v>2816.0159999999996</v>
      </c>
      <c r="P651" s="10">
        <v>0.39645222327341534</v>
      </c>
      <c r="Q651" s="8">
        <v>7103.0399999999991</v>
      </c>
      <c r="R651" t="s">
        <v>46</v>
      </c>
      <c r="S651" t="s">
        <v>49</v>
      </c>
      <c r="T651" t="s">
        <v>2931</v>
      </c>
      <c r="U651">
        <v>0</v>
      </c>
      <c r="V651" t="str">
        <f>IF(CleanedTable[[#This Row],[Returned]] = 0,"NO","Yes")</f>
        <v>NO</v>
      </c>
      <c r="W651" t="s">
        <v>700</v>
      </c>
      <c r="X651" t="s">
        <v>2174</v>
      </c>
      <c r="Y651" s="10">
        <v>25.2</v>
      </c>
      <c r="Z651" s="3">
        <v>45408</v>
      </c>
      <c r="AA651" s="3">
        <v>45418</v>
      </c>
      <c r="AB651" t="s">
        <v>2925</v>
      </c>
      <c r="AC651">
        <v>10</v>
      </c>
    </row>
    <row r="652" spans="1:29" x14ac:dyDescent="0.3">
      <c r="A652" s="3">
        <v>45104</v>
      </c>
      <c r="B652" s="3" t="str">
        <f>TEXT(CleanedTable[[#This Row],[OrderDate]],"mmm")</f>
        <v>Jun</v>
      </c>
      <c r="C652" s="3" t="str">
        <f>TEXT(CleanedTable[[#This Row],[OrderDate]],"yyyy")</f>
        <v>2023</v>
      </c>
      <c r="D652" s="3" t="str">
        <f>TEXT(CleanedTable[[#This Row],[OrderDate]],"mmm yyyy")</f>
        <v>Jun 2023</v>
      </c>
      <c r="E652" t="s">
        <v>21</v>
      </c>
      <c r="F652" t="s">
        <v>25</v>
      </c>
      <c r="G652" s="12">
        <v>7</v>
      </c>
      <c r="H652" s="8">
        <v>93.23</v>
      </c>
      <c r="I652" t="s">
        <v>31</v>
      </c>
      <c r="J652" t="s">
        <v>36</v>
      </c>
      <c r="K652" s="10">
        <v>0.05</v>
      </c>
      <c r="L652" t="s">
        <v>38</v>
      </c>
      <c r="M652">
        <v>619.97950000000003</v>
      </c>
      <c r="N652">
        <v>391.56600000000003</v>
      </c>
      <c r="O652" s="10">
        <v>221.9435</v>
      </c>
      <c r="P652" s="10">
        <v>0.35798522370497732</v>
      </c>
      <c r="Q652" s="8">
        <v>619.97950000000003</v>
      </c>
      <c r="R652" t="s">
        <v>45</v>
      </c>
      <c r="S652" t="s">
        <v>48</v>
      </c>
      <c r="T652" t="s">
        <v>2931</v>
      </c>
      <c r="U652">
        <v>1</v>
      </c>
      <c r="V652" t="str">
        <f>IF(CleanedTable[[#This Row],[Returned]] = 0,"NO","Yes")</f>
        <v>Yes</v>
      </c>
      <c r="W652" t="s">
        <v>701</v>
      </c>
      <c r="X652" t="s">
        <v>2175</v>
      </c>
      <c r="Y652" s="10">
        <v>6.47</v>
      </c>
      <c r="Z652" s="3">
        <v>45104</v>
      </c>
      <c r="AA652" s="3">
        <v>45107</v>
      </c>
      <c r="AB652" t="s">
        <v>2924</v>
      </c>
      <c r="AC652">
        <v>3</v>
      </c>
    </row>
    <row r="653" spans="1:29" x14ac:dyDescent="0.3">
      <c r="A653" s="3">
        <v>44927</v>
      </c>
      <c r="B653" s="3" t="str">
        <f>TEXT(CleanedTable[[#This Row],[OrderDate]],"mmm")</f>
        <v>Jan</v>
      </c>
      <c r="C653" s="3" t="str">
        <f>TEXT(CleanedTable[[#This Row],[OrderDate]],"yyyy")</f>
        <v>2023</v>
      </c>
      <c r="D653" s="3" t="str">
        <f>TEXT(CleanedTable[[#This Row],[OrderDate]],"mmm yyyy")</f>
        <v>Jan 2023</v>
      </c>
      <c r="E653" t="s">
        <v>19</v>
      </c>
      <c r="F653" t="s">
        <v>29</v>
      </c>
      <c r="G653" s="12">
        <v>15</v>
      </c>
      <c r="H653" s="8">
        <v>298.70999999999998</v>
      </c>
      <c r="I653" t="s">
        <v>33</v>
      </c>
      <c r="J653" t="s">
        <v>36</v>
      </c>
      <c r="K653" s="10">
        <v>0</v>
      </c>
      <c r="L653" t="s">
        <v>42</v>
      </c>
      <c r="M653">
        <v>4480.6499999999996</v>
      </c>
      <c r="N653">
        <v>2688.3899999999994</v>
      </c>
      <c r="O653" s="10">
        <v>1780.88</v>
      </c>
      <c r="P653" s="10">
        <v>0.39746018992780069</v>
      </c>
      <c r="Q653" s="8">
        <v>4480.6499999999996</v>
      </c>
      <c r="R653" t="s">
        <v>46</v>
      </c>
      <c r="S653" t="s">
        <v>49</v>
      </c>
      <c r="T653" t="s">
        <v>2931</v>
      </c>
      <c r="U653">
        <v>0</v>
      </c>
      <c r="V653" t="str">
        <f>IF(CleanedTable[[#This Row],[Returned]] = 0,"NO","Yes")</f>
        <v>NO</v>
      </c>
      <c r="W653" t="s">
        <v>702</v>
      </c>
      <c r="X653" t="s">
        <v>2176</v>
      </c>
      <c r="Y653" s="10">
        <v>11.38</v>
      </c>
      <c r="Z653" s="3">
        <v>44927</v>
      </c>
      <c r="AA653" s="3">
        <v>44934</v>
      </c>
      <c r="AB653" t="s">
        <v>2922</v>
      </c>
      <c r="AC653">
        <v>7</v>
      </c>
    </row>
    <row r="654" spans="1:29" x14ac:dyDescent="0.3">
      <c r="A654" s="3">
        <v>45290</v>
      </c>
      <c r="B654" s="3" t="str">
        <f>TEXT(CleanedTable[[#This Row],[OrderDate]],"mmm")</f>
        <v>Dec</v>
      </c>
      <c r="C654" s="3" t="str">
        <f>TEXT(CleanedTable[[#This Row],[OrderDate]],"yyyy")</f>
        <v>2023</v>
      </c>
      <c r="D654" s="3" t="str">
        <f>TEXT(CleanedTable[[#This Row],[OrderDate]],"mmm yyyy")</f>
        <v>Dec 2023</v>
      </c>
      <c r="E654" t="s">
        <v>23</v>
      </c>
      <c r="F654" t="s">
        <v>29</v>
      </c>
      <c r="G654" s="12">
        <v>15</v>
      </c>
      <c r="H654" s="8">
        <v>52.37</v>
      </c>
      <c r="I654" t="s">
        <v>32</v>
      </c>
      <c r="J654" t="s">
        <v>36</v>
      </c>
      <c r="K654" s="10">
        <v>0.15</v>
      </c>
      <c r="L654" t="s">
        <v>41</v>
      </c>
      <c r="M654">
        <v>667.71749999999997</v>
      </c>
      <c r="N654">
        <v>471.32999999999993</v>
      </c>
      <c r="O654" s="10">
        <v>187.45750000000004</v>
      </c>
      <c r="P654" s="10">
        <v>0.28074372769921419</v>
      </c>
      <c r="Q654" s="8">
        <v>667.71749999999997</v>
      </c>
      <c r="R654" t="s">
        <v>43</v>
      </c>
      <c r="S654" t="s">
        <v>49</v>
      </c>
      <c r="T654" t="s">
        <v>2931</v>
      </c>
      <c r="U654">
        <v>0</v>
      </c>
      <c r="V654" t="str">
        <f>IF(CleanedTable[[#This Row],[Returned]] = 0,"NO","Yes")</f>
        <v>NO</v>
      </c>
      <c r="W654" t="s">
        <v>703</v>
      </c>
      <c r="X654" t="s">
        <v>2177</v>
      </c>
      <c r="Y654" s="10">
        <v>8.93</v>
      </c>
      <c r="Z654" s="3">
        <v>45290</v>
      </c>
      <c r="AA654" s="3">
        <v>45293</v>
      </c>
      <c r="AB654" t="s">
        <v>2926</v>
      </c>
      <c r="AC654">
        <v>3</v>
      </c>
    </row>
    <row r="655" spans="1:29" x14ac:dyDescent="0.3">
      <c r="A655" s="3">
        <v>44948</v>
      </c>
      <c r="B655" s="3" t="str">
        <f>TEXT(CleanedTable[[#This Row],[OrderDate]],"mmm")</f>
        <v>Jan</v>
      </c>
      <c r="C655" s="3" t="str">
        <f>TEXT(CleanedTable[[#This Row],[OrderDate]],"yyyy")</f>
        <v>2023</v>
      </c>
      <c r="D655" s="3" t="str">
        <f>TEXT(CleanedTable[[#This Row],[OrderDate]],"mmm yyyy")</f>
        <v>Jan 2023</v>
      </c>
      <c r="E655" t="s">
        <v>22</v>
      </c>
      <c r="F655" t="s">
        <v>25</v>
      </c>
      <c r="G655" s="12">
        <v>6</v>
      </c>
      <c r="H655" s="8">
        <v>104.19</v>
      </c>
      <c r="I655" t="s">
        <v>33</v>
      </c>
      <c r="J655" t="s">
        <v>36</v>
      </c>
      <c r="K655" s="10">
        <v>0.1</v>
      </c>
      <c r="L655" t="s">
        <v>41</v>
      </c>
      <c r="M655">
        <v>562.62599999999998</v>
      </c>
      <c r="N655">
        <v>375.08399999999995</v>
      </c>
      <c r="O655" s="10">
        <v>178.92200000000003</v>
      </c>
      <c r="P655" s="10">
        <v>0.31801232079569736</v>
      </c>
      <c r="Q655" s="8">
        <v>562.62599999999998</v>
      </c>
      <c r="R655" t="s">
        <v>43</v>
      </c>
      <c r="T655" t="s">
        <v>2932</v>
      </c>
      <c r="U655">
        <v>0</v>
      </c>
      <c r="V655" t="str">
        <f>IF(CleanedTable[[#This Row],[Returned]] = 0,"NO","Yes")</f>
        <v>NO</v>
      </c>
      <c r="W655" t="s">
        <v>704</v>
      </c>
      <c r="X655" t="s">
        <v>2178</v>
      </c>
      <c r="Y655" s="10">
        <v>8.6199999999999992</v>
      </c>
      <c r="Z655" s="3">
        <v>44948</v>
      </c>
      <c r="AA655" s="3">
        <v>44950</v>
      </c>
      <c r="AB655" t="s">
        <v>2925</v>
      </c>
      <c r="AC655">
        <v>2</v>
      </c>
    </row>
    <row r="656" spans="1:29" x14ac:dyDescent="0.3">
      <c r="A656" s="3">
        <v>45500</v>
      </c>
      <c r="B656" s="3" t="str">
        <f>TEXT(CleanedTable[[#This Row],[OrderDate]],"mmm")</f>
        <v>Jul</v>
      </c>
      <c r="C656" s="3" t="str">
        <f>TEXT(CleanedTable[[#This Row],[OrderDate]],"yyyy")</f>
        <v>2024</v>
      </c>
      <c r="D656" s="3" t="str">
        <f>TEXT(CleanedTable[[#This Row],[OrderDate]],"mmm yyyy")</f>
        <v>Jul 2024</v>
      </c>
      <c r="E656" t="s">
        <v>20</v>
      </c>
      <c r="F656" t="s">
        <v>24</v>
      </c>
      <c r="G656" s="12">
        <v>8</v>
      </c>
      <c r="H656" s="8">
        <v>493.09</v>
      </c>
      <c r="I656" t="s">
        <v>32</v>
      </c>
      <c r="J656" t="s">
        <v>36</v>
      </c>
      <c r="K656" s="10">
        <v>0.05</v>
      </c>
      <c r="L656" t="s">
        <v>41</v>
      </c>
      <c r="M656">
        <v>3747.4839999999995</v>
      </c>
      <c r="N656">
        <v>2366.8319999999999</v>
      </c>
      <c r="O656" s="10">
        <v>1369.1619999999996</v>
      </c>
      <c r="P656" s="10">
        <v>0.36535499551165523</v>
      </c>
      <c r="Q656" s="8">
        <v>3747.483999999999</v>
      </c>
      <c r="R656" t="s">
        <v>45</v>
      </c>
      <c r="S656" t="s">
        <v>48</v>
      </c>
      <c r="T656" t="s">
        <v>2931</v>
      </c>
      <c r="U656">
        <v>0</v>
      </c>
      <c r="V656" t="str">
        <f>IF(CleanedTable[[#This Row],[Returned]] = 0,"NO","Yes")</f>
        <v>NO</v>
      </c>
      <c r="W656" t="s">
        <v>705</v>
      </c>
      <c r="X656" t="s">
        <v>2179</v>
      </c>
      <c r="Y656" s="10">
        <v>11.49</v>
      </c>
      <c r="Z656" s="3">
        <v>45500</v>
      </c>
      <c r="AA656" s="3">
        <v>45509</v>
      </c>
      <c r="AB656" t="s">
        <v>2923</v>
      </c>
      <c r="AC656">
        <v>9</v>
      </c>
    </row>
    <row r="657" spans="1:29" x14ac:dyDescent="0.3">
      <c r="A657" s="3">
        <v>45306</v>
      </c>
      <c r="B657" s="3" t="str">
        <f>TEXT(CleanedTable[[#This Row],[OrderDate]],"mmm")</f>
        <v>Jan</v>
      </c>
      <c r="C657" s="3" t="str">
        <f>TEXT(CleanedTable[[#This Row],[OrderDate]],"yyyy")</f>
        <v>2024</v>
      </c>
      <c r="D657" s="3" t="str">
        <f>TEXT(CleanedTable[[#This Row],[OrderDate]],"mmm yyyy")</f>
        <v>Jan 2024</v>
      </c>
      <c r="E657" t="s">
        <v>20</v>
      </c>
      <c r="F657" t="s">
        <v>27</v>
      </c>
      <c r="G657" s="12">
        <v>6</v>
      </c>
      <c r="H657" s="8">
        <v>291.58</v>
      </c>
      <c r="I657" t="s">
        <v>31</v>
      </c>
      <c r="J657" t="s">
        <v>35</v>
      </c>
      <c r="K657" s="10">
        <v>0</v>
      </c>
      <c r="L657" t="s">
        <v>39</v>
      </c>
      <c r="M657">
        <v>1749.48</v>
      </c>
      <c r="N657">
        <v>1049.6879999999999</v>
      </c>
      <c r="O657" s="10">
        <v>669.54200000000014</v>
      </c>
      <c r="P657" s="10">
        <v>0.38270914786107879</v>
      </c>
      <c r="Q657" s="8">
        <v>1749.48</v>
      </c>
      <c r="R657" t="s">
        <v>45</v>
      </c>
      <c r="S657" t="s">
        <v>48</v>
      </c>
      <c r="T657" t="s">
        <v>2931</v>
      </c>
      <c r="U657">
        <v>0</v>
      </c>
      <c r="V657" t="str">
        <f>IF(CleanedTable[[#This Row],[Returned]] = 0,"NO","Yes")</f>
        <v>NO</v>
      </c>
      <c r="W657" t="s">
        <v>706</v>
      </c>
      <c r="X657" t="s">
        <v>2180</v>
      </c>
      <c r="Y657" s="10">
        <v>30.25</v>
      </c>
      <c r="Z657" s="3">
        <v>45306</v>
      </c>
      <c r="AA657" s="3">
        <v>45308</v>
      </c>
      <c r="AB657" t="s">
        <v>2923</v>
      </c>
      <c r="AC657">
        <v>2</v>
      </c>
    </row>
    <row r="658" spans="1:29" x14ac:dyDescent="0.3">
      <c r="A658" s="3">
        <v>45295</v>
      </c>
      <c r="B658" s="3" t="str">
        <f>TEXT(CleanedTable[[#This Row],[OrderDate]],"mmm")</f>
        <v>Jan</v>
      </c>
      <c r="C658" s="3" t="str">
        <f>TEXT(CleanedTable[[#This Row],[OrderDate]],"yyyy")</f>
        <v>2024</v>
      </c>
      <c r="D658" s="3" t="str">
        <f>TEXT(CleanedTable[[#This Row],[OrderDate]],"mmm yyyy")</f>
        <v>Jan 2024</v>
      </c>
      <c r="E658" t="s">
        <v>23</v>
      </c>
      <c r="F658" t="s">
        <v>29</v>
      </c>
      <c r="G658" s="12">
        <v>1</v>
      </c>
      <c r="H658" s="8">
        <v>103.13</v>
      </c>
      <c r="I658" t="s">
        <v>31</v>
      </c>
      <c r="J658" t="s">
        <v>35</v>
      </c>
      <c r="K658" s="10">
        <v>0</v>
      </c>
      <c r="L658" t="s">
        <v>42</v>
      </c>
      <c r="M658">
        <v>103.13</v>
      </c>
      <c r="N658">
        <v>61.877999999999993</v>
      </c>
      <c r="O658" s="10">
        <v>-1.1280000000000001</v>
      </c>
      <c r="P658" s="10">
        <v>-1.0937651507805684E-2</v>
      </c>
      <c r="Q658" s="8">
        <v>103.13</v>
      </c>
      <c r="R658" t="s">
        <v>43</v>
      </c>
      <c r="S658" t="s">
        <v>48</v>
      </c>
      <c r="T658" t="s">
        <v>2931</v>
      </c>
      <c r="U658">
        <v>0</v>
      </c>
      <c r="V658" t="str">
        <f>IF(CleanedTable[[#This Row],[Returned]] = 0,"NO","Yes")</f>
        <v>NO</v>
      </c>
      <c r="W658" t="s">
        <v>707</v>
      </c>
      <c r="X658" t="s">
        <v>2181</v>
      </c>
      <c r="Y658" s="10">
        <v>42.38</v>
      </c>
      <c r="Z658" s="3">
        <v>45295</v>
      </c>
      <c r="AA658" s="3">
        <v>45305</v>
      </c>
      <c r="AB658" t="s">
        <v>2926</v>
      </c>
      <c r="AC658">
        <v>10</v>
      </c>
    </row>
    <row r="659" spans="1:29" x14ac:dyDescent="0.3">
      <c r="A659" s="3">
        <v>44966</v>
      </c>
      <c r="B659" s="3" t="str">
        <f>TEXT(CleanedTable[[#This Row],[OrderDate]],"mmm")</f>
        <v>Feb</v>
      </c>
      <c r="C659" s="3" t="str">
        <f>TEXT(CleanedTable[[#This Row],[OrderDate]],"yyyy")</f>
        <v>2023</v>
      </c>
      <c r="D659" s="3" t="str">
        <f>TEXT(CleanedTable[[#This Row],[OrderDate]],"mmm yyyy")</f>
        <v>Feb 2023</v>
      </c>
      <c r="E659" t="s">
        <v>19</v>
      </c>
      <c r="F659" t="s">
        <v>28</v>
      </c>
      <c r="G659" s="12">
        <v>1</v>
      </c>
      <c r="H659" s="8">
        <v>541.9</v>
      </c>
      <c r="I659" t="s">
        <v>32</v>
      </c>
      <c r="J659" t="s">
        <v>36</v>
      </c>
      <c r="K659" s="10">
        <v>0.05</v>
      </c>
      <c r="L659" t="s">
        <v>37</v>
      </c>
      <c r="M659">
        <v>514.80499999999995</v>
      </c>
      <c r="N659">
        <v>325.14</v>
      </c>
      <c r="O659" s="10">
        <v>149.31499999999997</v>
      </c>
      <c r="P659" s="10">
        <v>0.29004186051029029</v>
      </c>
      <c r="Q659" s="8">
        <v>514.80499999999995</v>
      </c>
      <c r="R659" t="s">
        <v>47</v>
      </c>
      <c r="S659" t="s">
        <v>50</v>
      </c>
      <c r="T659" t="s">
        <v>2931</v>
      </c>
      <c r="U659">
        <v>0</v>
      </c>
      <c r="V659" t="str">
        <f>IF(CleanedTable[[#This Row],[Returned]] = 0,"NO","Yes")</f>
        <v>NO</v>
      </c>
      <c r="W659" t="s">
        <v>708</v>
      </c>
      <c r="X659" t="s">
        <v>1904</v>
      </c>
      <c r="Y659" s="10">
        <v>40.35</v>
      </c>
      <c r="Z659" s="3">
        <v>44966</v>
      </c>
      <c r="AA659" s="3">
        <v>44976</v>
      </c>
      <c r="AB659" t="s">
        <v>2922</v>
      </c>
      <c r="AC659">
        <v>10</v>
      </c>
    </row>
    <row r="660" spans="1:29" x14ac:dyDescent="0.3">
      <c r="A660" s="3">
        <v>45463</v>
      </c>
      <c r="B660" s="3" t="str">
        <f>TEXT(CleanedTable[[#This Row],[OrderDate]],"mmm")</f>
        <v>Jun</v>
      </c>
      <c r="C660" s="3" t="str">
        <f>TEXT(CleanedTable[[#This Row],[OrderDate]],"yyyy")</f>
        <v>2024</v>
      </c>
      <c r="D660" s="3" t="str">
        <f>TEXT(CleanedTable[[#This Row],[OrderDate]],"mmm yyyy")</f>
        <v>Jun 2024</v>
      </c>
      <c r="E660" t="s">
        <v>21</v>
      </c>
      <c r="F660" t="s">
        <v>25</v>
      </c>
      <c r="G660" s="12">
        <v>11</v>
      </c>
      <c r="H660" s="8">
        <v>303.08999999999997</v>
      </c>
      <c r="I660" t="s">
        <v>34</v>
      </c>
      <c r="J660" t="s">
        <v>35</v>
      </c>
      <c r="K660" s="10">
        <v>0.1</v>
      </c>
      <c r="L660" t="s">
        <v>41</v>
      </c>
      <c r="M660">
        <v>3000.5909999999999</v>
      </c>
      <c r="N660">
        <v>2000.3939999999998</v>
      </c>
      <c r="O660" s="10">
        <v>978.31700000000012</v>
      </c>
      <c r="P660" s="10">
        <v>0.32604143650367551</v>
      </c>
      <c r="Q660" s="8">
        <v>3000.5909999999999</v>
      </c>
      <c r="R660" t="s">
        <v>43</v>
      </c>
      <c r="S660" t="s">
        <v>49</v>
      </c>
      <c r="T660" t="s">
        <v>2931</v>
      </c>
      <c r="U660">
        <v>0</v>
      </c>
      <c r="V660" t="str">
        <f>IF(CleanedTable[[#This Row],[Returned]] = 0,"NO","Yes")</f>
        <v>NO</v>
      </c>
      <c r="W660" t="s">
        <v>709</v>
      </c>
      <c r="X660" t="s">
        <v>2182</v>
      </c>
      <c r="Y660" s="10">
        <v>21.88</v>
      </c>
      <c r="Z660" s="3">
        <v>45463</v>
      </c>
      <c r="AA660" s="3">
        <v>45467</v>
      </c>
      <c r="AB660" t="s">
        <v>2924</v>
      </c>
      <c r="AC660">
        <v>4</v>
      </c>
    </row>
    <row r="661" spans="1:29" x14ac:dyDescent="0.3">
      <c r="A661" s="3">
        <v>44978</v>
      </c>
      <c r="B661" s="3" t="str">
        <f>TEXT(CleanedTable[[#This Row],[OrderDate]],"mmm")</f>
        <v>Feb</v>
      </c>
      <c r="C661" s="3" t="str">
        <f>TEXT(CleanedTable[[#This Row],[OrderDate]],"yyyy")</f>
        <v>2023</v>
      </c>
      <c r="D661" s="3" t="str">
        <f>TEXT(CleanedTable[[#This Row],[OrderDate]],"mmm yyyy")</f>
        <v>Feb 2023</v>
      </c>
      <c r="E661" t="s">
        <v>22</v>
      </c>
      <c r="F661" t="s">
        <v>26</v>
      </c>
      <c r="G661" s="12">
        <v>11</v>
      </c>
      <c r="H661" s="8">
        <v>61.81</v>
      </c>
      <c r="I661" t="s">
        <v>33</v>
      </c>
      <c r="J661" t="s">
        <v>36</v>
      </c>
      <c r="K661" s="10">
        <v>0.05</v>
      </c>
      <c r="L661" t="s">
        <v>42</v>
      </c>
      <c r="M661">
        <v>645.91450000000009</v>
      </c>
      <c r="N661">
        <v>407.94599999999997</v>
      </c>
      <c r="O661" s="10">
        <v>190.01850000000013</v>
      </c>
      <c r="P661" s="10">
        <v>0.29418522110898593</v>
      </c>
      <c r="Q661" s="8">
        <v>645.91450000000009</v>
      </c>
      <c r="R661" t="s">
        <v>44</v>
      </c>
      <c r="S661" t="s">
        <v>50</v>
      </c>
      <c r="T661" t="s">
        <v>2931</v>
      </c>
      <c r="U661">
        <v>0</v>
      </c>
      <c r="V661" t="str">
        <f>IF(CleanedTable[[#This Row],[Returned]] = 0,"NO","Yes")</f>
        <v>NO</v>
      </c>
      <c r="W661" t="s">
        <v>710</v>
      </c>
      <c r="X661" t="s">
        <v>2183</v>
      </c>
      <c r="Y661" s="10">
        <v>47.95</v>
      </c>
      <c r="Z661" s="3">
        <v>44978</v>
      </c>
      <c r="AA661" s="3">
        <v>44988</v>
      </c>
      <c r="AB661" t="s">
        <v>2925</v>
      </c>
      <c r="AC661">
        <v>10</v>
      </c>
    </row>
    <row r="662" spans="1:29" x14ac:dyDescent="0.3">
      <c r="A662" s="3">
        <v>45154</v>
      </c>
      <c r="B662" s="3" t="str">
        <f>TEXT(CleanedTable[[#This Row],[OrderDate]],"mmm")</f>
        <v>Aug</v>
      </c>
      <c r="C662" s="3" t="str">
        <f>TEXT(CleanedTable[[#This Row],[OrderDate]],"yyyy")</f>
        <v>2023</v>
      </c>
      <c r="D662" s="3" t="str">
        <f>TEXT(CleanedTable[[#This Row],[OrderDate]],"mmm yyyy")</f>
        <v>Aug 2023</v>
      </c>
      <c r="E662" t="s">
        <v>22</v>
      </c>
      <c r="F662" t="s">
        <v>26</v>
      </c>
      <c r="G662" s="12">
        <v>8</v>
      </c>
      <c r="H662" s="8">
        <v>355.15</v>
      </c>
      <c r="I662" t="s">
        <v>31</v>
      </c>
      <c r="J662" t="s">
        <v>36</v>
      </c>
      <c r="K662" s="10">
        <v>0.1</v>
      </c>
      <c r="L662" t="s">
        <v>40</v>
      </c>
      <c r="M662">
        <v>2557.08</v>
      </c>
      <c r="N662">
        <v>1704.7199999999998</v>
      </c>
      <c r="O662" s="10">
        <v>813.7700000000001</v>
      </c>
      <c r="P662" s="10">
        <v>0.3182419009182349</v>
      </c>
      <c r="Q662" s="8">
        <v>2557.08</v>
      </c>
      <c r="R662" t="s">
        <v>43</v>
      </c>
      <c r="T662" t="s">
        <v>2932</v>
      </c>
      <c r="U662">
        <v>1</v>
      </c>
      <c r="V662" t="str">
        <f>IF(CleanedTable[[#This Row],[Returned]] = 0,"NO","Yes")</f>
        <v>Yes</v>
      </c>
      <c r="W662" t="s">
        <v>711</v>
      </c>
      <c r="X662" t="s">
        <v>2184</v>
      </c>
      <c r="Y662" s="10">
        <v>38.590000000000003</v>
      </c>
      <c r="Z662" s="3">
        <v>45154</v>
      </c>
      <c r="AA662" s="3">
        <v>45162</v>
      </c>
      <c r="AB662" t="s">
        <v>2925</v>
      </c>
      <c r="AC662">
        <v>8</v>
      </c>
    </row>
    <row r="663" spans="1:29" x14ac:dyDescent="0.3">
      <c r="A663" s="3">
        <v>45233</v>
      </c>
      <c r="B663" s="3" t="str">
        <f>TEXT(CleanedTable[[#This Row],[OrderDate]],"mmm")</f>
        <v>Nov</v>
      </c>
      <c r="C663" s="3" t="str">
        <f>TEXT(CleanedTable[[#This Row],[OrderDate]],"yyyy")</f>
        <v>2023</v>
      </c>
      <c r="D663" s="3" t="str">
        <f>TEXT(CleanedTable[[#This Row],[OrderDate]],"mmm yyyy")</f>
        <v>Nov 2023</v>
      </c>
      <c r="E663" t="s">
        <v>23</v>
      </c>
      <c r="F663" t="s">
        <v>28</v>
      </c>
      <c r="G663" s="12">
        <v>11</v>
      </c>
      <c r="H663" s="8">
        <v>119.84</v>
      </c>
      <c r="I663" t="s">
        <v>34</v>
      </c>
      <c r="J663" t="s">
        <v>35</v>
      </c>
      <c r="K663" s="10">
        <v>0.1</v>
      </c>
      <c r="L663" t="s">
        <v>37</v>
      </c>
      <c r="M663">
        <v>1186.4159999999999</v>
      </c>
      <c r="N663">
        <v>790.94399999999996</v>
      </c>
      <c r="O663" s="10">
        <v>378.83199999999999</v>
      </c>
      <c r="P663" s="10">
        <v>0.3193078987471511</v>
      </c>
      <c r="Q663" s="8">
        <v>1186.4159999999999</v>
      </c>
      <c r="R663" t="s">
        <v>43</v>
      </c>
      <c r="S663" t="s">
        <v>49</v>
      </c>
      <c r="T663" t="s">
        <v>2931</v>
      </c>
      <c r="U663">
        <v>0</v>
      </c>
      <c r="V663" t="str">
        <f>IF(CleanedTable[[#This Row],[Returned]] = 0,"NO","Yes")</f>
        <v>NO</v>
      </c>
      <c r="W663" t="s">
        <v>712</v>
      </c>
      <c r="X663" t="s">
        <v>2185</v>
      </c>
      <c r="Y663" s="10">
        <v>16.64</v>
      </c>
      <c r="Z663" s="3">
        <v>45233</v>
      </c>
      <c r="AA663" s="3">
        <v>45241</v>
      </c>
      <c r="AB663" t="s">
        <v>2926</v>
      </c>
      <c r="AC663">
        <v>8</v>
      </c>
    </row>
    <row r="664" spans="1:29" x14ac:dyDescent="0.3">
      <c r="A664" s="3">
        <v>45408</v>
      </c>
      <c r="B664" s="3" t="str">
        <f>TEXT(CleanedTable[[#This Row],[OrderDate]],"mmm")</f>
        <v>Apr</v>
      </c>
      <c r="C664" s="3" t="str">
        <f>TEXT(CleanedTable[[#This Row],[OrderDate]],"yyyy")</f>
        <v>2024</v>
      </c>
      <c r="D664" s="3" t="str">
        <f>TEXT(CleanedTable[[#This Row],[OrderDate]],"mmm yyyy")</f>
        <v>Apr 2024</v>
      </c>
      <c r="E664" t="s">
        <v>20</v>
      </c>
      <c r="F664" t="s">
        <v>24</v>
      </c>
      <c r="G664" s="12">
        <v>16</v>
      </c>
      <c r="H664" s="8">
        <v>318.32</v>
      </c>
      <c r="I664" t="s">
        <v>33</v>
      </c>
      <c r="J664" t="s">
        <v>35</v>
      </c>
      <c r="K664" s="10">
        <v>0.05</v>
      </c>
      <c r="L664" t="s">
        <v>41</v>
      </c>
      <c r="M664">
        <v>4838.4639999999999</v>
      </c>
      <c r="N664">
        <v>3055.8719999999998</v>
      </c>
      <c r="O664" s="10">
        <v>1741.8120000000001</v>
      </c>
      <c r="P664" s="10">
        <v>0.35999275803230119</v>
      </c>
      <c r="Q664" s="8">
        <v>4838.4639999999999</v>
      </c>
      <c r="R664" t="s">
        <v>45</v>
      </c>
      <c r="S664" t="s">
        <v>48</v>
      </c>
      <c r="T664" t="s">
        <v>2931</v>
      </c>
      <c r="U664">
        <v>0</v>
      </c>
      <c r="V664" t="str">
        <f>IF(CleanedTable[[#This Row],[Returned]] = 0,"NO","Yes")</f>
        <v>NO</v>
      </c>
      <c r="W664" t="s">
        <v>713</v>
      </c>
      <c r="X664" t="s">
        <v>2186</v>
      </c>
      <c r="Y664" s="10">
        <v>40.78</v>
      </c>
      <c r="Z664" s="3">
        <v>45408</v>
      </c>
      <c r="AA664" s="3">
        <v>45413</v>
      </c>
      <c r="AB664" t="s">
        <v>2923</v>
      </c>
      <c r="AC664">
        <v>5</v>
      </c>
    </row>
    <row r="665" spans="1:29" x14ac:dyDescent="0.3">
      <c r="A665" s="3">
        <v>45573</v>
      </c>
      <c r="B665" s="3" t="str">
        <f>TEXT(CleanedTable[[#This Row],[OrderDate]],"mmm")</f>
        <v>Oct</v>
      </c>
      <c r="C665" s="3" t="str">
        <f>TEXT(CleanedTable[[#This Row],[OrderDate]],"yyyy")</f>
        <v>2024</v>
      </c>
      <c r="D665" s="3" t="str">
        <f>TEXT(CleanedTable[[#This Row],[OrderDate]],"mmm yyyy")</f>
        <v>Oct 2024</v>
      </c>
      <c r="E665" t="s">
        <v>20</v>
      </c>
      <c r="F665" t="s">
        <v>26</v>
      </c>
      <c r="G665" s="12">
        <v>9</v>
      </c>
      <c r="H665" s="8">
        <v>446.49</v>
      </c>
      <c r="I665" t="s">
        <v>34</v>
      </c>
      <c r="J665" t="s">
        <v>35</v>
      </c>
      <c r="K665" s="10">
        <v>0.15</v>
      </c>
      <c r="L665" t="s">
        <v>40</v>
      </c>
      <c r="M665">
        <v>3415.6484999999998</v>
      </c>
      <c r="N665">
        <v>2411.0460000000003</v>
      </c>
      <c r="O665" s="10">
        <v>998.83249999999953</v>
      </c>
      <c r="P665" s="10">
        <v>0.292428363164418</v>
      </c>
      <c r="Q665" s="8">
        <v>3415.6484999999998</v>
      </c>
      <c r="R665" t="s">
        <v>47</v>
      </c>
      <c r="S665" t="s">
        <v>48</v>
      </c>
      <c r="T665" t="s">
        <v>2931</v>
      </c>
      <c r="U665">
        <v>0</v>
      </c>
      <c r="V665" t="str">
        <f>IF(CleanedTable[[#This Row],[Returned]] = 0,"NO","Yes")</f>
        <v>NO</v>
      </c>
      <c r="W665" t="s">
        <v>714</v>
      </c>
      <c r="X665" t="s">
        <v>2187</v>
      </c>
      <c r="Y665" s="10">
        <v>5.77</v>
      </c>
      <c r="Z665" s="3">
        <v>45573</v>
      </c>
      <c r="AA665" s="3">
        <v>45582</v>
      </c>
      <c r="AB665" t="s">
        <v>2923</v>
      </c>
      <c r="AC665">
        <v>9</v>
      </c>
    </row>
    <row r="666" spans="1:29" x14ac:dyDescent="0.3">
      <c r="A666" s="3">
        <v>44935</v>
      </c>
      <c r="B666" s="3" t="str">
        <f>TEXT(CleanedTable[[#This Row],[OrderDate]],"mmm")</f>
        <v>Jan</v>
      </c>
      <c r="C666" s="3" t="str">
        <f>TEXT(CleanedTable[[#This Row],[OrderDate]],"yyyy")</f>
        <v>2023</v>
      </c>
      <c r="D666" s="3" t="str">
        <f>TEXT(CleanedTable[[#This Row],[OrderDate]],"mmm yyyy")</f>
        <v>Jan 2023</v>
      </c>
      <c r="E666" t="s">
        <v>20</v>
      </c>
      <c r="F666" t="s">
        <v>26</v>
      </c>
      <c r="G666" s="12">
        <v>16</v>
      </c>
      <c r="H666" s="8">
        <v>258.82</v>
      </c>
      <c r="I666" t="s">
        <v>34</v>
      </c>
      <c r="J666" t="s">
        <v>36</v>
      </c>
      <c r="K666" s="10">
        <v>0.1</v>
      </c>
      <c r="L666" t="s">
        <v>41</v>
      </c>
      <c r="M666">
        <v>3727.0079999999998</v>
      </c>
      <c r="N666">
        <v>2484.672</v>
      </c>
      <c r="O666" s="10">
        <v>1195.4059999999997</v>
      </c>
      <c r="P666" s="10">
        <v>0.32074146339369269</v>
      </c>
      <c r="Q666" s="8">
        <v>3727.0079999999998</v>
      </c>
      <c r="R666" t="s">
        <v>43</v>
      </c>
      <c r="S666" t="s">
        <v>49</v>
      </c>
      <c r="T666" t="s">
        <v>2931</v>
      </c>
      <c r="U666">
        <v>0</v>
      </c>
      <c r="V666" t="str">
        <f>IF(CleanedTable[[#This Row],[Returned]] = 0,"NO","Yes")</f>
        <v>NO</v>
      </c>
      <c r="W666" t="s">
        <v>715</v>
      </c>
      <c r="X666" t="s">
        <v>2188</v>
      </c>
      <c r="Y666" s="10">
        <v>46.93</v>
      </c>
      <c r="Z666" s="3">
        <v>44935</v>
      </c>
      <c r="AA666" s="3">
        <v>44943</v>
      </c>
      <c r="AB666" t="s">
        <v>2923</v>
      </c>
      <c r="AC666">
        <v>8</v>
      </c>
    </row>
    <row r="667" spans="1:29" x14ac:dyDescent="0.3">
      <c r="A667" s="3">
        <v>45285</v>
      </c>
      <c r="B667" s="3" t="str">
        <f>TEXT(CleanedTable[[#This Row],[OrderDate]],"mmm")</f>
        <v>Dec</v>
      </c>
      <c r="C667" s="3" t="str">
        <f>TEXT(CleanedTable[[#This Row],[OrderDate]],"yyyy")</f>
        <v>2023</v>
      </c>
      <c r="D667" s="3" t="str">
        <f>TEXT(CleanedTable[[#This Row],[OrderDate]],"mmm yyyy")</f>
        <v>Dec 2023</v>
      </c>
      <c r="E667" t="s">
        <v>21</v>
      </c>
      <c r="F667" t="s">
        <v>30</v>
      </c>
      <c r="G667" s="12">
        <v>9</v>
      </c>
      <c r="H667" s="8">
        <v>272.68</v>
      </c>
      <c r="I667" t="s">
        <v>34</v>
      </c>
      <c r="J667" t="s">
        <v>35</v>
      </c>
      <c r="K667" s="10">
        <v>0.05</v>
      </c>
      <c r="L667" t="s">
        <v>37</v>
      </c>
      <c r="M667">
        <v>2331.4139999999998</v>
      </c>
      <c r="N667">
        <v>1472.472</v>
      </c>
      <c r="O667" s="10">
        <v>842.51199999999983</v>
      </c>
      <c r="P667" s="10">
        <v>0.36137382721387101</v>
      </c>
      <c r="Q667" s="8">
        <v>2331.4140000000002</v>
      </c>
      <c r="R667" t="s">
        <v>43</v>
      </c>
      <c r="S667" t="s">
        <v>49</v>
      </c>
      <c r="T667" t="s">
        <v>2931</v>
      </c>
      <c r="U667">
        <v>0</v>
      </c>
      <c r="V667" t="str">
        <f>IF(CleanedTable[[#This Row],[Returned]] = 0,"NO","Yes")</f>
        <v>NO</v>
      </c>
      <c r="W667" t="s">
        <v>716</v>
      </c>
      <c r="X667" t="s">
        <v>2189</v>
      </c>
      <c r="Y667" s="10">
        <v>16.43</v>
      </c>
      <c r="Z667" s="3">
        <v>45285</v>
      </c>
      <c r="AA667" s="3">
        <v>45293</v>
      </c>
      <c r="AB667" t="s">
        <v>2924</v>
      </c>
      <c r="AC667">
        <v>8</v>
      </c>
    </row>
    <row r="668" spans="1:29" x14ac:dyDescent="0.3">
      <c r="A668" s="3">
        <v>45423</v>
      </c>
      <c r="B668" s="3" t="str">
        <f>TEXT(CleanedTable[[#This Row],[OrderDate]],"mmm")</f>
        <v>May</v>
      </c>
      <c r="C668" s="3" t="str">
        <f>TEXT(CleanedTable[[#This Row],[OrderDate]],"yyyy")</f>
        <v>2024</v>
      </c>
      <c r="D668" s="3" t="str">
        <f>TEXT(CleanedTable[[#This Row],[OrderDate]],"mmm yyyy")</f>
        <v>May 2024</v>
      </c>
      <c r="E668" t="s">
        <v>22</v>
      </c>
      <c r="F668" t="s">
        <v>28</v>
      </c>
      <c r="G668" s="12">
        <v>12</v>
      </c>
      <c r="H668" s="8">
        <v>438.77</v>
      </c>
      <c r="I668" t="s">
        <v>33</v>
      </c>
      <c r="J668" t="s">
        <v>36</v>
      </c>
      <c r="K668" s="10">
        <v>0</v>
      </c>
      <c r="L668" t="s">
        <v>37</v>
      </c>
      <c r="M668">
        <v>5265.24</v>
      </c>
      <c r="N668">
        <v>3159.1440000000002</v>
      </c>
      <c r="O668" s="10">
        <v>2096.7859999999996</v>
      </c>
      <c r="P668" s="10">
        <v>0.39823179950011767</v>
      </c>
      <c r="Q668" s="8">
        <v>5265.24</v>
      </c>
      <c r="R668" t="s">
        <v>46</v>
      </c>
      <c r="S668" t="s">
        <v>49</v>
      </c>
      <c r="T668" t="s">
        <v>2931</v>
      </c>
      <c r="U668">
        <v>0</v>
      </c>
      <c r="V668" t="str">
        <f>IF(CleanedTable[[#This Row],[Returned]] = 0,"NO","Yes")</f>
        <v>NO</v>
      </c>
      <c r="W668" t="s">
        <v>717</v>
      </c>
      <c r="X668" t="s">
        <v>2190</v>
      </c>
      <c r="Y668" s="10">
        <v>9.31</v>
      </c>
      <c r="Z668" s="3">
        <v>45423</v>
      </c>
      <c r="AA668" s="3">
        <v>45432</v>
      </c>
      <c r="AB668" t="s">
        <v>2925</v>
      </c>
      <c r="AC668">
        <v>9</v>
      </c>
    </row>
    <row r="669" spans="1:29" x14ac:dyDescent="0.3">
      <c r="A669" s="3">
        <v>45253</v>
      </c>
      <c r="B669" s="3" t="str">
        <f>TEXT(CleanedTable[[#This Row],[OrderDate]],"mmm")</f>
        <v>Nov</v>
      </c>
      <c r="C669" s="3" t="str">
        <f>TEXT(CleanedTable[[#This Row],[OrderDate]],"yyyy")</f>
        <v>2023</v>
      </c>
      <c r="D669" s="3" t="str">
        <f>TEXT(CleanedTable[[#This Row],[OrderDate]],"mmm yyyy")</f>
        <v>Nov 2023</v>
      </c>
      <c r="E669" t="s">
        <v>23</v>
      </c>
      <c r="F669" t="s">
        <v>29</v>
      </c>
      <c r="G669" s="12">
        <v>18</v>
      </c>
      <c r="H669" s="8">
        <v>267.63</v>
      </c>
      <c r="I669" t="s">
        <v>31</v>
      </c>
      <c r="J669" t="s">
        <v>36</v>
      </c>
      <c r="K669" s="10">
        <v>0</v>
      </c>
      <c r="L669" t="s">
        <v>40</v>
      </c>
      <c r="M669">
        <v>4817.34</v>
      </c>
      <c r="N669">
        <v>2890.404</v>
      </c>
      <c r="O669" s="10">
        <v>1882.4560000000001</v>
      </c>
      <c r="P669" s="10">
        <v>0.39076668867051112</v>
      </c>
      <c r="Q669" s="8">
        <v>4817.34</v>
      </c>
      <c r="R669" t="s">
        <v>44</v>
      </c>
      <c r="S669" t="s">
        <v>49</v>
      </c>
      <c r="T669" t="s">
        <v>2931</v>
      </c>
      <c r="U669">
        <v>0</v>
      </c>
      <c r="V669" t="str">
        <f>IF(CleanedTable[[#This Row],[Returned]] = 0,"NO","Yes")</f>
        <v>NO</v>
      </c>
      <c r="W669" t="s">
        <v>718</v>
      </c>
      <c r="X669" t="s">
        <v>2191</v>
      </c>
      <c r="Y669" s="10">
        <v>44.48</v>
      </c>
      <c r="Z669" s="3">
        <v>45253</v>
      </c>
      <c r="AA669" s="3">
        <v>45256</v>
      </c>
      <c r="AB669" t="s">
        <v>2926</v>
      </c>
      <c r="AC669">
        <v>3</v>
      </c>
    </row>
    <row r="670" spans="1:29" x14ac:dyDescent="0.3">
      <c r="A670" s="3">
        <v>45270</v>
      </c>
      <c r="B670" s="3" t="str">
        <f>TEXT(CleanedTable[[#This Row],[OrderDate]],"mmm")</f>
        <v>Dec</v>
      </c>
      <c r="C670" s="3" t="str">
        <f>TEXT(CleanedTable[[#This Row],[OrderDate]],"yyyy")</f>
        <v>2023</v>
      </c>
      <c r="D670" s="3" t="str">
        <f>TEXT(CleanedTable[[#This Row],[OrderDate]],"mmm yyyy")</f>
        <v>Dec 2023</v>
      </c>
      <c r="E670" t="s">
        <v>22</v>
      </c>
      <c r="F670" t="s">
        <v>30</v>
      </c>
      <c r="G670" s="12">
        <v>6</v>
      </c>
      <c r="H670" s="8">
        <v>115.94</v>
      </c>
      <c r="I670" t="s">
        <v>32</v>
      </c>
      <c r="J670" t="s">
        <v>35</v>
      </c>
      <c r="K670" s="10">
        <v>0.05</v>
      </c>
      <c r="L670" t="s">
        <v>40</v>
      </c>
      <c r="M670">
        <v>660.85799999999995</v>
      </c>
      <c r="N670">
        <v>417.38399999999996</v>
      </c>
      <c r="O670" s="10">
        <v>219.56399999999999</v>
      </c>
      <c r="P670" s="10">
        <v>0.33224081421424878</v>
      </c>
      <c r="Q670" s="8">
        <v>660.85799999999995</v>
      </c>
      <c r="R670" t="s">
        <v>45</v>
      </c>
      <c r="S670" t="s">
        <v>49</v>
      </c>
      <c r="T670" t="s">
        <v>2931</v>
      </c>
      <c r="U670">
        <v>0</v>
      </c>
      <c r="V670" t="str">
        <f>IF(CleanedTable[[#This Row],[Returned]] = 0,"NO","Yes")</f>
        <v>NO</v>
      </c>
      <c r="W670" t="s">
        <v>719</v>
      </c>
      <c r="X670" t="s">
        <v>2192</v>
      </c>
      <c r="Y670" s="10">
        <v>23.91</v>
      </c>
      <c r="Z670" s="3">
        <v>45270</v>
      </c>
      <c r="AA670" s="3">
        <v>45272</v>
      </c>
      <c r="AB670" t="s">
        <v>2925</v>
      </c>
      <c r="AC670">
        <v>2</v>
      </c>
    </row>
    <row r="671" spans="1:29" x14ac:dyDescent="0.3">
      <c r="A671" s="3">
        <v>45325</v>
      </c>
      <c r="B671" s="3" t="str">
        <f>TEXT(CleanedTable[[#This Row],[OrderDate]],"mmm")</f>
        <v>Feb</v>
      </c>
      <c r="C671" s="3" t="str">
        <f>TEXT(CleanedTable[[#This Row],[OrderDate]],"yyyy")</f>
        <v>2024</v>
      </c>
      <c r="D671" s="3" t="str">
        <f>TEXT(CleanedTable[[#This Row],[OrderDate]],"mmm yyyy")</f>
        <v>Feb 2024</v>
      </c>
      <c r="E671" t="s">
        <v>21</v>
      </c>
      <c r="F671" t="s">
        <v>30</v>
      </c>
      <c r="G671" s="12">
        <v>19</v>
      </c>
      <c r="H671" s="8">
        <v>275.77999999999997</v>
      </c>
      <c r="I671" t="s">
        <v>33</v>
      </c>
      <c r="J671" t="s">
        <v>36</v>
      </c>
      <c r="K671" s="10">
        <v>0</v>
      </c>
      <c r="L671" t="s">
        <v>39</v>
      </c>
      <c r="M671">
        <v>5239.82</v>
      </c>
      <c r="N671">
        <v>3143.8919999999998</v>
      </c>
      <c r="O671" s="10">
        <v>2048.9279999999999</v>
      </c>
      <c r="P671" s="10">
        <v>0.39103022622914529</v>
      </c>
      <c r="Q671" s="8">
        <v>5239.82</v>
      </c>
      <c r="R671" t="s">
        <v>47</v>
      </c>
      <c r="S671" t="s">
        <v>49</v>
      </c>
      <c r="T671" t="s">
        <v>2931</v>
      </c>
      <c r="U671">
        <v>0</v>
      </c>
      <c r="V671" t="str">
        <f>IF(CleanedTable[[#This Row],[Returned]] = 0,"NO","Yes")</f>
        <v>NO</v>
      </c>
      <c r="W671" t="s">
        <v>720</v>
      </c>
      <c r="X671" t="s">
        <v>2193</v>
      </c>
      <c r="Y671" s="10">
        <v>47</v>
      </c>
      <c r="Z671" s="3">
        <v>45325</v>
      </c>
      <c r="AA671" s="3">
        <v>45327</v>
      </c>
      <c r="AB671" t="s">
        <v>2924</v>
      </c>
      <c r="AC671">
        <v>2</v>
      </c>
    </row>
    <row r="672" spans="1:29" x14ac:dyDescent="0.3">
      <c r="A672" s="3">
        <v>45620</v>
      </c>
      <c r="B672" s="3" t="str">
        <f>TEXT(CleanedTable[[#This Row],[OrderDate]],"mmm")</f>
        <v>Nov</v>
      </c>
      <c r="C672" s="3" t="str">
        <f>TEXT(CleanedTable[[#This Row],[OrderDate]],"yyyy")</f>
        <v>2024</v>
      </c>
      <c r="D672" s="3" t="str">
        <f>TEXT(CleanedTable[[#This Row],[OrderDate]],"mmm yyyy")</f>
        <v>Nov 2024</v>
      </c>
      <c r="E672" t="s">
        <v>22</v>
      </c>
      <c r="F672" t="s">
        <v>27</v>
      </c>
      <c r="G672" s="12">
        <v>12</v>
      </c>
      <c r="H672" s="8">
        <v>255.93</v>
      </c>
      <c r="I672" t="s">
        <v>31</v>
      </c>
      <c r="J672" t="s">
        <v>36</v>
      </c>
      <c r="K672" s="10">
        <v>0</v>
      </c>
      <c r="L672" t="s">
        <v>37</v>
      </c>
      <c r="M672">
        <v>3071.16</v>
      </c>
      <c r="N672">
        <v>1842.6959999999999</v>
      </c>
      <c r="O672" s="10">
        <v>1204.7239999999999</v>
      </c>
      <c r="P672" s="10">
        <v>0.39227002175073911</v>
      </c>
      <c r="Q672" s="8">
        <v>3071.16</v>
      </c>
      <c r="R672" t="s">
        <v>47</v>
      </c>
      <c r="S672" t="s">
        <v>50</v>
      </c>
      <c r="T672" t="s">
        <v>2931</v>
      </c>
      <c r="U672">
        <v>0</v>
      </c>
      <c r="V672" t="str">
        <f>IF(CleanedTable[[#This Row],[Returned]] = 0,"NO","Yes")</f>
        <v>NO</v>
      </c>
      <c r="W672" t="s">
        <v>721</v>
      </c>
      <c r="X672" t="s">
        <v>2194</v>
      </c>
      <c r="Y672" s="10">
        <v>23.74</v>
      </c>
      <c r="Z672" s="3">
        <v>45620</v>
      </c>
      <c r="AA672" s="3">
        <v>45630</v>
      </c>
      <c r="AB672" t="s">
        <v>2925</v>
      </c>
      <c r="AC672">
        <v>10</v>
      </c>
    </row>
    <row r="673" spans="1:29" x14ac:dyDescent="0.3">
      <c r="A673" s="3">
        <v>45357</v>
      </c>
      <c r="B673" s="3" t="str">
        <f>TEXT(CleanedTable[[#This Row],[OrderDate]],"mmm")</f>
        <v>Mar</v>
      </c>
      <c r="C673" s="3" t="str">
        <f>TEXT(CleanedTable[[#This Row],[OrderDate]],"yyyy")</f>
        <v>2024</v>
      </c>
      <c r="D673" s="3" t="str">
        <f>TEXT(CleanedTable[[#This Row],[OrderDate]],"mmm yyyy")</f>
        <v>Mar 2024</v>
      </c>
      <c r="E673" t="s">
        <v>23</v>
      </c>
      <c r="F673" t="s">
        <v>25</v>
      </c>
      <c r="G673" s="12">
        <v>1</v>
      </c>
      <c r="H673" s="8">
        <v>381.21</v>
      </c>
      <c r="I673" t="s">
        <v>34</v>
      </c>
      <c r="J673" t="s">
        <v>35</v>
      </c>
      <c r="K673" s="10">
        <v>0.15</v>
      </c>
      <c r="L673" t="s">
        <v>42</v>
      </c>
      <c r="M673">
        <v>324.02849999999995</v>
      </c>
      <c r="N673">
        <v>228.72599999999997</v>
      </c>
      <c r="O673" s="10">
        <v>85.352499999999978</v>
      </c>
      <c r="P673" s="10">
        <v>0.26341047160975034</v>
      </c>
      <c r="Q673" s="8">
        <v>324.02850000000001</v>
      </c>
      <c r="R673" t="s">
        <v>43</v>
      </c>
      <c r="T673" t="s">
        <v>2932</v>
      </c>
      <c r="U673">
        <v>0</v>
      </c>
      <c r="V673" t="str">
        <f>IF(CleanedTable[[#This Row],[Returned]] = 0,"NO","Yes")</f>
        <v>NO</v>
      </c>
      <c r="W673" t="s">
        <v>722</v>
      </c>
      <c r="X673" t="s">
        <v>2195</v>
      </c>
      <c r="Y673" s="10">
        <v>9.9499999999999993</v>
      </c>
      <c r="Z673" s="3">
        <v>45357</v>
      </c>
      <c r="AA673" s="3">
        <v>45362</v>
      </c>
      <c r="AB673" t="s">
        <v>2926</v>
      </c>
      <c r="AC673">
        <v>5</v>
      </c>
    </row>
    <row r="674" spans="1:29" x14ac:dyDescent="0.3">
      <c r="A674" s="3">
        <v>45689</v>
      </c>
      <c r="B674" s="3" t="str">
        <f>TEXT(CleanedTable[[#This Row],[OrderDate]],"mmm")</f>
        <v>Feb</v>
      </c>
      <c r="C674" s="3" t="str">
        <f>TEXT(CleanedTable[[#This Row],[OrderDate]],"yyyy")</f>
        <v>2025</v>
      </c>
      <c r="D674" s="3" t="str">
        <f>TEXT(CleanedTable[[#This Row],[OrderDate]],"mmm yyyy")</f>
        <v>Feb 2025</v>
      </c>
      <c r="E674" t="s">
        <v>20</v>
      </c>
      <c r="F674" t="s">
        <v>26</v>
      </c>
      <c r="G674" s="12">
        <v>5</v>
      </c>
      <c r="H674" s="8">
        <v>38.229999999999997</v>
      </c>
      <c r="I674" t="s">
        <v>33</v>
      </c>
      <c r="J674" t="s">
        <v>35</v>
      </c>
      <c r="K674" s="10">
        <v>0.15</v>
      </c>
      <c r="L674" t="s">
        <v>42</v>
      </c>
      <c r="M674">
        <v>162.47749999999996</v>
      </c>
      <c r="N674">
        <v>114.69</v>
      </c>
      <c r="O674" s="10">
        <v>26.727499999999967</v>
      </c>
      <c r="P674" s="10">
        <v>0.16449969995845562</v>
      </c>
      <c r="Q674" s="8">
        <v>162.47749999999999</v>
      </c>
      <c r="R674" t="s">
        <v>46</v>
      </c>
      <c r="T674" t="s">
        <v>2932</v>
      </c>
      <c r="U674">
        <v>0</v>
      </c>
      <c r="V674" t="str">
        <f>IF(CleanedTable[[#This Row],[Returned]] = 0,"NO","Yes")</f>
        <v>NO</v>
      </c>
      <c r="W674" t="s">
        <v>723</v>
      </c>
      <c r="X674" t="s">
        <v>2196</v>
      </c>
      <c r="Y674" s="10">
        <v>21.06</v>
      </c>
      <c r="Z674" s="3">
        <v>45689</v>
      </c>
      <c r="AA674" s="3">
        <v>45699</v>
      </c>
      <c r="AB674" t="s">
        <v>2923</v>
      </c>
      <c r="AC674">
        <v>10</v>
      </c>
    </row>
    <row r="675" spans="1:29" x14ac:dyDescent="0.3">
      <c r="A675" s="3">
        <v>45447</v>
      </c>
      <c r="B675" s="3" t="str">
        <f>TEXT(CleanedTable[[#This Row],[OrderDate]],"mmm")</f>
        <v>Jun</v>
      </c>
      <c r="C675" s="3" t="str">
        <f>TEXT(CleanedTable[[#This Row],[OrderDate]],"yyyy")</f>
        <v>2024</v>
      </c>
      <c r="D675" s="3" t="str">
        <f>TEXT(CleanedTable[[#This Row],[OrderDate]],"mmm yyyy")</f>
        <v>Jun 2024</v>
      </c>
      <c r="E675" t="s">
        <v>22</v>
      </c>
      <c r="F675" t="s">
        <v>24</v>
      </c>
      <c r="G675" s="12">
        <v>7</v>
      </c>
      <c r="H675" s="8">
        <v>225.86</v>
      </c>
      <c r="I675" t="s">
        <v>31</v>
      </c>
      <c r="J675" t="s">
        <v>35</v>
      </c>
      <c r="K675" s="10">
        <v>0</v>
      </c>
      <c r="L675" t="s">
        <v>40</v>
      </c>
      <c r="M675">
        <v>1581.02</v>
      </c>
      <c r="N675">
        <v>948.61199999999997</v>
      </c>
      <c r="O675" s="10">
        <v>607.928</v>
      </c>
      <c r="P675" s="10">
        <v>0.38451632490417581</v>
      </c>
      <c r="Q675" s="8">
        <v>1581.02</v>
      </c>
      <c r="R675" t="s">
        <v>46</v>
      </c>
      <c r="T675" t="s">
        <v>2932</v>
      </c>
      <c r="U675">
        <v>0</v>
      </c>
      <c r="V675" t="str">
        <f>IF(CleanedTable[[#This Row],[Returned]] = 0,"NO","Yes")</f>
        <v>NO</v>
      </c>
      <c r="W675" t="s">
        <v>724</v>
      </c>
      <c r="X675" t="s">
        <v>2197</v>
      </c>
      <c r="Y675" s="10">
        <v>24.48</v>
      </c>
      <c r="Z675" s="3">
        <v>45447</v>
      </c>
      <c r="AA675" s="3">
        <v>45452</v>
      </c>
      <c r="AB675" t="s">
        <v>2925</v>
      </c>
      <c r="AC675">
        <v>5</v>
      </c>
    </row>
    <row r="676" spans="1:29" x14ac:dyDescent="0.3">
      <c r="A676" s="3">
        <v>45144</v>
      </c>
      <c r="B676" s="3" t="str">
        <f>TEXT(CleanedTable[[#This Row],[OrderDate]],"mmm")</f>
        <v>Aug</v>
      </c>
      <c r="C676" s="3" t="str">
        <f>TEXT(CleanedTable[[#This Row],[OrderDate]],"yyyy")</f>
        <v>2023</v>
      </c>
      <c r="D676" s="3" t="str">
        <f>TEXT(CleanedTable[[#This Row],[OrderDate]],"mmm yyyy")</f>
        <v>Aug 2023</v>
      </c>
      <c r="E676" t="s">
        <v>22</v>
      </c>
      <c r="F676" t="s">
        <v>26</v>
      </c>
      <c r="G676" s="12">
        <v>8</v>
      </c>
      <c r="H676" s="8">
        <v>548.02</v>
      </c>
      <c r="I676" t="s">
        <v>34</v>
      </c>
      <c r="J676" t="s">
        <v>36</v>
      </c>
      <c r="K676" s="10">
        <v>0.05</v>
      </c>
      <c r="L676" t="s">
        <v>37</v>
      </c>
      <c r="M676">
        <v>4164.9519999999993</v>
      </c>
      <c r="N676">
        <v>2630.4959999999996</v>
      </c>
      <c r="O676" s="10">
        <v>1501.0559999999996</v>
      </c>
      <c r="P676" s="10">
        <v>0.36040175252920076</v>
      </c>
      <c r="Q676" s="8">
        <v>4164.9519999999993</v>
      </c>
      <c r="R676" t="s">
        <v>43</v>
      </c>
      <c r="T676" t="s">
        <v>2932</v>
      </c>
      <c r="U676">
        <v>0</v>
      </c>
      <c r="V676" t="str">
        <f>IF(CleanedTable[[#This Row],[Returned]] = 0,"NO","Yes")</f>
        <v>NO</v>
      </c>
      <c r="W676" t="s">
        <v>725</v>
      </c>
      <c r="X676" t="s">
        <v>2198</v>
      </c>
      <c r="Y676" s="10">
        <v>33.4</v>
      </c>
      <c r="Z676" s="3">
        <v>45144</v>
      </c>
      <c r="AA676" s="3">
        <v>45151</v>
      </c>
      <c r="AB676" t="s">
        <v>2925</v>
      </c>
      <c r="AC676">
        <v>7</v>
      </c>
    </row>
    <row r="677" spans="1:29" x14ac:dyDescent="0.3">
      <c r="A677" s="3">
        <v>45107</v>
      </c>
      <c r="B677" s="3" t="str">
        <f>TEXT(CleanedTable[[#This Row],[OrderDate]],"mmm")</f>
        <v>Jun</v>
      </c>
      <c r="C677" s="3" t="str">
        <f>TEXT(CleanedTable[[#This Row],[OrderDate]],"yyyy")</f>
        <v>2023</v>
      </c>
      <c r="D677" s="3" t="str">
        <f>TEXT(CleanedTable[[#This Row],[OrderDate]],"mmm yyyy")</f>
        <v>Jun 2023</v>
      </c>
      <c r="E677" t="s">
        <v>23</v>
      </c>
      <c r="F677" t="s">
        <v>30</v>
      </c>
      <c r="G677" s="12">
        <v>18</v>
      </c>
      <c r="H677" s="8">
        <v>485.3</v>
      </c>
      <c r="I677" t="s">
        <v>34</v>
      </c>
      <c r="J677" t="s">
        <v>35</v>
      </c>
      <c r="K677" s="10">
        <v>0.05</v>
      </c>
      <c r="L677" t="s">
        <v>42</v>
      </c>
      <c r="M677">
        <v>8298.6299999999992</v>
      </c>
      <c r="N677">
        <v>5241.24</v>
      </c>
      <c r="O677" s="10">
        <v>3009.6199999999994</v>
      </c>
      <c r="P677" s="10">
        <v>0.36266468079670977</v>
      </c>
      <c r="Q677" s="8">
        <v>8298.6299999999992</v>
      </c>
      <c r="R677" t="s">
        <v>46</v>
      </c>
      <c r="S677" t="s">
        <v>48</v>
      </c>
      <c r="T677" t="s">
        <v>2931</v>
      </c>
      <c r="U677">
        <v>1</v>
      </c>
      <c r="V677" t="str">
        <f>IF(CleanedTable[[#This Row],[Returned]] = 0,"NO","Yes")</f>
        <v>Yes</v>
      </c>
      <c r="W677" t="s">
        <v>726</v>
      </c>
      <c r="X677" t="s">
        <v>2199</v>
      </c>
      <c r="Y677" s="10">
        <v>47.77</v>
      </c>
      <c r="Z677" s="3">
        <v>45107</v>
      </c>
      <c r="AA677" s="3">
        <v>45112</v>
      </c>
      <c r="AB677" t="s">
        <v>2926</v>
      </c>
      <c r="AC677">
        <v>5</v>
      </c>
    </row>
    <row r="678" spans="1:29" x14ac:dyDescent="0.3">
      <c r="A678" s="3">
        <v>44972</v>
      </c>
      <c r="B678" s="3" t="str">
        <f>TEXT(CleanedTable[[#This Row],[OrderDate]],"mmm")</f>
        <v>Feb</v>
      </c>
      <c r="C678" s="3" t="str">
        <f>TEXT(CleanedTable[[#This Row],[OrderDate]],"yyyy")</f>
        <v>2023</v>
      </c>
      <c r="D678" s="3" t="str">
        <f>TEXT(CleanedTable[[#This Row],[OrderDate]],"mmm yyyy")</f>
        <v>Feb 2023</v>
      </c>
      <c r="E678" t="s">
        <v>23</v>
      </c>
      <c r="F678" t="s">
        <v>30</v>
      </c>
      <c r="G678" s="12">
        <v>19</v>
      </c>
      <c r="H678" s="8">
        <v>414.31</v>
      </c>
      <c r="I678" t="s">
        <v>32</v>
      </c>
      <c r="J678" t="s">
        <v>36</v>
      </c>
      <c r="K678" s="10">
        <v>0.1</v>
      </c>
      <c r="L678" t="s">
        <v>37</v>
      </c>
      <c r="M678">
        <v>7084.701</v>
      </c>
      <c r="N678">
        <v>4723.134</v>
      </c>
      <c r="O678" s="10">
        <v>2344.1370000000002</v>
      </c>
      <c r="P678" s="10">
        <v>0.33087310247814272</v>
      </c>
      <c r="Q678" s="8">
        <v>7084.701</v>
      </c>
      <c r="R678" t="s">
        <v>45</v>
      </c>
      <c r="S678" t="s">
        <v>49</v>
      </c>
      <c r="T678" t="s">
        <v>2931</v>
      </c>
      <c r="U678">
        <v>0</v>
      </c>
      <c r="V678" t="str">
        <f>IF(CleanedTable[[#This Row],[Returned]] = 0,"NO","Yes")</f>
        <v>NO</v>
      </c>
      <c r="W678" t="s">
        <v>727</v>
      </c>
      <c r="X678" t="s">
        <v>2200</v>
      </c>
      <c r="Y678" s="10">
        <v>17.43</v>
      </c>
      <c r="Z678" s="3">
        <v>44972</v>
      </c>
      <c r="AA678" s="3">
        <v>44976</v>
      </c>
      <c r="AB678" t="s">
        <v>2926</v>
      </c>
      <c r="AC678">
        <v>4</v>
      </c>
    </row>
    <row r="679" spans="1:29" x14ac:dyDescent="0.3">
      <c r="A679" s="3">
        <v>45314</v>
      </c>
      <c r="B679" s="3" t="str">
        <f>TEXT(CleanedTable[[#This Row],[OrderDate]],"mmm")</f>
        <v>Jan</v>
      </c>
      <c r="C679" s="3" t="str">
        <f>TEXT(CleanedTable[[#This Row],[OrderDate]],"yyyy")</f>
        <v>2024</v>
      </c>
      <c r="D679" s="3" t="str">
        <f>TEXT(CleanedTable[[#This Row],[OrderDate]],"mmm yyyy")</f>
        <v>Jan 2024</v>
      </c>
      <c r="E679" t="s">
        <v>21</v>
      </c>
      <c r="F679" t="s">
        <v>30</v>
      </c>
      <c r="G679" s="12">
        <v>8</v>
      </c>
      <c r="H679" s="8">
        <v>50.72</v>
      </c>
      <c r="I679" t="s">
        <v>32</v>
      </c>
      <c r="J679" t="s">
        <v>35</v>
      </c>
      <c r="K679" s="10">
        <v>0.05</v>
      </c>
      <c r="L679" t="s">
        <v>40</v>
      </c>
      <c r="M679">
        <v>385.47199999999998</v>
      </c>
      <c r="N679">
        <v>243.45599999999999</v>
      </c>
      <c r="O679" s="10">
        <v>129.666</v>
      </c>
      <c r="P679" s="10">
        <v>0.3363824090984559</v>
      </c>
      <c r="Q679" s="8">
        <v>385.47199999999998</v>
      </c>
      <c r="R679" t="s">
        <v>46</v>
      </c>
      <c r="T679" t="s">
        <v>2932</v>
      </c>
      <c r="U679">
        <v>0</v>
      </c>
      <c r="V679" t="str">
        <f>IF(CleanedTable[[#This Row],[Returned]] = 0,"NO","Yes")</f>
        <v>NO</v>
      </c>
      <c r="W679" t="s">
        <v>728</v>
      </c>
      <c r="X679" t="s">
        <v>2201</v>
      </c>
      <c r="Y679" s="10">
        <v>12.35</v>
      </c>
      <c r="Z679" s="3">
        <v>45314</v>
      </c>
      <c r="AA679" s="3">
        <v>45321</v>
      </c>
      <c r="AB679" t="s">
        <v>2924</v>
      </c>
      <c r="AC679">
        <v>7</v>
      </c>
    </row>
    <row r="680" spans="1:29" x14ac:dyDescent="0.3">
      <c r="A680" s="3">
        <v>45596</v>
      </c>
      <c r="B680" s="3" t="str">
        <f>TEXT(CleanedTable[[#This Row],[OrderDate]],"mmm")</f>
        <v>Oct</v>
      </c>
      <c r="C680" s="3" t="str">
        <f>TEXT(CleanedTable[[#This Row],[OrderDate]],"yyyy")</f>
        <v>2024</v>
      </c>
      <c r="D680" s="3" t="str">
        <f>TEXT(CleanedTable[[#This Row],[OrderDate]],"mmm yyyy")</f>
        <v>Oct 2024</v>
      </c>
      <c r="E680" t="s">
        <v>21</v>
      </c>
      <c r="F680" t="s">
        <v>29</v>
      </c>
      <c r="G680" s="12">
        <v>17</v>
      </c>
      <c r="H680" s="8">
        <v>83.26</v>
      </c>
      <c r="I680" t="s">
        <v>32</v>
      </c>
      <c r="J680" t="s">
        <v>35</v>
      </c>
      <c r="K680" s="10">
        <v>0.15</v>
      </c>
      <c r="L680" t="s">
        <v>37</v>
      </c>
      <c r="M680">
        <v>1203.107</v>
      </c>
      <c r="N680">
        <v>849.25200000000007</v>
      </c>
      <c r="O680" s="10">
        <v>311.1749999999999</v>
      </c>
      <c r="P680" s="10">
        <v>0.25864283060442661</v>
      </c>
      <c r="Q680" s="8">
        <v>1203.107</v>
      </c>
      <c r="R680" t="s">
        <v>47</v>
      </c>
      <c r="S680" t="s">
        <v>49</v>
      </c>
      <c r="T680" t="s">
        <v>2931</v>
      </c>
      <c r="U680">
        <v>0</v>
      </c>
      <c r="V680" t="str">
        <f>IF(CleanedTable[[#This Row],[Returned]] = 0,"NO","Yes")</f>
        <v>NO</v>
      </c>
      <c r="W680" t="s">
        <v>729</v>
      </c>
      <c r="X680" t="s">
        <v>2202</v>
      </c>
      <c r="Y680" s="10">
        <v>42.68</v>
      </c>
      <c r="Z680" s="3">
        <v>45596</v>
      </c>
      <c r="AA680" s="3">
        <v>45602</v>
      </c>
      <c r="AB680" t="s">
        <v>2924</v>
      </c>
      <c r="AC680">
        <v>6</v>
      </c>
    </row>
    <row r="681" spans="1:29" x14ac:dyDescent="0.3">
      <c r="A681" s="3">
        <v>45279</v>
      </c>
      <c r="B681" s="3" t="str">
        <f>TEXT(CleanedTable[[#This Row],[OrderDate]],"mmm")</f>
        <v>Dec</v>
      </c>
      <c r="C681" s="3" t="str">
        <f>TEXT(CleanedTable[[#This Row],[OrderDate]],"yyyy")</f>
        <v>2023</v>
      </c>
      <c r="D681" s="3" t="str">
        <f>TEXT(CleanedTable[[#This Row],[OrderDate]],"mmm yyyy")</f>
        <v>Dec 2023</v>
      </c>
      <c r="E681" t="s">
        <v>22</v>
      </c>
      <c r="F681" t="s">
        <v>26</v>
      </c>
      <c r="G681" s="12">
        <v>20</v>
      </c>
      <c r="H681" s="8">
        <v>51.85</v>
      </c>
      <c r="I681" t="s">
        <v>33</v>
      </c>
      <c r="J681" t="s">
        <v>35</v>
      </c>
      <c r="K681" s="10">
        <v>0.15</v>
      </c>
      <c r="L681" t="s">
        <v>40</v>
      </c>
      <c r="M681">
        <v>881.44999999999993</v>
      </c>
      <c r="N681">
        <v>622.20000000000005</v>
      </c>
      <c r="O681" s="10">
        <v>226.08999999999989</v>
      </c>
      <c r="P681" s="10">
        <v>0.256497816098474</v>
      </c>
      <c r="Q681" s="8">
        <v>881.44999999999993</v>
      </c>
      <c r="R681" t="s">
        <v>47</v>
      </c>
      <c r="T681" t="s">
        <v>2932</v>
      </c>
      <c r="U681">
        <v>0</v>
      </c>
      <c r="V681" t="str">
        <f>IF(CleanedTable[[#This Row],[Returned]] = 0,"NO","Yes")</f>
        <v>NO</v>
      </c>
      <c r="W681" t="s">
        <v>730</v>
      </c>
      <c r="X681" t="s">
        <v>2203</v>
      </c>
      <c r="Y681" s="10">
        <v>33.159999999999997</v>
      </c>
      <c r="Z681" s="3">
        <v>45279</v>
      </c>
      <c r="AA681" s="3">
        <v>45281</v>
      </c>
      <c r="AB681" t="s">
        <v>2925</v>
      </c>
      <c r="AC681">
        <v>2</v>
      </c>
    </row>
    <row r="682" spans="1:29" x14ac:dyDescent="0.3">
      <c r="A682" s="3">
        <v>45111</v>
      </c>
      <c r="B682" s="3" t="str">
        <f>TEXT(CleanedTable[[#This Row],[OrderDate]],"mmm")</f>
        <v>Jul</v>
      </c>
      <c r="C682" s="3" t="str">
        <f>TEXT(CleanedTable[[#This Row],[OrderDate]],"yyyy")</f>
        <v>2023</v>
      </c>
      <c r="D682" s="3" t="str">
        <f>TEXT(CleanedTable[[#This Row],[OrderDate]],"mmm yyyy")</f>
        <v>Jul 2023</v>
      </c>
      <c r="E682" t="s">
        <v>20</v>
      </c>
      <c r="F682" t="s">
        <v>29</v>
      </c>
      <c r="G682" s="12">
        <v>12</v>
      </c>
      <c r="H682" s="8">
        <v>122.51</v>
      </c>
      <c r="I682" t="s">
        <v>31</v>
      </c>
      <c r="J682" t="s">
        <v>35</v>
      </c>
      <c r="K682" s="10">
        <v>0.05</v>
      </c>
      <c r="L682" t="s">
        <v>41</v>
      </c>
      <c r="M682">
        <v>1396.614</v>
      </c>
      <c r="N682">
        <v>882.072</v>
      </c>
      <c r="O682" s="10">
        <v>471.072</v>
      </c>
      <c r="P682" s="10">
        <v>0.33729577392178511</v>
      </c>
      <c r="Q682" s="8">
        <v>1396.614</v>
      </c>
      <c r="R682" t="s">
        <v>44</v>
      </c>
      <c r="S682" t="s">
        <v>50</v>
      </c>
      <c r="T682" t="s">
        <v>2931</v>
      </c>
      <c r="U682">
        <v>0</v>
      </c>
      <c r="V682" t="str">
        <f>IF(CleanedTable[[#This Row],[Returned]] = 0,"NO","Yes")</f>
        <v>NO</v>
      </c>
      <c r="W682" t="s">
        <v>731</v>
      </c>
      <c r="X682" t="s">
        <v>1832</v>
      </c>
      <c r="Y682" s="10">
        <v>43.47</v>
      </c>
      <c r="Z682" s="3">
        <v>45111</v>
      </c>
      <c r="AA682" s="3">
        <v>45113</v>
      </c>
      <c r="AB682" t="s">
        <v>2923</v>
      </c>
      <c r="AC682">
        <v>2</v>
      </c>
    </row>
    <row r="683" spans="1:29" x14ac:dyDescent="0.3">
      <c r="A683" s="3">
        <v>45428</v>
      </c>
      <c r="B683" s="3" t="str">
        <f>TEXT(CleanedTable[[#This Row],[OrderDate]],"mmm")</f>
        <v>May</v>
      </c>
      <c r="C683" s="3" t="str">
        <f>TEXT(CleanedTable[[#This Row],[OrderDate]],"yyyy")</f>
        <v>2024</v>
      </c>
      <c r="D683" s="3" t="str">
        <f>TEXT(CleanedTable[[#This Row],[OrderDate]],"mmm yyyy")</f>
        <v>May 2024</v>
      </c>
      <c r="E683" t="s">
        <v>19</v>
      </c>
      <c r="F683" t="s">
        <v>24</v>
      </c>
      <c r="G683" s="12">
        <v>11</v>
      </c>
      <c r="H683" s="8">
        <v>222.13</v>
      </c>
      <c r="I683" t="s">
        <v>34</v>
      </c>
      <c r="J683" t="s">
        <v>35</v>
      </c>
      <c r="K683" s="10">
        <v>0.15</v>
      </c>
      <c r="L683" t="s">
        <v>37</v>
      </c>
      <c r="M683">
        <v>2076.9154999999996</v>
      </c>
      <c r="N683">
        <v>1466.058</v>
      </c>
      <c r="O683" s="10">
        <v>600.97749999999962</v>
      </c>
      <c r="P683" s="10">
        <v>0.28936059266734721</v>
      </c>
      <c r="Q683" s="8">
        <v>2076.9155000000001</v>
      </c>
      <c r="R683" t="s">
        <v>47</v>
      </c>
      <c r="S683" t="s">
        <v>50</v>
      </c>
      <c r="T683" t="s">
        <v>2931</v>
      </c>
      <c r="U683">
        <v>1</v>
      </c>
      <c r="V683" t="str">
        <f>IF(CleanedTable[[#This Row],[Returned]] = 0,"NO","Yes")</f>
        <v>Yes</v>
      </c>
      <c r="W683" t="s">
        <v>732</v>
      </c>
      <c r="X683" t="s">
        <v>2204</v>
      </c>
      <c r="Y683" s="10">
        <v>9.8800000000000008</v>
      </c>
      <c r="Z683" s="3">
        <v>45428</v>
      </c>
      <c r="AA683" s="3">
        <v>45430</v>
      </c>
      <c r="AB683" t="s">
        <v>2922</v>
      </c>
      <c r="AC683">
        <v>2</v>
      </c>
    </row>
    <row r="684" spans="1:29" x14ac:dyDescent="0.3">
      <c r="A684" s="3">
        <v>45185</v>
      </c>
      <c r="B684" s="3" t="str">
        <f>TEXT(CleanedTable[[#This Row],[OrderDate]],"mmm")</f>
        <v>Sep</v>
      </c>
      <c r="C684" s="3" t="str">
        <f>TEXT(CleanedTable[[#This Row],[OrderDate]],"yyyy")</f>
        <v>2023</v>
      </c>
      <c r="D684" s="3" t="str">
        <f>TEXT(CleanedTable[[#This Row],[OrderDate]],"mmm yyyy")</f>
        <v>Sep 2023</v>
      </c>
      <c r="E684" t="s">
        <v>21</v>
      </c>
      <c r="F684" t="s">
        <v>28</v>
      </c>
      <c r="G684" s="12">
        <v>8</v>
      </c>
      <c r="H684" s="8">
        <v>204.84</v>
      </c>
      <c r="I684" t="s">
        <v>33</v>
      </c>
      <c r="J684" t="s">
        <v>36</v>
      </c>
      <c r="K684" s="10">
        <v>0</v>
      </c>
      <c r="L684" t="s">
        <v>42</v>
      </c>
      <c r="M684">
        <v>1638.72</v>
      </c>
      <c r="N684">
        <v>983.23199999999997</v>
      </c>
      <c r="O684" s="10">
        <v>612.08800000000008</v>
      </c>
      <c r="P684" s="10">
        <v>0.37351591486037888</v>
      </c>
      <c r="Q684" s="8">
        <v>1638.72</v>
      </c>
      <c r="R684" t="s">
        <v>47</v>
      </c>
      <c r="T684" t="s">
        <v>2932</v>
      </c>
      <c r="U684">
        <v>0</v>
      </c>
      <c r="V684" t="str">
        <f>IF(CleanedTable[[#This Row],[Returned]] = 0,"NO","Yes")</f>
        <v>NO</v>
      </c>
      <c r="W684" t="s">
        <v>733</v>
      </c>
      <c r="X684" t="s">
        <v>2205</v>
      </c>
      <c r="Y684" s="10">
        <v>43.4</v>
      </c>
      <c r="Z684" s="3">
        <v>45185</v>
      </c>
      <c r="AA684" s="3">
        <v>45190</v>
      </c>
      <c r="AB684" t="s">
        <v>2924</v>
      </c>
      <c r="AC684">
        <v>5</v>
      </c>
    </row>
    <row r="685" spans="1:29" x14ac:dyDescent="0.3">
      <c r="A685" s="3">
        <v>45618</v>
      </c>
      <c r="B685" s="3" t="str">
        <f>TEXT(CleanedTable[[#This Row],[OrderDate]],"mmm")</f>
        <v>Nov</v>
      </c>
      <c r="C685" s="3" t="str">
        <f>TEXT(CleanedTable[[#This Row],[OrderDate]],"yyyy")</f>
        <v>2024</v>
      </c>
      <c r="D685" s="3" t="str">
        <f>TEXT(CleanedTable[[#This Row],[OrderDate]],"mmm yyyy")</f>
        <v>Nov 2024</v>
      </c>
      <c r="E685" t="s">
        <v>19</v>
      </c>
      <c r="F685" t="s">
        <v>27</v>
      </c>
      <c r="G685" s="12">
        <v>3</v>
      </c>
      <c r="H685" s="8">
        <v>536.97</v>
      </c>
      <c r="I685" t="s">
        <v>33</v>
      </c>
      <c r="J685" t="s">
        <v>35</v>
      </c>
      <c r="K685" s="10">
        <v>0</v>
      </c>
      <c r="L685" t="s">
        <v>40</v>
      </c>
      <c r="M685">
        <v>1610.91</v>
      </c>
      <c r="N685">
        <v>966.54600000000005</v>
      </c>
      <c r="O685" s="10">
        <v>630.50400000000002</v>
      </c>
      <c r="P685" s="10">
        <v>0.39139616738365274</v>
      </c>
      <c r="Q685" s="8">
        <v>1610.91</v>
      </c>
      <c r="R685" t="s">
        <v>46</v>
      </c>
      <c r="T685" t="s">
        <v>2932</v>
      </c>
      <c r="U685">
        <v>0</v>
      </c>
      <c r="V685" t="str">
        <f>IF(CleanedTable[[#This Row],[Returned]] = 0,"NO","Yes")</f>
        <v>NO</v>
      </c>
      <c r="W685" t="s">
        <v>734</v>
      </c>
      <c r="X685" t="s">
        <v>2206</v>
      </c>
      <c r="Y685" s="10">
        <v>13.86</v>
      </c>
      <c r="Z685" s="3">
        <v>45618</v>
      </c>
      <c r="AA685" s="3">
        <v>45627</v>
      </c>
      <c r="AB685" t="s">
        <v>2922</v>
      </c>
      <c r="AC685">
        <v>9</v>
      </c>
    </row>
    <row r="686" spans="1:29" x14ac:dyDescent="0.3">
      <c r="A686" s="3">
        <v>45395</v>
      </c>
      <c r="B686" s="3" t="str">
        <f>TEXT(CleanedTable[[#This Row],[OrderDate]],"mmm")</f>
        <v>Apr</v>
      </c>
      <c r="C686" s="3" t="str">
        <f>TEXT(CleanedTable[[#This Row],[OrderDate]],"yyyy")</f>
        <v>2024</v>
      </c>
      <c r="D686" s="3" t="str">
        <f>TEXT(CleanedTable[[#This Row],[OrderDate]],"mmm yyyy")</f>
        <v>Apr 2024</v>
      </c>
      <c r="E686" t="s">
        <v>23</v>
      </c>
      <c r="F686" t="s">
        <v>27</v>
      </c>
      <c r="G686" s="12">
        <v>15</v>
      </c>
      <c r="H686" s="8">
        <v>553.01</v>
      </c>
      <c r="I686" t="s">
        <v>32</v>
      </c>
      <c r="J686" t="s">
        <v>36</v>
      </c>
      <c r="K686" s="10">
        <v>0.1</v>
      </c>
      <c r="L686" t="s">
        <v>40</v>
      </c>
      <c r="M686">
        <v>7465.6350000000002</v>
      </c>
      <c r="N686">
        <v>4977.09</v>
      </c>
      <c r="O686" s="10">
        <v>2465.2449999999999</v>
      </c>
      <c r="P686" s="10">
        <v>0.33021236639616053</v>
      </c>
      <c r="Q686" s="8">
        <v>7465.6350000000002</v>
      </c>
      <c r="R686" t="s">
        <v>45</v>
      </c>
      <c r="S686" t="s">
        <v>49</v>
      </c>
      <c r="T686" t="s">
        <v>2931</v>
      </c>
      <c r="U686">
        <v>1</v>
      </c>
      <c r="V686" t="str">
        <f>IF(CleanedTable[[#This Row],[Returned]] = 0,"NO","Yes")</f>
        <v>Yes</v>
      </c>
      <c r="W686" t="s">
        <v>735</v>
      </c>
      <c r="X686" t="s">
        <v>2207</v>
      </c>
      <c r="Y686" s="10">
        <v>23.3</v>
      </c>
      <c r="Z686" s="3">
        <v>45395</v>
      </c>
      <c r="AA686" s="3">
        <v>45403</v>
      </c>
      <c r="AB686" t="s">
        <v>2926</v>
      </c>
      <c r="AC686">
        <v>8</v>
      </c>
    </row>
    <row r="687" spans="1:29" x14ac:dyDescent="0.3">
      <c r="A687" s="3">
        <v>45473</v>
      </c>
      <c r="B687" s="3" t="str">
        <f>TEXT(CleanedTable[[#This Row],[OrderDate]],"mmm")</f>
        <v>Jun</v>
      </c>
      <c r="C687" s="3" t="str">
        <f>TEXT(CleanedTable[[#This Row],[OrderDate]],"yyyy")</f>
        <v>2024</v>
      </c>
      <c r="D687" s="3" t="str">
        <f>TEXT(CleanedTable[[#This Row],[OrderDate]],"mmm yyyy")</f>
        <v>Jun 2024</v>
      </c>
      <c r="E687" t="s">
        <v>20</v>
      </c>
      <c r="F687" t="s">
        <v>27</v>
      </c>
      <c r="G687" s="12">
        <v>20</v>
      </c>
      <c r="H687" s="8">
        <v>284.82</v>
      </c>
      <c r="I687" t="s">
        <v>34</v>
      </c>
      <c r="J687" t="s">
        <v>36</v>
      </c>
      <c r="K687" s="10">
        <v>0.1</v>
      </c>
      <c r="L687" t="s">
        <v>38</v>
      </c>
      <c r="M687">
        <v>5126.76</v>
      </c>
      <c r="N687">
        <v>3417.84</v>
      </c>
      <c r="O687" s="10">
        <v>1681.92</v>
      </c>
      <c r="P687" s="10">
        <v>0.3280668492381153</v>
      </c>
      <c r="Q687" s="8">
        <v>5126.76</v>
      </c>
      <c r="R687" t="s">
        <v>45</v>
      </c>
      <c r="S687" t="s">
        <v>50</v>
      </c>
      <c r="T687" t="s">
        <v>2931</v>
      </c>
      <c r="U687">
        <v>1</v>
      </c>
      <c r="V687" t="str">
        <f>IF(CleanedTable[[#This Row],[Returned]] = 0,"NO","Yes")</f>
        <v>Yes</v>
      </c>
      <c r="W687" t="s">
        <v>736</v>
      </c>
      <c r="X687" t="s">
        <v>2208</v>
      </c>
      <c r="Y687" s="10">
        <v>27</v>
      </c>
      <c r="Z687" s="3">
        <v>45473</v>
      </c>
      <c r="AA687" s="3">
        <v>45479</v>
      </c>
      <c r="AB687" t="s">
        <v>2923</v>
      </c>
      <c r="AC687">
        <v>6</v>
      </c>
    </row>
    <row r="688" spans="1:29" x14ac:dyDescent="0.3">
      <c r="A688" s="3">
        <v>45533</v>
      </c>
      <c r="B688" s="3" t="str">
        <f>TEXT(CleanedTable[[#This Row],[OrderDate]],"mmm")</f>
        <v>Aug</v>
      </c>
      <c r="C688" s="3" t="str">
        <f>TEXT(CleanedTable[[#This Row],[OrderDate]],"yyyy")</f>
        <v>2024</v>
      </c>
      <c r="D688" s="3" t="str">
        <f>TEXT(CleanedTable[[#This Row],[OrderDate]],"mmm yyyy")</f>
        <v>Aug 2024</v>
      </c>
      <c r="E688" t="s">
        <v>21</v>
      </c>
      <c r="F688" t="s">
        <v>26</v>
      </c>
      <c r="G688" s="12">
        <v>18</v>
      </c>
      <c r="H688" s="8">
        <v>523.87</v>
      </c>
      <c r="I688" t="s">
        <v>33</v>
      </c>
      <c r="J688" t="s">
        <v>36</v>
      </c>
      <c r="K688" s="10">
        <v>0.15</v>
      </c>
      <c r="L688" t="s">
        <v>41</v>
      </c>
      <c r="M688">
        <v>8015.2109999999993</v>
      </c>
      <c r="N688">
        <v>5657.7960000000003</v>
      </c>
      <c r="O688" s="10">
        <v>2314.7849999999989</v>
      </c>
      <c r="P688" s="10">
        <v>0.28879900978277417</v>
      </c>
      <c r="Q688" s="8">
        <v>8015.2109999999993</v>
      </c>
      <c r="R688" t="s">
        <v>44</v>
      </c>
      <c r="S688" t="s">
        <v>50</v>
      </c>
      <c r="T688" t="s">
        <v>2931</v>
      </c>
      <c r="U688">
        <v>0</v>
      </c>
      <c r="V688" t="str">
        <f>IF(CleanedTable[[#This Row],[Returned]] = 0,"NO","Yes")</f>
        <v>NO</v>
      </c>
      <c r="W688" t="s">
        <v>737</v>
      </c>
      <c r="X688" t="s">
        <v>2209</v>
      </c>
      <c r="Y688" s="10">
        <v>42.63</v>
      </c>
      <c r="Z688" s="3">
        <v>45533</v>
      </c>
      <c r="AA688" s="3">
        <v>45537</v>
      </c>
      <c r="AB688" t="s">
        <v>2924</v>
      </c>
      <c r="AC688">
        <v>4</v>
      </c>
    </row>
    <row r="689" spans="1:29" x14ac:dyDescent="0.3">
      <c r="A689" s="3">
        <v>45286</v>
      </c>
      <c r="B689" s="3" t="str">
        <f>TEXT(CleanedTable[[#This Row],[OrderDate]],"mmm")</f>
        <v>Dec</v>
      </c>
      <c r="C689" s="3" t="str">
        <f>TEXT(CleanedTable[[#This Row],[OrderDate]],"yyyy")</f>
        <v>2023</v>
      </c>
      <c r="D689" s="3" t="str">
        <f>TEXT(CleanedTable[[#This Row],[OrderDate]],"mmm yyyy")</f>
        <v>Dec 2023</v>
      </c>
      <c r="E689" t="s">
        <v>22</v>
      </c>
      <c r="F689" t="s">
        <v>26</v>
      </c>
      <c r="G689" s="12">
        <v>3</v>
      </c>
      <c r="H689" s="8">
        <v>232.13</v>
      </c>
      <c r="I689" t="s">
        <v>31</v>
      </c>
      <c r="J689" t="s">
        <v>36</v>
      </c>
      <c r="K689" s="10">
        <v>0.1</v>
      </c>
      <c r="L689" t="s">
        <v>41</v>
      </c>
      <c r="M689">
        <v>626.75099999999998</v>
      </c>
      <c r="N689">
        <v>417.83399999999995</v>
      </c>
      <c r="O689" s="10">
        <v>162.26700000000002</v>
      </c>
      <c r="P689" s="10">
        <v>0.2589018605474902</v>
      </c>
      <c r="Q689" s="8">
        <v>626.75099999999998</v>
      </c>
      <c r="R689" t="s">
        <v>47</v>
      </c>
      <c r="T689" t="s">
        <v>2932</v>
      </c>
      <c r="U689">
        <v>1</v>
      </c>
      <c r="V689" t="str">
        <f>IF(CleanedTable[[#This Row],[Returned]] = 0,"NO","Yes")</f>
        <v>Yes</v>
      </c>
      <c r="W689" t="s">
        <v>738</v>
      </c>
      <c r="X689" t="s">
        <v>2210</v>
      </c>
      <c r="Y689" s="10">
        <v>46.65</v>
      </c>
      <c r="Z689" s="3">
        <v>45286</v>
      </c>
      <c r="AA689" s="3">
        <v>45291</v>
      </c>
      <c r="AB689" t="s">
        <v>2925</v>
      </c>
      <c r="AC689">
        <v>5</v>
      </c>
    </row>
    <row r="690" spans="1:29" x14ac:dyDescent="0.3">
      <c r="A690" s="3">
        <v>45687</v>
      </c>
      <c r="B690" s="3" t="str">
        <f>TEXT(CleanedTable[[#This Row],[OrderDate]],"mmm")</f>
        <v>Jan</v>
      </c>
      <c r="C690" s="3" t="str">
        <f>TEXT(CleanedTable[[#This Row],[OrderDate]],"yyyy")</f>
        <v>2025</v>
      </c>
      <c r="D690" s="3" t="str">
        <f>TEXT(CleanedTable[[#This Row],[OrderDate]],"mmm yyyy")</f>
        <v>Jan 2025</v>
      </c>
      <c r="E690" t="s">
        <v>21</v>
      </c>
      <c r="F690" t="s">
        <v>25</v>
      </c>
      <c r="G690" s="12">
        <v>17</v>
      </c>
      <c r="H690" s="8">
        <v>179.32</v>
      </c>
      <c r="I690" t="s">
        <v>32</v>
      </c>
      <c r="J690" t="s">
        <v>36</v>
      </c>
      <c r="K690" s="10">
        <v>0.1</v>
      </c>
      <c r="L690" t="s">
        <v>42</v>
      </c>
      <c r="M690">
        <v>2743.596</v>
      </c>
      <c r="N690">
        <v>1829.0640000000001</v>
      </c>
      <c r="O690" s="10">
        <v>887.79199999999992</v>
      </c>
      <c r="P690" s="10">
        <v>0.32358700041842892</v>
      </c>
      <c r="Q690" s="8">
        <v>2743.596</v>
      </c>
      <c r="R690" t="s">
        <v>46</v>
      </c>
      <c r="S690" t="s">
        <v>49</v>
      </c>
      <c r="T690" t="s">
        <v>2931</v>
      </c>
      <c r="U690">
        <v>1</v>
      </c>
      <c r="V690" t="str">
        <f>IF(CleanedTable[[#This Row],[Returned]] = 0,"NO","Yes")</f>
        <v>Yes</v>
      </c>
      <c r="W690" t="s">
        <v>739</v>
      </c>
      <c r="X690" t="s">
        <v>2211</v>
      </c>
      <c r="Y690" s="10">
        <v>26.74</v>
      </c>
      <c r="Z690" s="3">
        <v>45687</v>
      </c>
      <c r="AA690" s="3">
        <v>45694</v>
      </c>
      <c r="AB690" t="s">
        <v>2924</v>
      </c>
      <c r="AC690">
        <v>7</v>
      </c>
    </row>
    <row r="691" spans="1:29" x14ac:dyDescent="0.3">
      <c r="A691" s="3">
        <v>45063</v>
      </c>
      <c r="B691" s="3" t="str">
        <f>TEXT(CleanedTable[[#This Row],[OrderDate]],"mmm")</f>
        <v>May</v>
      </c>
      <c r="C691" s="3" t="str">
        <f>TEXT(CleanedTable[[#This Row],[OrderDate]],"yyyy")</f>
        <v>2023</v>
      </c>
      <c r="D691" s="3" t="str">
        <f>TEXT(CleanedTable[[#This Row],[OrderDate]],"mmm yyyy")</f>
        <v>May 2023</v>
      </c>
      <c r="E691" t="s">
        <v>20</v>
      </c>
      <c r="F691" t="s">
        <v>27</v>
      </c>
      <c r="G691" s="12">
        <v>1</v>
      </c>
      <c r="H691" s="8">
        <v>396.35</v>
      </c>
      <c r="I691" t="s">
        <v>31</v>
      </c>
      <c r="J691" t="s">
        <v>36</v>
      </c>
      <c r="K691" s="10">
        <v>0.15</v>
      </c>
      <c r="L691" t="s">
        <v>39</v>
      </c>
      <c r="M691">
        <v>336.89750000000004</v>
      </c>
      <c r="N691">
        <v>237.81</v>
      </c>
      <c r="O691" s="10">
        <v>79.197500000000034</v>
      </c>
      <c r="P691" s="10">
        <v>0.23507891866220446</v>
      </c>
      <c r="Q691" s="8">
        <v>336.89749999999998</v>
      </c>
      <c r="R691" t="s">
        <v>46</v>
      </c>
      <c r="S691" t="s">
        <v>49</v>
      </c>
      <c r="T691" t="s">
        <v>2931</v>
      </c>
      <c r="U691">
        <v>1</v>
      </c>
      <c r="V691" t="str">
        <f>IF(CleanedTable[[#This Row],[Returned]] = 0,"NO","Yes")</f>
        <v>Yes</v>
      </c>
      <c r="W691" t="s">
        <v>740</v>
      </c>
      <c r="X691" t="s">
        <v>2212</v>
      </c>
      <c r="Y691" s="10">
        <v>19.89</v>
      </c>
      <c r="Z691" s="3">
        <v>45063</v>
      </c>
      <c r="AA691" s="3">
        <v>45071</v>
      </c>
      <c r="AB691" t="s">
        <v>2923</v>
      </c>
      <c r="AC691">
        <v>8</v>
      </c>
    </row>
    <row r="692" spans="1:29" x14ac:dyDescent="0.3">
      <c r="A692" s="3">
        <v>45318</v>
      </c>
      <c r="B692" s="3" t="str">
        <f>TEXT(CleanedTable[[#This Row],[OrderDate]],"mmm")</f>
        <v>Jan</v>
      </c>
      <c r="C692" s="3" t="str">
        <f>TEXT(CleanedTable[[#This Row],[OrderDate]],"yyyy")</f>
        <v>2024</v>
      </c>
      <c r="D692" s="3" t="str">
        <f>TEXT(CleanedTable[[#This Row],[OrderDate]],"mmm yyyy")</f>
        <v>Jan 2024</v>
      </c>
      <c r="E692" t="s">
        <v>22</v>
      </c>
      <c r="F692" t="s">
        <v>26</v>
      </c>
      <c r="G692" s="12">
        <v>17</v>
      </c>
      <c r="H692" s="8">
        <v>108.48</v>
      </c>
      <c r="I692" t="s">
        <v>32</v>
      </c>
      <c r="J692" t="s">
        <v>35</v>
      </c>
      <c r="K692" s="10">
        <v>0.1</v>
      </c>
      <c r="L692" t="s">
        <v>40</v>
      </c>
      <c r="M692">
        <v>1659.7440000000001</v>
      </c>
      <c r="N692">
        <v>1106.4959999999999</v>
      </c>
      <c r="O692" s="10">
        <v>504.3480000000003</v>
      </c>
      <c r="P692" s="10">
        <v>0.30387095841286382</v>
      </c>
      <c r="Q692" s="8">
        <v>1659.7439999999999</v>
      </c>
      <c r="R692" t="s">
        <v>43</v>
      </c>
      <c r="T692" t="s">
        <v>2932</v>
      </c>
      <c r="U692">
        <v>1</v>
      </c>
      <c r="V692" t="str">
        <f>IF(CleanedTable[[#This Row],[Returned]] = 0,"NO","Yes")</f>
        <v>Yes</v>
      </c>
      <c r="W692" t="s">
        <v>741</v>
      </c>
      <c r="X692" t="s">
        <v>2213</v>
      </c>
      <c r="Y692" s="10">
        <v>48.9</v>
      </c>
      <c r="Z692" s="3">
        <v>45318</v>
      </c>
      <c r="AA692" s="3">
        <v>45327</v>
      </c>
      <c r="AB692" t="s">
        <v>2925</v>
      </c>
      <c r="AC692">
        <v>9</v>
      </c>
    </row>
    <row r="693" spans="1:29" x14ac:dyDescent="0.3">
      <c r="A693" s="3">
        <v>45803</v>
      </c>
      <c r="B693" s="3" t="str">
        <f>TEXT(CleanedTable[[#This Row],[OrderDate]],"mmm")</f>
        <v>May</v>
      </c>
      <c r="C693" s="3" t="str">
        <f>TEXT(CleanedTable[[#This Row],[OrderDate]],"yyyy")</f>
        <v>2025</v>
      </c>
      <c r="D693" s="3" t="str">
        <f>TEXT(CleanedTable[[#This Row],[OrderDate]],"mmm yyyy")</f>
        <v>May 2025</v>
      </c>
      <c r="E693" t="s">
        <v>19</v>
      </c>
      <c r="F693" t="s">
        <v>30</v>
      </c>
      <c r="G693" s="12">
        <v>10</v>
      </c>
      <c r="H693" s="8">
        <v>149.66999999999999</v>
      </c>
      <c r="I693" t="s">
        <v>34</v>
      </c>
      <c r="J693" t="s">
        <v>36</v>
      </c>
      <c r="K693" s="10">
        <v>0.1</v>
      </c>
      <c r="L693" t="s">
        <v>40</v>
      </c>
      <c r="M693">
        <v>1347.03</v>
      </c>
      <c r="N693">
        <v>898.02</v>
      </c>
      <c r="O693" s="10">
        <v>399.34</v>
      </c>
      <c r="P693" s="10">
        <v>0.29645961856825759</v>
      </c>
      <c r="Q693" s="8">
        <v>1347.03</v>
      </c>
      <c r="R693" t="s">
        <v>47</v>
      </c>
      <c r="S693" t="s">
        <v>48</v>
      </c>
      <c r="T693" t="s">
        <v>2931</v>
      </c>
      <c r="U693">
        <v>1</v>
      </c>
      <c r="V693" t="str">
        <f>IF(CleanedTable[[#This Row],[Returned]] = 0,"NO","Yes")</f>
        <v>Yes</v>
      </c>
      <c r="W693" t="s">
        <v>742</v>
      </c>
      <c r="X693" t="s">
        <v>2214</v>
      </c>
      <c r="Y693" s="10">
        <v>49.67</v>
      </c>
      <c r="Z693" s="3">
        <v>45803</v>
      </c>
      <c r="AA693" s="3">
        <v>45810</v>
      </c>
      <c r="AB693" t="s">
        <v>2922</v>
      </c>
      <c r="AC693">
        <v>7</v>
      </c>
    </row>
    <row r="694" spans="1:29" x14ac:dyDescent="0.3">
      <c r="A694" s="3">
        <v>45725</v>
      </c>
      <c r="B694" s="3" t="str">
        <f>TEXT(CleanedTable[[#This Row],[OrderDate]],"mmm")</f>
        <v>Mar</v>
      </c>
      <c r="C694" s="3" t="str">
        <f>TEXT(CleanedTable[[#This Row],[OrderDate]],"yyyy")</f>
        <v>2025</v>
      </c>
      <c r="D694" s="3" t="str">
        <f>TEXT(CleanedTable[[#This Row],[OrderDate]],"mmm yyyy")</f>
        <v>Mar 2025</v>
      </c>
      <c r="E694" t="s">
        <v>21</v>
      </c>
      <c r="F694" t="s">
        <v>25</v>
      </c>
      <c r="G694" s="12">
        <v>1</v>
      </c>
      <c r="H694" s="8">
        <v>506.41</v>
      </c>
      <c r="I694" t="s">
        <v>34</v>
      </c>
      <c r="J694" t="s">
        <v>35</v>
      </c>
      <c r="K694" s="10">
        <v>0</v>
      </c>
      <c r="L694" t="s">
        <v>42</v>
      </c>
      <c r="M694">
        <v>506.41</v>
      </c>
      <c r="N694">
        <v>303.846</v>
      </c>
      <c r="O694" s="10">
        <v>184.66400000000002</v>
      </c>
      <c r="P694" s="10">
        <v>0.36465314665982113</v>
      </c>
      <c r="Q694" s="8">
        <v>506.41</v>
      </c>
      <c r="R694" t="s">
        <v>47</v>
      </c>
      <c r="T694" t="s">
        <v>2932</v>
      </c>
      <c r="U694">
        <v>0</v>
      </c>
      <c r="V694" t="str">
        <f>IF(CleanedTable[[#This Row],[Returned]] = 0,"NO","Yes")</f>
        <v>NO</v>
      </c>
      <c r="W694" t="s">
        <v>743</v>
      </c>
      <c r="X694" t="s">
        <v>2215</v>
      </c>
      <c r="Y694" s="10">
        <v>17.899999999999999</v>
      </c>
      <c r="Z694" s="3">
        <v>45725</v>
      </c>
      <c r="AA694" s="3">
        <v>45733</v>
      </c>
      <c r="AB694" t="s">
        <v>2924</v>
      </c>
      <c r="AC694">
        <v>8</v>
      </c>
    </row>
    <row r="695" spans="1:29" x14ac:dyDescent="0.3">
      <c r="A695" s="3">
        <v>45344</v>
      </c>
      <c r="B695" s="3" t="str">
        <f>TEXT(CleanedTable[[#This Row],[OrderDate]],"mmm")</f>
        <v>Feb</v>
      </c>
      <c r="C695" s="3" t="str">
        <f>TEXT(CleanedTable[[#This Row],[OrderDate]],"yyyy")</f>
        <v>2024</v>
      </c>
      <c r="D695" s="3" t="str">
        <f>TEXT(CleanedTable[[#This Row],[OrderDate]],"mmm yyyy")</f>
        <v>Feb 2024</v>
      </c>
      <c r="E695" t="s">
        <v>23</v>
      </c>
      <c r="F695" t="s">
        <v>29</v>
      </c>
      <c r="G695" s="12">
        <v>6</v>
      </c>
      <c r="H695" s="8">
        <v>345.9</v>
      </c>
      <c r="I695" t="s">
        <v>31</v>
      </c>
      <c r="J695" t="s">
        <v>36</v>
      </c>
      <c r="K695" s="10">
        <v>0.15</v>
      </c>
      <c r="L695" t="s">
        <v>39</v>
      </c>
      <c r="M695">
        <v>1764.0899999999997</v>
      </c>
      <c r="N695">
        <v>1245.24</v>
      </c>
      <c r="O695" s="10">
        <v>488.2699999999997</v>
      </c>
      <c r="P695" s="10">
        <v>0.27678293057610426</v>
      </c>
      <c r="Q695" s="8">
        <v>1764.09</v>
      </c>
      <c r="R695" t="s">
        <v>45</v>
      </c>
      <c r="S695" t="s">
        <v>50</v>
      </c>
      <c r="T695" t="s">
        <v>2931</v>
      </c>
      <c r="U695">
        <v>0</v>
      </c>
      <c r="V695" t="str">
        <f>IF(CleanedTable[[#This Row],[Returned]] = 0,"NO","Yes")</f>
        <v>NO</v>
      </c>
      <c r="W695" t="s">
        <v>744</v>
      </c>
      <c r="X695" t="s">
        <v>2216</v>
      </c>
      <c r="Y695" s="10">
        <v>30.58</v>
      </c>
      <c r="Z695" s="3">
        <v>45344</v>
      </c>
      <c r="AA695" s="3">
        <v>45354</v>
      </c>
      <c r="AB695" t="s">
        <v>2926</v>
      </c>
      <c r="AC695">
        <v>10</v>
      </c>
    </row>
    <row r="696" spans="1:29" x14ac:dyDescent="0.3">
      <c r="A696" s="3">
        <v>45691</v>
      </c>
      <c r="B696" s="3" t="str">
        <f>TEXT(CleanedTable[[#This Row],[OrderDate]],"mmm")</f>
        <v>Feb</v>
      </c>
      <c r="C696" s="3" t="str">
        <f>TEXT(CleanedTable[[#This Row],[OrderDate]],"yyyy")</f>
        <v>2025</v>
      </c>
      <c r="D696" s="3" t="str">
        <f>TEXT(CleanedTable[[#This Row],[OrderDate]],"mmm yyyy")</f>
        <v>Feb 2025</v>
      </c>
      <c r="E696" t="s">
        <v>19</v>
      </c>
      <c r="F696" t="s">
        <v>29</v>
      </c>
      <c r="G696" s="12">
        <v>15</v>
      </c>
      <c r="H696" s="8">
        <v>342.04</v>
      </c>
      <c r="I696" t="s">
        <v>33</v>
      </c>
      <c r="J696" t="s">
        <v>36</v>
      </c>
      <c r="K696" s="10">
        <v>0.15</v>
      </c>
      <c r="L696" t="s">
        <v>41</v>
      </c>
      <c r="M696">
        <v>4361.01</v>
      </c>
      <c r="N696">
        <v>3078.36</v>
      </c>
      <c r="O696" s="10">
        <v>1237.74</v>
      </c>
      <c r="P696" s="10">
        <v>0.28381957390604468</v>
      </c>
      <c r="Q696" s="8">
        <v>4361.01</v>
      </c>
      <c r="R696" t="s">
        <v>44</v>
      </c>
      <c r="S696" t="s">
        <v>50</v>
      </c>
      <c r="T696" t="s">
        <v>2931</v>
      </c>
      <c r="U696">
        <v>0</v>
      </c>
      <c r="V696" t="str">
        <f>IF(CleanedTable[[#This Row],[Returned]] = 0,"NO","Yes")</f>
        <v>NO</v>
      </c>
      <c r="W696" t="s">
        <v>745</v>
      </c>
      <c r="X696" t="s">
        <v>2217</v>
      </c>
      <c r="Y696" s="10">
        <v>44.91</v>
      </c>
      <c r="Z696" s="3">
        <v>45691</v>
      </c>
      <c r="AA696" s="3">
        <v>45696</v>
      </c>
      <c r="AB696" t="s">
        <v>2922</v>
      </c>
      <c r="AC696">
        <v>5</v>
      </c>
    </row>
    <row r="697" spans="1:29" x14ac:dyDescent="0.3">
      <c r="A697" s="3">
        <v>45300</v>
      </c>
      <c r="B697" s="3" t="str">
        <f>TEXT(CleanedTable[[#This Row],[OrderDate]],"mmm")</f>
        <v>Jan</v>
      </c>
      <c r="C697" s="3" t="str">
        <f>TEXT(CleanedTable[[#This Row],[OrderDate]],"yyyy")</f>
        <v>2024</v>
      </c>
      <c r="D697" s="3" t="str">
        <f>TEXT(CleanedTable[[#This Row],[OrderDate]],"mmm yyyy")</f>
        <v>Jan 2024</v>
      </c>
      <c r="E697" t="s">
        <v>22</v>
      </c>
      <c r="F697" t="s">
        <v>30</v>
      </c>
      <c r="G697" s="12">
        <v>11</v>
      </c>
      <c r="H697" s="8">
        <v>404.88</v>
      </c>
      <c r="I697" t="s">
        <v>32</v>
      </c>
      <c r="J697" t="s">
        <v>35</v>
      </c>
      <c r="K697" s="10">
        <v>0.05</v>
      </c>
      <c r="L697" t="s">
        <v>38</v>
      </c>
      <c r="M697">
        <v>4230.9960000000001</v>
      </c>
      <c r="N697">
        <v>2672.2080000000001</v>
      </c>
      <c r="O697" s="10">
        <v>1539.8679999999999</v>
      </c>
      <c r="P697" s="10">
        <v>0.36394929231793172</v>
      </c>
      <c r="Q697" s="8">
        <v>4230.9960000000001</v>
      </c>
      <c r="R697" t="s">
        <v>44</v>
      </c>
      <c r="S697" t="s">
        <v>49</v>
      </c>
      <c r="T697" t="s">
        <v>2931</v>
      </c>
      <c r="U697">
        <v>0</v>
      </c>
      <c r="V697" t="str">
        <f>IF(CleanedTable[[#This Row],[Returned]] = 0,"NO","Yes")</f>
        <v>NO</v>
      </c>
      <c r="W697" t="s">
        <v>746</v>
      </c>
      <c r="X697" t="s">
        <v>2218</v>
      </c>
      <c r="Y697" s="10">
        <v>18.920000000000002</v>
      </c>
      <c r="Z697" s="3">
        <v>45300</v>
      </c>
      <c r="AA697" s="3">
        <v>45307</v>
      </c>
      <c r="AB697" t="s">
        <v>2925</v>
      </c>
      <c r="AC697">
        <v>7</v>
      </c>
    </row>
    <row r="698" spans="1:29" x14ac:dyDescent="0.3">
      <c r="A698" s="3">
        <v>45782</v>
      </c>
      <c r="B698" s="3" t="str">
        <f>TEXT(CleanedTable[[#This Row],[OrderDate]],"mmm")</f>
        <v>May</v>
      </c>
      <c r="C698" s="3" t="str">
        <f>TEXT(CleanedTable[[#This Row],[OrderDate]],"yyyy")</f>
        <v>2025</v>
      </c>
      <c r="D698" s="3" t="str">
        <f>TEXT(CleanedTable[[#This Row],[OrderDate]],"mmm yyyy")</f>
        <v>May 2025</v>
      </c>
      <c r="E698" t="s">
        <v>21</v>
      </c>
      <c r="F698" t="s">
        <v>26</v>
      </c>
      <c r="G698" s="12">
        <v>9</v>
      </c>
      <c r="H698" s="8">
        <v>292.45999999999998</v>
      </c>
      <c r="I698" t="s">
        <v>32</v>
      </c>
      <c r="J698" t="s">
        <v>35</v>
      </c>
      <c r="K698" s="10">
        <v>0.05</v>
      </c>
      <c r="L698" t="s">
        <v>40</v>
      </c>
      <c r="M698">
        <v>2500.5329999999999</v>
      </c>
      <c r="N698">
        <v>1579.2839999999997</v>
      </c>
      <c r="O698" s="10">
        <v>886.98900000000026</v>
      </c>
      <c r="P698" s="10">
        <v>0.35471997370160696</v>
      </c>
      <c r="Q698" s="8">
        <v>2500.5329999999999</v>
      </c>
      <c r="R698" t="s">
        <v>45</v>
      </c>
      <c r="T698" t="s">
        <v>2932</v>
      </c>
      <c r="U698">
        <v>0</v>
      </c>
      <c r="V698" t="str">
        <f>IF(CleanedTable[[#This Row],[Returned]] = 0,"NO","Yes")</f>
        <v>NO</v>
      </c>
      <c r="W698" t="s">
        <v>747</v>
      </c>
      <c r="X698" t="s">
        <v>2219</v>
      </c>
      <c r="Y698" s="10">
        <v>34.26</v>
      </c>
      <c r="Z698" s="3">
        <v>45782</v>
      </c>
      <c r="AA698" s="3">
        <v>45791</v>
      </c>
      <c r="AB698" t="s">
        <v>2924</v>
      </c>
      <c r="AC698">
        <v>9</v>
      </c>
    </row>
    <row r="699" spans="1:29" x14ac:dyDescent="0.3">
      <c r="A699" s="3">
        <v>45033</v>
      </c>
      <c r="B699" s="3" t="str">
        <f>TEXT(CleanedTable[[#This Row],[OrderDate]],"mmm")</f>
        <v>Apr</v>
      </c>
      <c r="C699" s="3" t="str">
        <f>TEXT(CleanedTable[[#This Row],[OrderDate]],"yyyy")</f>
        <v>2023</v>
      </c>
      <c r="D699" s="3" t="str">
        <f>TEXT(CleanedTable[[#This Row],[OrderDate]],"mmm yyyy")</f>
        <v>Apr 2023</v>
      </c>
      <c r="E699" t="s">
        <v>22</v>
      </c>
      <c r="F699" t="s">
        <v>26</v>
      </c>
      <c r="G699" s="12">
        <v>5</v>
      </c>
      <c r="H699" s="8">
        <v>547.53</v>
      </c>
      <c r="I699" t="s">
        <v>32</v>
      </c>
      <c r="J699" t="s">
        <v>36</v>
      </c>
      <c r="K699" s="10">
        <v>0.1</v>
      </c>
      <c r="L699" t="s">
        <v>37</v>
      </c>
      <c r="M699">
        <v>2463.8849999999998</v>
      </c>
      <c r="N699">
        <v>1642.59</v>
      </c>
      <c r="O699" s="10">
        <v>796.6149999999999</v>
      </c>
      <c r="P699" s="10">
        <v>0.32331663206683753</v>
      </c>
      <c r="Q699" s="8">
        <v>2463.8850000000002</v>
      </c>
      <c r="R699" t="s">
        <v>46</v>
      </c>
      <c r="T699" t="s">
        <v>2932</v>
      </c>
      <c r="U699">
        <v>0</v>
      </c>
      <c r="V699" t="str">
        <f>IF(CleanedTable[[#This Row],[Returned]] = 0,"NO","Yes")</f>
        <v>NO</v>
      </c>
      <c r="W699" t="s">
        <v>748</v>
      </c>
      <c r="X699" t="s">
        <v>2220</v>
      </c>
      <c r="Y699" s="10">
        <v>24.68</v>
      </c>
      <c r="Z699" s="3">
        <v>45033</v>
      </c>
      <c r="AA699" s="3">
        <v>45037</v>
      </c>
      <c r="AB699" t="s">
        <v>2925</v>
      </c>
      <c r="AC699">
        <v>4</v>
      </c>
    </row>
    <row r="700" spans="1:29" x14ac:dyDescent="0.3">
      <c r="A700" s="3">
        <v>45459</v>
      </c>
      <c r="B700" s="3" t="str">
        <f>TEXT(CleanedTable[[#This Row],[OrderDate]],"mmm")</f>
        <v>Jun</v>
      </c>
      <c r="C700" s="3" t="str">
        <f>TEXT(CleanedTable[[#This Row],[OrderDate]],"yyyy")</f>
        <v>2024</v>
      </c>
      <c r="D700" s="3" t="str">
        <f>TEXT(CleanedTable[[#This Row],[OrderDate]],"mmm yyyy")</f>
        <v>Jun 2024</v>
      </c>
      <c r="E700" t="s">
        <v>20</v>
      </c>
      <c r="F700" t="s">
        <v>26</v>
      </c>
      <c r="G700" s="12">
        <v>12</v>
      </c>
      <c r="H700" s="8">
        <v>348.88</v>
      </c>
      <c r="I700" t="s">
        <v>33</v>
      </c>
      <c r="J700" t="s">
        <v>35</v>
      </c>
      <c r="K700" s="10">
        <v>0</v>
      </c>
      <c r="L700" t="s">
        <v>38</v>
      </c>
      <c r="M700">
        <v>4186.5599999999995</v>
      </c>
      <c r="N700">
        <v>2511.9360000000001</v>
      </c>
      <c r="O700" s="10">
        <v>1643.3439999999994</v>
      </c>
      <c r="P700" s="10">
        <v>0.39252847206298241</v>
      </c>
      <c r="Q700" s="8">
        <v>4186.5599999999986</v>
      </c>
      <c r="R700" t="s">
        <v>45</v>
      </c>
      <c r="S700" t="s">
        <v>49</v>
      </c>
      <c r="T700" t="s">
        <v>2931</v>
      </c>
      <c r="U700">
        <v>0</v>
      </c>
      <c r="V700" t="str">
        <f>IF(CleanedTable[[#This Row],[Returned]] = 0,"NO","Yes")</f>
        <v>NO</v>
      </c>
      <c r="W700" t="s">
        <v>749</v>
      </c>
      <c r="X700" t="s">
        <v>2221</v>
      </c>
      <c r="Y700" s="10">
        <v>31.28</v>
      </c>
      <c r="Z700" s="3">
        <v>45459</v>
      </c>
      <c r="AA700" s="3">
        <v>45464</v>
      </c>
      <c r="AB700" t="s">
        <v>2923</v>
      </c>
      <c r="AC700">
        <v>5</v>
      </c>
    </row>
    <row r="701" spans="1:29" x14ac:dyDescent="0.3">
      <c r="A701" s="3">
        <v>45597</v>
      </c>
      <c r="B701" s="3" t="str">
        <f>TEXT(CleanedTable[[#This Row],[OrderDate]],"mmm")</f>
        <v>Nov</v>
      </c>
      <c r="C701" s="3" t="str">
        <f>TEXT(CleanedTable[[#This Row],[OrderDate]],"yyyy")</f>
        <v>2024</v>
      </c>
      <c r="D701" s="3" t="str">
        <f>TEXT(CleanedTable[[#This Row],[OrderDate]],"mmm yyyy")</f>
        <v>Nov 2024</v>
      </c>
      <c r="E701" t="s">
        <v>20</v>
      </c>
      <c r="F701" t="s">
        <v>25</v>
      </c>
      <c r="G701" s="12">
        <v>15</v>
      </c>
      <c r="H701" s="8">
        <v>486.03</v>
      </c>
      <c r="I701" t="s">
        <v>33</v>
      </c>
      <c r="J701" t="s">
        <v>35</v>
      </c>
      <c r="K701" s="10">
        <v>0</v>
      </c>
      <c r="L701" t="s">
        <v>38</v>
      </c>
      <c r="M701">
        <v>7290.45</v>
      </c>
      <c r="N701">
        <v>4374.2699999999995</v>
      </c>
      <c r="O701" s="10">
        <v>2901.28</v>
      </c>
      <c r="P701" s="10">
        <v>0.39795623041101719</v>
      </c>
      <c r="Q701" s="8">
        <v>7290.45</v>
      </c>
      <c r="R701" t="s">
        <v>46</v>
      </c>
      <c r="S701" t="s">
        <v>50</v>
      </c>
      <c r="T701" t="s">
        <v>2931</v>
      </c>
      <c r="U701">
        <v>0</v>
      </c>
      <c r="V701" t="str">
        <f>IF(CleanedTable[[#This Row],[Returned]] = 0,"NO","Yes")</f>
        <v>NO</v>
      </c>
      <c r="W701" t="s">
        <v>750</v>
      </c>
      <c r="X701" t="s">
        <v>2222</v>
      </c>
      <c r="Y701" s="10">
        <v>14.9</v>
      </c>
      <c r="Z701" s="3">
        <v>45597</v>
      </c>
      <c r="AA701" s="3">
        <v>45600</v>
      </c>
      <c r="AB701" t="s">
        <v>2923</v>
      </c>
      <c r="AC701">
        <v>3</v>
      </c>
    </row>
    <row r="702" spans="1:29" x14ac:dyDescent="0.3">
      <c r="A702" s="3">
        <v>45695</v>
      </c>
      <c r="B702" s="3" t="str">
        <f>TEXT(CleanedTable[[#This Row],[OrderDate]],"mmm")</f>
        <v>Feb</v>
      </c>
      <c r="C702" s="3" t="str">
        <f>TEXT(CleanedTable[[#This Row],[OrderDate]],"yyyy")</f>
        <v>2025</v>
      </c>
      <c r="D702" s="3" t="str">
        <f>TEXT(CleanedTable[[#This Row],[OrderDate]],"mmm yyyy")</f>
        <v>Feb 2025</v>
      </c>
      <c r="E702" t="s">
        <v>19</v>
      </c>
      <c r="F702" t="s">
        <v>29</v>
      </c>
      <c r="G702" s="12">
        <v>14</v>
      </c>
      <c r="H702" s="8">
        <v>159.09</v>
      </c>
      <c r="I702" t="s">
        <v>33</v>
      </c>
      <c r="J702" t="s">
        <v>36</v>
      </c>
      <c r="K702" s="10">
        <v>0.15</v>
      </c>
      <c r="L702" t="s">
        <v>42</v>
      </c>
      <c r="M702">
        <v>1893.171</v>
      </c>
      <c r="N702">
        <v>1336.356</v>
      </c>
      <c r="O702" s="10">
        <v>529.7650000000001</v>
      </c>
      <c r="P702" s="10">
        <v>0.27982945016588573</v>
      </c>
      <c r="Q702" s="8">
        <v>1893.171</v>
      </c>
      <c r="R702" t="s">
        <v>46</v>
      </c>
      <c r="S702" t="s">
        <v>48</v>
      </c>
      <c r="T702" t="s">
        <v>2931</v>
      </c>
      <c r="U702">
        <v>0</v>
      </c>
      <c r="V702" t="str">
        <f>IF(CleanedTable[[#This Row],[Returned]] = 0,"NO","Yes")</f>
        <v>NO</v>
      </c>
      <c r="W702" t="s">
        <v>751</v>
      </c>
      <c r="X702" t="s">
        <v>2223</v>
      </c>
      <c r="Y702" s="10">
        <v>27.05</v>
      </c>
      <c r="Z702" s="3">
        <v>45695</v>
      </c>
      <c r="AA702" s="3">
        <v>45698</v>
      </c>
      <c r="AB702" t="s">
        <v>2922</v>
      </c>
      <c r="AC702">
        <v>3</v>
      </c>
    </row>
    <row r="703" spans="1:29" x14ac:dyDescent="0.3">
      <c r="A703" s="3">
        <v>45620</v>
      </c>
      <c r="B703" s="3" t="str">
        <f>TEXT(CleanedTable[[#This Row],[OrderDate]],"mmm")</f>
        <v>Nov</v>
      </c>
      <c r="C703" s="3" t="str">
        <f>TEXT(CleanedTable[[#This Row],[OrderDate]],"yyyy")</f>
        <v>2024</v>
      </c>
      <c r="D703" s="3" t="str">
        <f>TEXT(CleanedTable[[#This Row],[OrderDate]],"mmm yyyy")</f>
        <v>Nov 2024</v>
      </c>
      <c r="E703" t="s">
        <v>20</v>
      </c>
      <c r="F703" t="s">
        <v>28</v>
      </c>
      <c r="G703" s="12">
        <v>12</v>
      </c>
      <c r="H703" s="8">
        <v>173.79</v>
      </c>
      <c r="I703" t="s">
        <v>34</v>
      </c>
      <c r="J703" t="s">
        <v>36</v>
      </c>
      <c r="K703" s="10">
        <v>0.15</v>
      </c>
      <c r="L703" t="s">
        <v>37</v>
      </c>
      <c r="M703">
        <v>1772.6579999999999</v>
      </c>
      <c r="N703">
        <v>1251.2879999999998</v>
      </c>
      <c r="O703" s="10">
        <v>500.1400000000001</v>
      </c>
      <c r="P703" s="10">
        <v>0.28214128162341529</v>
      </c>
      <c r="Q703" s="8">
        <v>1772.6579999999999</v>
      </c>
      <c r="R703" t="s">
        <v>45</v>
      </c>
      <c r="T703" t="s">
        <v>2932</v>
      </c>
      <c r="U703">
        <v>0</v>
      </c>
      <c r="V703" t="str">
        <f>IF(CleanedTable[[#This Row],[Returned]] = 0,"NO","Yes")</f>
        <v>NO</v>
      </c>
      <c r="W703" t="s">
        <v>752</v>
      </c>
      <c r="X703" t="s">
        <v>2224</v>
      </c>
      <c r="Y703" s="10">
        <v>21.23</v>
      </c>
      <c r="Z703" s="3">
        <v>45620</v>
      </c>
      <c r="AA703" s="3">
        <v>45630</v>
      </c>
      <c r="AB703" t="s">
        <v>2923</v>
      </c>
      <c r="AC703">
        <v>10</v>
      </c>
    </row>
    <row r="704" spans="1:29" x14ac:dyDescent="0.3">
      <c r="A704" s="3">
        <v>45405</v>
      </c>
      <c r="B704" s="3" t="str">
        <f>TEXT(CleanedTable[[#This Row],[OrderDate]],"mmm")</f>
        <v>Apr</v>
      </c>
      <c r="C704" s="3" t="str">
        <f>TEXT(CleanedTable[[#This Row],[OrderDate]],"yyyy")</f>
        <v>2024</v>
      </c>
      <c r="D704" s="3" t="str">
        <f>TEXT(CleanedTable[[#This Row],[OrderDate]],"mmm yyyy")</f>
        <v>Apr 2024</v>
      </c>
      <c r="E704" t="s">
        <v>22</v>
      </c>
      <c r="F704" t="s">
        <v>28</v>
      </c>
      <c r="G704" s="12">
        <v>13</v>
      </c>
      <c r="H704" s="8">
        <v>439.75</v>
      </c>
      <c r="I704" t="s">
        <v>32</v>
      </c>
      <c r="J704" t="s">
        <v>35</v>
      </c>
      <c r="K704" s="10">
        <v>0</v>
      </c>
      <c r="L704" t="s">
        <v>39</v>
      </c>
      <c r="M704">
        <v>5716.75</v>
      </c>
      <c r="N704">
        <v>3430.0499999999997</v>
      </c>
      <c r="O704" s="10">
        <v>2274.4700000000003</v>
      </c>
      <c r="P704" s="10">
        <v>0.39786067258494778</v>
      </c>
      <c r="Q704" s="8">
        <v>5716.75</v>
      </c>
      <c r="R704" t="s">
        <v>43</v>
      </c>
      <c r="T704" t="s">
        <v>2932</v>
      </c>
      <c r="U704">
        <v>1</v>
      </c>
      <c r="V704" t="str">
        <f>IF(CleanedTable[[#This Row],[Returned]] = 0,"NO","Yes")</f>
        <v>Yes</v>
      </c>
      <c r="W704" t="s">
        <v>753</v>
      </c>
      <c r="X704" t="s">
        <v>1848</v>
      </c>
      <c r="Y704" s="10">
        <v>12.23</v>
      </c>
      <c r="Z704" s="3">
        <v>45405</v>
      </c>
      <c r="AA704" s="3">
        <v>45414</v>
      </c>
      <c r="AB704" t="s">
        <v>2925</v>
      </c>
      <c r="AC704">
        <v>9</v>
      </c>
    </row>
    <row r="705" spans="1:29" x14ac:dyDescent="0.3">
      <c r="A705" s="3">
        <v>45467</v>
      </c>
      <c r="B705" s="3" t="str">
        <f>TEXT(CleanedTable[[#This Row],[OrderDate]],"mmm")</f>
        <v>Jun</v>
      </c>
      <c r="C705" s="3" t="str">
        <f>TEXT(CleanedTable[[#This Row],[OrderDate]],"yyyy")</f>
        <v>2024</v>
      </c>
      <c r="D705" s="3" t="str">
        <f>TEXT(CleanedTable[[#This Row],[OrderDate]],"mmm yyyy")</f>
        <v>Jun 2024</v>
      </c>
      <c r="E705" t="s">
        <v>19</v>
      </c>
      <c r="F705" t="s">
        <v>24</v>
      </c>
      <c r="G705" s="12">
        <v>9</v>
      </c>
      <c r="H705" s="8">
        <v>265.43</v>
      </c>
      <c r="I705" t="s">
        <v>34</v>
      </c>
      <c r="J705" t="s">
        <v>35</v>
      </c>
      <c r="K705" s="10">
        <v>0.05</v>
      </c>
      <c r="L705" t="s">
        <v>37</v>
      </c>
      <c r="M705">
        <v>2269.4264999999996</v>
      </c>
      <c r="N705">
        <v>1433.3220000000001</v>
      </c>
      <c r="O705" s="10">
        <v>795.92449999999951</v>
      </c>
      <c r="P705" s="10">
        <v>0.35071613907742755</v>
      </c>
      <c r="Q705" s="8">
        <v>2269.4265</v>
      </c>
      <c r="R705" t="s">
        <v>45</v>
      </c>
      <c r="S705" t="s">
        <v>48</v>
      </c>
      <c r="T705" t="s">
        <v>2931</v>
      </c>
      <c r="U705">
        <v>0</v>
      </c>
      <c r="V705" t="str">
        <f>IF(CleanedTable[[#This Row],[Returned]] = 0,"NO","Yes")</f>
        <v>NO</v>
      </c>
      <c r="W705" t="s">
        <v>754</v>
      </c>
      <c r="X705" t="s">
        <v>2225</v>
      </c>
      <c r="Y705" s="10">
        <v>40.18</v>
      </c>
      <c r="Z705" s="3">
        <v>45467</v>
      </c>
      <c r="AA705" s="3">
        <v>45470</v>
      </c>
      <c r="AB705" t="s">
        <v>2922</v>
      </c>
      <c r="AC705">
        <v>3</v>
      </c>
    </row>
    <row r="706" spans="1:29" x14ac:dyDescent="0.3">
      <c r="A706" s="3">
        <v>45809</v>
      </c>
      <c r="B706" s="3" t="str">
        <f>TEXT(CleanedTable[[#This Row],[OrderDate]],"mmm")</f>
        <v>Jun</v>
      </c>
      <c r="C706" s="3" t="str">
        <f>TEXT(CleanedTable[[#This Row],[OrderDate]],"yyyy")</f>
        <v>2025</v>
      </c>
      <c r="D706" s="3" t="str">
        <f>TEXT(CleanedTable[[#This Row],[OrderDate]],"mmm yyyy")</f>
        <v>Jun 2025</v>
      </c>
      <c r="E706" t="s">
        <v>23</v>
      </c>
      <c r="F706" t="s">
        <v>28</v>
      </c>
      <c r="G706" s="12">
        <v>12</v>
      </c>
      <c r="H706" s="8">
        <v>290.27999999999997</v>
      </c>
      <c r="I706" t="s">
        <v>31</v>
      </c>
      <c r="J706" t="s">
        <v>36</v>
      </c>
      <c r="K706" s="10">
        <v>0.1</v>
      </c>
      <c r="L706" t="s">
        <v>40</v>
      </c>
      <c r="M706">
        <v>3135.0239999999999</v>
      </c>
      <c r="N706">
        <v>2090.0159999999996</v>
      </c>
      <c r="O706" s="10">
        <v>1039.4580000000003</v>
      </c>
      <c r="P706" s="10">
        <v>0.3315630119578033</v>
      </c>
      <c r="Q706" s="8">
        <v>3135.0239999999999</v>
      </c>
      <c r="R706" t="s">
        <v>47</v>
      </c>
      <c r="S706" t="s">
        <v>48</v>
      </c>
      <c r="T706" t="s">
        <v>2931</v>
      </c>
      <c r="U706">
        <v>1</v>
      </c>
      <c r="V706" t="str">
        <f>IF(CleanedTable[[#This Row],[Returned]] = 0,"NO","Yes")</f>
        <v>Yes</v>
      </c>
      <c r="W706" t="s">
        <v>755</v>
      </c>
      <c r="X706" t="s">
        <v>2226</v>
      </c>
      <c r="Y706" s="10">
        <v>5.55</v>
      </c>
      <c r="Z706" s="3">
        <v>45809</v>
      </c>
      <c r="AA706" s="3">
        <v>45815</v>
      </c>
      <c r="AB706" t="s">
        <v>2926</v>
      </c>
      <c r="AC706">
        <v>6</v>
      </c>
    </row>
    <row r="707" spans="1:29" x14ac:dyDescent="0.3">
      <c r="A707" s="3">
        <v>44997</v>
      </c>
      <c r="B707" s="3" t="str">
        <f>TEXT(CleanedTable[[#This Row],[OrderDate]],"mmm")</f>
        <v>Mar</v>
      </c>
      <c r="C707" s="3" t="str">
        <f>TEXT(CleanedTable[[#This Row],[OrderDate]],"yyyy")</f>
        <v>2023</v>
      </c>
      <c r="D707" s="3" t="str">
        <f>TEXT(CleanedTable[[#This Row],[OrderDate]],"mmm yyyy")</f>
        <v>Mar 2023</v>
      </c>
      <c r="E707" t="s">
        <v>23</v>
      </c>
      <c r="F707" t="s">
        <v>29</v>
      </c>
      <c r="G707" s="12">
        <v>6</v>
      </c>
      <c r="H707" s="8">
        <v>88.7</v>
      </c>
      <c r="I707" t="s">
        <v>31</v>
      </c>
      <c r="J707" t="s">
        <v>35</v>
      </c>
      <c r="K707" s="10">
        <v>0</v>
      </c>
      <c r="L707" t="s">
        <v>40</v>
      </c>
      <c r="M707">
        <v>532.20000000000005</v>
      </c>
      <c r="N707">
        <v>319.32</v>
      </c>
      <c r="O707" s="10">
        <v>195.90000000000006</v>
      </c>
      <c r="P707" s="10">
        <v>0.36809470124013538</v>
      </c>
      <c r="Q707" s="8">
        <v>532.20000000000005</v>
      </c>
      <c r="R707" t="s">
        <v>44</v>
      </c>
      <c r="T707" t="s">
        <v>2932</v>
      </c>
      <c r="U707">
        <v>0</v>
      </c>
      <c r="V707" t="str">
        <f>IF(CleanedTable[[#This Row],[Returned]] = 0,"NO","Yes")</f>
        <v>NO</v>
      </c>
      <c r="W707" t="s">
        <v>756</v>
      </c>
      <c r="X707" t="s">
        <v>2227</v>
      </c>
      <c r="Y707" s="10">
        <v>16.98</v>
      </c>
      <c r="Z707" s="3">
        <v>44997</v>
      </c>
      <c r="AA707" s="3">
        <v>44999</v>
      </c>
      <c r="AB707" t="s">
        <v>2926</v>
      </c>
      <c r="AC707">
        <v>2</v>
      </c>
    </row>
    <row r="708" spans="1:29" x14ac:dyDescent="0.3">
      <c r="A708" s="3">
        <v>45607</v>
      </c>
      <c r="B708" s="3" t="str">
        <f>TEXT(CleanedTable[[#This Row],[OrderDate]],"mmm")</f>
        <v>Nov</v>
      </c>
      <c r="C708" s="3" t="str">
        <f>TEXT(CleanedTable[[#This Row],[OrderDate]],"yyyy")</f>
        <v>2024</v>
      </c>
      <c r="D708" s="3" t="str">
        <f>TEXT(CleanedTable[[#This Row],[OrderDate]],"mmm yyyy")</f>
        <v>Nov 2024</v>
      </c>
      <c r="E708" t="s">
        <v>22</v>
      </c>
      <c r="F708" t="s">
        <v>26</v>
      </c>
      <c r="G708" s="12">
        <v>2</v>
      </c>
      <c r="H708" s="8">
        <v>239.69</v>
      </c>
      <c r="I708" t="s">
        <v>33</v>
      </c>
      <c r="J708" t="s">
        <v>36</v>
      </c>
      <c r="K708" s="10">
        <v>0</v>
      </c>
      <c r="L708" t="s">
        <v>41</v>
      </c>
      <c r="M708">
        <v>479.38</v>
      </c>
      <c r="N708">
        <v>287.62799999999999</v>
      </c>
      <c r="O708" s="10">
        <v>162.792</v>
      </c>
      <c r="P708" s="10">
        <v>0.3395886353206225</v>
      </c>
      <c r="Q708" s="8">
        <v>479.38</v>
      </c>
      <c r="R708" t="s">
        <v>45</v>
      </c>
      <c r="S708" t="s">
        <v>50</v>
      </c>
      <c r="T708" t="s">
        <v>2931</v>
      </c>
      <c r="U708">
        <v>0</v>
      </c>
      <c r="V708" t="str">
        <f>IF(CleanedTable[[#This Row],[Returned]] = 0,"NO","Yes")</f>
        <v>NO</v>
      </c>
      <c r="W708" t="s">
        <v>757</v>
      </c>
      <c r="X708" t="s">
        <v>2228</v>
      </c>
      <c r="Y708" s="10">
        <v>28.96</v>
      </c>
      <c r="Z708" s="3">
        <v>45607</v>
      </c>
      <c r="AA708" s="3">
        <v>45615</v>
      </c>
      <c r="AB708" t="s">
        <v>2925</v>
      </c>
      <c r="AC708">
        <v>8</v>
      </c>
    </row>
    <row r="709" spans="1:29" x14ac:dyDescent="0.3">
      <c r="A709" s="3">
        <v>45582</v>
      </c>
      <c r="B709" s="3" t="str">
        <f>TEXT(CleanedTable[[#This Row],[OrderDate]],"mmm")</f>
        <v>Oct</v>
      </c>
      <c r="C709" s="3" t="str">
        <f>TEXT(CleanedTable[[#This Row],[OrderDate]],"yyyy")</f>
        <v>2024</v>
      </c>
      <c r="D709" s="3" t="str">
        <f>TEXT(CleanedTable[[#This Row],[OrderDate]],"mmm yyyy")</f>
        <v>Oct 2024</v>
      </c>
      <c r="E709" t="s">
        <v>22</v>
      </c>
      <c r="F709" t="s">
        <v>29</v>
      </c>
      <c r="G709" s="12">
        <v>8</v>
      </c>
      <c r="H709" s="8">
        <v>39.79</v>
      </c>
      <c r="I709" t="s">
        <v>33</v>
      </c>
      <c r="J709" t="s">
        <v>36</v>
      </c>
      <c r="K709" s="10">
        <v>0.1</v>
      </c>
      <c r="L709" t="s">
        <v>42</v>
      </c>
      <c r="M709">
        <v>286.488</v>
      </c>
      <c r="N709">
        <v>190.99199999999999</v>
      </c>
      <c r="O709" s="10">
        <v>49.336000000000013</v>
      </c>
      <c r="P709" s="10">
        <v>0.17220965625087267</v>
      </c>
      <c r="Q709" s="8">
        <v>286.488</v>
      </c>
      <c r="R709" t="s">
        <v>45</v>
      </c>
      <c r="S709" t="s">
        <v>49</v>
      </c>
      <c r="T709" t="s">
        <v>2931</v>
      </c>
      <c r="U709">
        <v>0</v>
      </c>
      <c r="V709" t="str">
        <f>IF(CleanedTable[[#This Row],[Returned]] = 0,"NO","Yes")</f>
        <v>NO</v>
      </c>
      <c r="W709" t="s">
        <v>758</v>
      </c>
      <c r="X709" t="s">
        <v>2229</v>
      </c>
      <c r="Y709" s="10">
        <v>46.16</v>
      </c>
      <c r="Z709" s="3">
        <v>45582</v>
      </c>
      <c r="AA709" s="3">
        <v>45591</v>
      </c>
      <c r="AB709" t="s">
        <v>2925</v>
      </c>
      <c r="AC709">
        <v>9</v>
      </c>
    </row>
    <row r="710" spans="1:29" x14ac:dyDescent="0.3">
      <c r="A710" s="3">
        <v>45056</v>
      </c>
      <c r="B710" s="3" t="str">
        <f>TEXT(CleanedTable[[#This Row],[OrderDate]],"mmm")</f>
        <v>May</v>
      </c>
      <c r="C710" s="3" t="str">
        <f>TEXT(CleanedTable[[#This Row],[OrderDate]],"yyyy")</f>
        <v>2023</v>
      </c>
      <c r="D710" s="3" t="str">
        <f>TEXT(CleanedTable[[#This Row],[OrderDate]],"mmm yyyy")</f>
        <v>May 2023</v>
      </c>
      <c r="E710" t="s">
        <v>19</v>
      </c>
      <c r="F710" t="s">
        <v>30</v>
      </c>
      <c r="G710" s="12">
        <v>18</v>
      </c>
      <c r="H710" s="8">
        <v>206.8</v>
      </c>
      <c r="I710" t="s">
        <v>32</v>
      </c>
      <c r="J710" t="s">
        <v>36</v>
      </c>
      <c r="K710" s="10">
        <v>0.05</v>
      </c>
      <c r="L710" t="s">
        <v>39</v>
      </c>
      <c r="M710">
        <v>3536.2799999999997</v>
      </c>
      <c r="N710">
        <v>2233.44</v>
      </c>
      <c r="O710" s="10">
        <v>1263.5899999999997</v>
      </c>
      <c r="P710" s="10">
        <v>0.35732181840804456</v>
      </c>
      <c r="Q710" s="8">
        <v>3536.28</v>
      </c>
      <c r="R710" t="s">
        <v>46</v>
      </c>
      <c r="S710" t="s">
        <v>48</v>
      </c>
      <c r="T710" t="s">
        <v>2931</v>
      </c>
      <c r="U710">
        <v>1</v>
      </c>
      <c r="V710" t="str">
        <f>IF(CleanedTable[[#This Row],[Returned]] = 0,"NO","Yes")</f>
        <v>Yes</v>
      </c>
      <c r="W710" t="s">
        <v>759</v>
      </c>
      <c r="X710" t="s">
        <v>2230</v>
      </c>
      <c r="Y710" s="10">
        <v>39.25</v>
      </c>
      <c r="Z710" s="3">
        <v>45056</v>
      </c>
      <c r="AA710" s="3">
        <v>45059</v>
      </c>
      <c r="AB710" t="s">
        <v>2922</v>
      </c>
      <c r="AC710">
        <v>3</v>
      </c>
    </row>
    <row r="711" spans="1:29" x14ac:dyDescent="0.3">
      <c r="A711" s="3">
        <v>45136</v>
      </c>
      <c r="B711" s="3" t="str">
        <f>TEXT(CleanedTable[[#This Row],[OrderDate]],"mmm")</f>
        <v>Jul</v>
      </c>
      <c r="C711" s="3" t="str">
        <f>TEXT(CleanedTable[[#This Row],[OrderDate]],"yyyy")</f>
        <v>2023</v>
      </c>
      <c r="D711" s="3" t="str">
        <f>TEXT(CleanedTable[[#This Row],[OrderDate]],"mmm yyyy")</f>
        <v>Jul 2023</v>
      </c>
      <c r="E711" t="s">
        <v>19</v>
      </c>
      <c r="F711" t="s">
        <v>24</v>
      </c>
      <c r="G711" s="12">
        <v>18</v>
      </c>
      <c r="H711" s="8">
        <v>175.81</v>
      </c>
      <c r="I711" t="s">
        <v>33</v>
      </c>
      <c r="J711" t="s">
        <v>36</v>
      </c>
      <c r="K711" s="10">
        <v>0</v>
      </c>
      <c r="L711" t="s">
        <v>37</v>
      </c>
      <c r="M711">
        <v>3164.58</v>
      </c>
      <c r="N711">
        <v>1898.748</v>
      </c>
      <c r="O711" s="10">
        <v>1238.8619999999999</v>
      </c>
      <c r="P711" s="10">
        <v>0.39147754204349389</v>
      </c>
      <c r="Q711" s="8">
        <v>3164.58</v>
      </c>
      <c r="R711" t="s">
        <v>44</v>
      </c>
      <c r="S711" t="s">
        <v>50</v>
      </c>
      <c r="T711" t="s">
        <v>2931</v>
      </c>
      <c r="U711">
        <v>1</v>
      </c>
      <c r="V711" t="str">
        <f>IF(CleanedTable[[#This Row],[Returned]] = 0,"NO","Yes")</f>
        <v>Yes</v>
      </c>
      <c r="W711" t="s">
        <v>760</v>
      </c>
      <c r="X711" t="s">
        <v>2231</v>
      </c>
      <c r="Y711" s="10">
        <v>26.97</v>
      </c>
      <c r="Z711" s="3">
        <v>45136</v>
      </c>
      <c r="AA711" s="3">
        <v>45145</v>
      </c>
      <c r="AB711" t="s">
        <v>2922</v>
      </c>
      <c r="AC711">
        <v>9</v>
      </c>
    </row>
    <row r="712" spans="1:29" x14ac:dyDescent="0.3">
      <c r="A712" s="3">
        <v>45164</v>
      </c>
      <c r="B712" s="3" t="str">
        <f>TEXT(CleanedTable[[#This Row],[OrderDate]],"mmm")</f>
        <v>Aug</v>
      </c>
      <c r="C712" s="3" t="str">
        <f>TEXT(CleanedTable[[#This Row],[OrderDate]],"yyyy")</f>
        <v>2023</v>
      </c>
      <c r="D712" s="3" t="str">
        <f>TEXT(CleanedTable[[#This Row],[OrderDate]],"mmm yyyy")</f>
        <v>Aug 2023</v>
      </c>
      <c r="E712" t="s">
        <v>22</v>
      </c>
      <c r="F712" t="s">
        <v>25</v>
      </c>
      <c r="G712" s="12">
        <v>14</v>
      </c>
      <c r="H712" s="8">
        <v>547.36</v>
      </c>
      <c r="I712" t="s">
        <v>33</v>
      </c>
      <c r="J712" t="s">
        <v>36</v>
      </c>
      <c r="K712" s="10">
        <v>0.15</v>
      </c>
      <c r="L712" t="s">
        <v>41</v>
      </c>
      <c r="M712">
        <v>6513.5839999999998</v>
      </c>
      <c r="N712">
        <v>4597.8239999999996</v>
      </c>
      <c r="O712" s="10">
        <v>1890.5200000000002</v>
      </c>
      <c r="P712" s="10">
        <v>0.2902426682453163</v>
      </c>
      <c r="Q712" s="8">
        <v>6513.5839999999998</v>
      </c>
      <c r="R712" t="s">
        <v>43</v>
      </c>
      <c r="S712" t="s">
        <v>48</v>
      </c>
      <c r="T712" t="s">
        <v>2931</v>
      </c>
      <c r="U712">
        <v>0</v>
      </c>
      <c r="V712" t="str">
        <f>IF(CleanedTable[[#This Row],[Returned]] = 0,"NO","Yes")</f>
        <v>NO</v>
      </c>
      <c r="W712" t="s">
        <v>761</v>
      </c>
      <c r="X712" t="s">
        <v>2232</v>
      </c>
      <c r="Y712" s="10">
        <v>25.24</v>
      </c>
      <c r="Z712" s="3">
        <v>45164</v>
      </c>
      <c r="AA712" s="3">
        <v>45167</v>
      </c>
      <c r="AB712" t="s">
        <v>2925</v>
      </c>
      <c r="AC712">
        <v>3</v>
      </c>
    </row>
    <row r="713" spans="1:29" x14ac:dyDescent="0.3">
      <c r="A713" s="3">
        <v>45288</v>
      </c>
      <c r="B713" s="3" t="str">
        <f>TEXT(CleanedTable[[#This Row],[OrderDate]],"mmm")</f>
        <v>Dec</v>
      </c>
      <c r="C713" s="3" t="str">
        <f>TEXT(CleanedTable[[#This Row],[OrderDate]],"yyyy")</f>
        <v>2023</v>
      </c>
      <c r="D713" s="3" t="str">
        <f>TEXT(CleanedTable[[#This Row],[OrderDate]],"mmm yyyy")</f>
        <v>Dec 2023</v>
      </c>
      <c r="E713" t="s">
        <v>19</v>
      </c>
      <c r="F713" t="s">
        <v>24</v>
      </c>
      <c r="G713" s="12">
        <v>19</v>
      </c>
      <c r="H713" s="8">
        <v>374.8</v>
      </c>
      <c r="I713" t="s">
        <v>32</v>
      </c>
      <c r="J713" t="s">
        <v>36</v>
      </c>
      <c r="K713" s="10">
        <v>0.05</v>
      </c>
      <c r="L713" t="s">
        <v>40</v>
      </c>
      <c r="M713">
        <v>6765.1399999999994</v>
      </c>
      <c r="N713">
        <v>4272.72</v>
      </c>
      <c r="O713" s="10">
        <v>2450.7499999999991</v>
      </c>
      <c r="P713" s="10">
        <v>0.36226153486845791</v>
      </c>
      <c r="Q713" s="8">
        <v>6765.1399999999994</v>
      </c>
      <c r="R713" t="s">
        <v>43</v>
      </c>
      <c r="S713" t="s">
        <v>50</v>
      </c>
      <c r="T713" t="s">
        <v>2931</v>
      </c>
      <c r="U713">
        <v>0</v>
      </c>
      <c r="V713" t="str">
        <f>IF(CleanedTable[[#This Row],[Returned]] = 0,"NO","Yes")</f>
        <v>NO</v>
      </c>
      <c r="W713" t="s">
        <v>762</v>
      </c>
      <c r="X713" t="s">
        <v>2233</v>
      </c>
      <c r="Y713" s="10">
        <v>41.67</v>
      </c>
      <c r="Z713" s="3">
        <v>45288</v>
      </c>
      <c r="AA713" s="3">
        <v>45294</v>
      </c>
      <c r="AB713" t="s">
        <v>2922</v>
      </c>
      <c r="AC713">
        <v>6</v>
      </c>
    </row>
    <row r="714" spans="1:29" x14ac:dyDescent="0.3">
      <c r="A714" s="3">
        <v>45726</v>
      </c>
      <c r="B714" s="3" t="str">
        <f>TEXT(CleanedTable[[#This Row],[OrderDate]],"mmm")</f>
        <v>Mar</v>
      </c>
      <c r="C714" s="3" t="str">
        <f>TEXT(CleanedTable[[#This Row],[OrderDate]],"yyyy")</f>
        <v>2025</v>
      </c>
      <c r="D714" s="3" t="str">
        <f>TEXT(CleanedTable[[#This Row],[OrderDate]],"mmm yyyy")</f>
        <v>Mar 2025</v>
      </c>
      <c r="E714" t="s">
        <v>21</v>
      </c>
      <c r="F714" t="s">
        <v>29</v>
      </c>
      <c r="G714" s="12">
        <v>9</v>
      </c>
      <c r="H714" s="8">
        <v>507.74</v>
      </c>
      <c r="I714" t="s">
        <v>34</v>
      </c>
      <c r="J714" t="s">
        <v>36</v>
      </c>
      <c r="K714" s="10">
        <v>0.15</v>
      </c>
      <c r="L714" t="s">
        <v>42</v>
      </c>
      <c r="M714">
        <v>3884.2109999999998</v>
      </c>
      <c r="N714">
        <v>2741.7960000000003</v>
      </c>
      <c r="O714" s="10">
        <v>1120.3349999999996</v>
      </c>
      <c r="P714" s="10">
        <v>0.28843309490653307</v>
      </c>
      <c r="Q714" s="8">
        <v>3884.2109999999998</v>
      </c>
      <c r="R714" t="s">
        <v>47</v>
      </c>
      <c r="S714" t="s">
        <v>48</v>
      </c>
      <c r="T714" t="s">
        <v>2931</v>
      </c>
      <c r="U714">
        <v>1</v>
      </c>
      <c r="V714" t="str">
        <f>IF(CleanedTable[[#This Row],[Returned]] = 0,"NO","Yes")</f>
        <v>Yes</v>
      </c>
      <c r="W714" t="s">
        <v>763</v>
      </c>
      <c r="X714" t="s">
        <v>2234</v>
      </c>
      <c r="Y714" s="10">
        <v>22.08</v>
      </c>
      <c r="Z714" s="3">
        <v>45726</v>
      </c>
      <c r="AA714" s="3">
        <v>45733</v>
      </c>
      <c r="AB714" t="s">
        <v>2924</v>
      </c>
      <c r="AC714">
        <v>7</v>
      </c>
    </row>
    <row r="715" spans="1:29" x14ac:dyDescent="0.3">
      <c r="A715" s="3">
        <v>45178</v>
      </c>
      <c r="B715" s="3" t="str">
        <f>TEXT(CleanedTable[[#This Row],[OrderDate]],"mmm")</f>
        <v>Sep</v>
      </c>
      <c r="C715" s="3" t="str">
        <f>TEXT(CleanedTable[[#This Row],[OrderDate]],"yyyy")</f>
        <v>2023</v>
      </c>
      <c r="D715" s="3" t="str">
        <f>TEXT(CleanedTable[[#This Row],[OrderDate]],"mmm yyyy")</f>
        <v>Sep 2023</v>
      </c>
      <c r="E715" t="s">
        <v>22</v>
      </c>
      <c r="F715" t="s">
        <v>26</v>
      </c>
      <c r="G715" s="12">
        <v>1</v>
      </c>
      <c r="H715" s="8">
        <v>223.56</v>
      </c>
      <c r="I715" t="s">
        <v>31</v>
      </c>
      <c r="J715" t="s">
        <v>35</v>
      </c>
      <c r="K715" s="10">
        <v>0.15</v>
      </c>
      <c r="L715" t="s">
        <v>42</v>
      </c>
      <c r="M715">
        <v>190.02600000000001</v>
      </c>
      <c r="N715">
        <v>134.136</v>
      </c>
      <c r="O715" s="10">
        <v>18.050000000000011</v>
      </c>
      <c r="P715" s="10">
        <v>9.4987001778704019E-2</v>
      </c>
      <c r="Q715" s="8">
        <v>190.02600000000001</v>
      </c>
      <c r="R715" t="s">
        <v>45</v>
      </c>
      <c r="S715" t="s">
        <v>50</v>
      </c>
      <c r="T715" t="s">
        <v>2931</v>
      </c>
      <c r="U715">
        <v>0</v>
      </c>
      <c r="V715" t="str">
        <f>IF(CleanedTable[[#This Row],[Returned]] = 0,"NO","Yes")</f>
        <v>NO</v>
      </c>
      <c r="W715" t="s">
        <v>764</v>
      </c>
      <c r="X715" t="s">
        <v>2235</v>
      </c>
      <c r="Y715" s="10">
        <v>37.840000000000003</v>
      </c>
      <c r="Z715" s="3">
        <v>45178</v>
      </c>
      <c r="AA715" s="3">
        <v>45183</v>
      </c>
      <c r="AB715" t="s">
        <v>2925</v>
      </c>
      <c r="AC715">
        <v>5</v>
      </c>
    </row>
    <row r="716" spans="1:29" x14ac:dyDescent="0.3">
      <c r="A716" s="3">
        <v>45074</v>
      </c>
      <c r="B716" s="3" t="str">
        <f>TEXT(CleanedTable[[#This Row],[OrderDate]],"mmm")</f>
        <v>May</v>
      </c>
      <c r="C716" s="3" t="str">
        <f>TEXT(CleanedTable[[#This Row],[OrderDate]],"yyyy")</f>
        <v>2023</v>
      </c>
      <c r="D716" s="3" t="str">
        <f>TEXT(CleanedTable[[#This Row],[OrderDate]],"mmm yyyy")</f>
        <v>May 2023</v>
      </c>
      <c r="E716" t="s">
        <v>21</v>
      </c>
      <c r="F716" t="s">
        <v>29</v>
      </c>
      <c r="G716" s="12">
        <v>2</v>
      </c>
      <c r="H716" s="8">
        <v>294.27</v>
      </c>
      <c r="I716" t="s">
        <v>33</v>
      </c>
      <c r="J716" t="s">
        <v>36</v>
      </c>
      <c r="K716" s="10">
        <v>0.1</v>
      </c>
      <c r="L716" t="s">
        <v>41</v>
      </c>
      <c r="M716">
        <v>529.68600000000004</v>
      </c>
      <c r="N716">
        <v>353.12399999999997</v>
      </c>
      <c r="O716" s="10">
        <v>167.51200000000006</v>
      </c>
      <c r="P716" s="10">
        <v>0.31624773922663624</v>
      </c>
      <c r="Q716" s="8">
        <v>529.68600000000004</v>
      </c>
      <c r="R716" t="s">
        <v>44</v>
      </c>
      <c r="T716" t="s">
        <v>2932</v>
      </c>
      <c r="U716">
        <v>0</v>
      </c>
      <c r="V716" t="str">
        <f>IF(CleanedTable[[#This Row],[Returned]] = 0,"NO","Yes")</f>
        <v>NO</v>
      </c>
      <c r="W716" t="s">
        <v>765</v>
      </c>
      <c r="X716" t="s">
        <v>2236</v>
      </c>
      <c r="Y716" s="10">
        <v>9.0500000000000007</v>
      </c>
      <c r="Z716" s="3">
        <v>45074</v>
      </c>
      <c r="AA716" s="3">
        <v>45078</v>
      </c>
      <c r="AB716" t="s">
        <v>2924</v>
      </c>
      <c r="AC716">
        <v>4</v>
      </c>
    </row>
    <row r="717" spans="1:29" x14ac:dyDescent="0.3">
      <c r="A717" s="3">
        <v>45798</v>
      </c>
      <c r="B717" s="3" t="str">
        <f>TEXT(CleanedTable[[#This Row],[OrderDate]],"mmm")</f>
        <v>May</v>
      </c>
      <c r="C717" s="3" t="str">
        <f>TEXT(CleanedTable[[#This Row],[OrderDate]],"yyyy")</f>
        <v>2025</v>
      </c>
      <c r="D717" s="3" t="str">
        <f>TEXT(CleanedTable[[#This Row],[OrderDate]],"mmm yyyy")</f>
        <v>May 2025</v>
      </c>
      <c r="E717" t="s">
        <v>23</v>
      </c>
      <c r="F717" t="s">
        <v>28</v>
      </c>
      <c r="G717" s="12">
        <v>1</v>
      </c>
      <c r="H717" s="8">
        <v>319.49</v>
      </c>
      <c r="I717" t="s">
        <v>33</v>
      </c>
      <c r="J717" t="s">
        <v>35</v>
      </c>
      <c r="K717" s="10">
        <v>0.15</v>
      </c>
      <c r="L717" t="s">
        <v>41</v>
      </c>
      <c r="M717">
        <v>271.56650000000002</v>
      </c>
      <c r="N717">
        <v>191.69399999999999</v>
      </c>
      <c r="O717" s="10">
        <v>61.772500000000029</v>
      </c>
      <c r="P717" s="10">
        <v>0.22746730542979354</v>
      </c>
      <c r="Q717" s="8">
        <v>271.56650000000002</v>
      </c>
      <c r="R717" t="s">
        <v>43</v>
      </c>
      <c r="S717" t="s">
        <v>48</v>
      </c>
      <c r="T717" t="s">
        <v>2931</v>
      </c>
      <c r="U717">
        <v>1</v>
      </c>
      <c r="V717" t="str">
        <f>IF(CleanedTable[[#This Row],[Returned]] = 0,"NO","Yes")</f>
        <v>Yes</v>
      </c>
      <c r="W717" t="s">
        <v>766</v>
      </c>
      <c r="X717" t="s">
        <v>2237</v>
      </c>
      <c r="Y717" s="10">
        <v>18.100000000000001</v>
      </c>
      <c r="Z717" s="3">
        <v>45798</v>
      </c>
      <c r="AA717" s="3">
        <v>45808</v>
      </c>
      <c r="AB717" t="s">
        <v>2926</v>
      </c>
      <c r="AC717">
        <v>10</v>
      </c>
    </row>
    <row r="718" spans="1:29" x14ac:dyDescent="0.3">
      <c r="A718" s="3">
        <v>45199</v>
      </c>
      <c r="B718" s="3" t="str">
        <f>TEXT(CleanedTable[[#This Row],[OrderDate]],"mmm")</f>
        <v>Sep</v>
      </c>
      <c r="C718" s="3" t="str">
        <f>TEXT(CleanedTable[[#This Row],[OrderDate]],"yyyy")</f>
        <v>2023</v>
      </c>
      <c r="D718" s="3" t="str">
        <f>TEXT(CleanedTable[[#This Row],[OrderDate]],"mmm yyyy")</f>
        <v>Sep 2023</v>
      </c>
      <c r="E718" t="s">
        <v>19</v>
      </c>
      <c r="F718" t="s">
        <v>24</v>
      </c>
      <c r="G718" s="12">
        <v>14</v>
      </c>
      <c r="H718" s="8">
        <v>243.96</v>
      </c>
      <c r="I718" t="s">
        <v>34</v>
      </c>
      <c r="J718" t="s">
        <v>35</v>
      </c>
      <c r="K718" s="10">
        <v>0.05</v>
      </c>
      <c r="L718" t="s">
        <v>41</v>
      </c>
      <c r="M718">
        <v>3244.6680000000001</v>
      </c>
      <c r="N718">
        <v>2049.2640000000001</v>
      </c>
      <c r="O718" s="10">
        <v>1182.164</v>
      </c>
      <c r="P718" s="10">
        <v>0.36434051187979788</v>
      </c>
      <c r="Q718" s="8">
        <v>3244.6680000000001</v>
      </c>
      <c r="R718" t="s">
        <v>43</v>
      </c>
      <c r="T718" t="s">
        <v>2932</v>
      </c>
      <c r="U718">
        <v>1</v>
      </c>
      <c r="V718" t="str">
        <f>IF(CleanedTable[[#This Row],[Returned]] = 0,"NO","Yes")</f>
        <v>Yes</v>
      </c>
      <c r="W718" t="s">
        <v>767</v>
      </c>
      <c r="X718" t="s">
        <v>2238</v>
      </c>
      <c r="Y718" s="10">
        <v>13.24</v>
      </c>
      <c r="Z718" s="3">
        <v>45199</v>
      </c>
      <c r="AA718" s="3">
        <v>45203</v>
      </c>
      <c r="AB718" t="s">
        <v>2922</v>
      </c>
      <c r="AC718">
        <v>4</v>
      </c>
    </row>
    <row r="719" spans="1:29" x14ac:dyDescent="0.3">
      <c r="A719" s="3">
        <v>45573</v>
      </c>
      <c r="B719" s="3" t="str">
        <f>TEXT(CleanedTable[[#This Row],[OrderDate]],"mmm")</f>
        <v>Oct</v>
      </c>
      <c r="C719" s="3" t="str">
        <f>TEXT(CleanedTable[[#This Row],[OrderDate]],"yyyy")</f>
        <v>2024</v>
      </c>
      <c r="D719" s="3" t="str">
        <f>TEXT(CleanedTable[[#This Row],[OrderDate]],"mmm yyyy")</f>
        <v>Oct 2024</v>
      </c>
      <c r="E719" t="s">
        <v>20</v>
      </c>
      <c r="F719" t="s">
        <v>24</v>
      </c>
      <c r="G719" s="12">
        <v>6</v>
      </c>
      <c r="H719" s="8">
        <v>48.48</v>
      </c>
      <c r="I719" t="s">
        <v>34</v>
      </c>
      <c r="J719" t="s">
        <v>36</v>
      </c>
      <c r="K719" s="10">
        <v>0.1</v>
      </c>
      <c r="L719" t="s">
        <v>41</v>
      </c>
      <c r="M719">
        <v>261.79200000000003</v>
      </c>
      <c r="N719">
        <v>174.52799999999999</v>
      </c>
      <c r="O719" s="10">
        <v>81.154000000000039</v>
      </c>
      <c r="P719" s="10">
        <v>0.30999419386383092</v>
      </c>
      <c r="Q719" s="8">
        <v>261.79199999999997</v>
      </c>
      <c r="R719" t="s">
        <v>43</v>
      </c>
      <c r="T719" t="s">
        <v>2932</v>
      </c>
      <c r="U719">
        <v>0</v>
      </c>
      <c r="V719" t="str">
        <f>IF(CleanedTable[[#This Row],[Returned]] = 0,"NO","Yes")</f>
        <v>NO</v>
      </c>
      <c r="W719" t="s">
        <v>768</v>
      </c>
      <c r="X719" t="s">
        <v>2239</v>
      </c>
      <c r="Y719" s="10">
        <v>6.11</v>
      </c>
      <c r="Z719" s="3">
        <v>45573</v>
      </c>
      <c r="AA719" s="3">
        <v>45578</v>
      </c>
      <c r="AB719" t="s">
        <v>2923</v>
      </c>
      <c r="AC719">
        <v>5</v>
      </c>
    </row>
    <row r="720" spans="1:29" x14ac:dyDescent="0.3">
      <c r="A720" s="3">
        <v>45030</v>
      </c>
      <c r="B720" s="3" t="str">
        <f>TEXT(CleanedTable[[#This Row],[OrderDate]],"mmm")</f>
        <v>Apr</v>
      </c>
      <c r="C720" s="3" t="str">
        <f>TEXT(CleanedTable[[#This Row],[OrderDate]],"yyyy")</f>
        <v>2023</v>
      </c>
      <c r="D720" s="3" t="str">
        <f>TEXT(CleanedTable[[#This Row],[OrderDate]],"mmm yyyy")</f>
        <v>Apr 2023</v>
      </c>
      <c r="E720" t="s">
        <v>19</v>
      </c>
      <c r="F720" t="s">
        <v>24</v>
      </c>
      <c r="G720" s="12">
        <v>20</v>
      </c>
      <c r="H720" s="8">
        <v>87.47</v>
      </c>
      <c r="I720" t="s">
        <v>31</v>
      </c>
      <c r="J720" t="s">
        <v>36</v>
      </c>
      <c r="K720" s="10">
        <v>0</v>
      </c>
      <c r="L720" t="s">
        <v>40</v>
      </c>
      <c r="M720">
        <v>1749.4</v>
      </c>
      <c r="N720">
        <v>1049.6399999999999</v>
      </c>
      <c r="O720" s="10">
        <v>651.2800000000002</v>
      </c>
      <c r="P720" s="10">
        <v>0.37228764147707794</v>
      </c>
      <c r="Q720" s="8">
        <v>1749.4</v>
      </c>
      <c r="R720" t="s">
        <v>43</v>
      </c>
      <c r="S720" t="s">
        <v>50</v>
      </c>
      <c r="T720" t="s">
        <v>2931</v>
      </c>
      <c r="U720">
        <v>0</v>
      </c>
      <c r="V720" t="str">
        <f>IF(CleanedTable[[#This Row],[Returned]] = 0,"NO","Yes")</f>
        <v>NO</v>
      </c>
      <c r="W720" t="s">
        <v>769</v>
      </c>
      <c r="X720" t="s">
        <v>2240</v>
      </c>
      <c r="Y720" s="10">
        <v>48.48</v>
      </c>
      <c r="Z720" s="3">
        <v>45030</v>
      </c>
      <c r="AA720" s="3">
        <v>45039</v>
      </c>
      <c r="AB720" t="s">
        <v>2922</v>
      </c>
      <c r="AC720">
        <v>9</v>
      </c>
    </row>
    <row r="721" spans="1:29" x14ac:dyDescent="0.3">
      <c r="A721" s="3">
        <v>44990</v>
      </c>
      <c r="B721" s="3" t="str">
        <f>TEXT(CleanedTable[[#This Row],[OrderDate]],"mmm")</f>
        <v>Mar</v>
      </c>
      <c r="C721" s="3" t="str">
        <f>TEXT(CleanedTable[[#This Row],[OrderDate]],"yyyy")</f>
        <v>2023</v>
      </c>
      <c r="D721" s="3" t="str">
        <f>TEXT(CleanedTable[[#This Row],[OrderDate]],"mmm yyyy")</f>
        <v>Mar 2023</v>
      </c>
      <c r="E721" t="s">
        <v>20</v>
      </c>
      <c r="F721" t="s">
        <v>28</v>
      </c>
      <c r="G721" s="12">
        <v>17</v>
      </c>
      <c r="H721" s="8">
        <v>465.6</v>
      </c>
      <c r="I721" t="s">
        <v>33</v>
      </c>
      <c r="J721" t="s">
        <v>36</v>
      </c>
      <c r="K721" s="10">
        <v>0.1</v>
      </c>
      <c r="L721" t="s">
        <v>42</v>
      </c>
      <c r="M721">
        <v>7123.6800000000012</v>
      </c>
      <c r="N721">
        <v>4749.12</v>
      </c>
      <c r="O721" s="10">
        <v>2366.8000000000011</v>
      </c>
      <c r="P721" s="10">
        <v>0.33224400871459703</v>
      </c>
      <c r="Q721" s="8">
        <v>7123.6800000000012</v>
      </c>
      <c r="R721" t="s">
        <v>46</v>
      </c>
      <c r="S721" t="s">
        <v>49</v>
      </c>
      <c r="T721" t="s">
        <v>2931</v>
      </c>
      <c r="U721">
        <v>0</v>
      </c>
      <c r="V721" t="str">
        <f>IF(CleanedTable[[#This Row],[Returned]] = 0,"NO","Yes")</f>
        <v>NO</v>
      </c>
      <c r="W721" t="s">
        <v>770</v>
      </c>
      <c r="X721" t="s">
        <v>2241</v>
      </c>
      <c r="Y721" s="10">
        <v>7.76</v>
      </c>
      <c r="Z721" s="3">
        <v>44990</v>
      </c>
      <c r="AA721" s="3">
        <v>44995</v>
      </c>
      <c r="AB721" t="s">
        <v>2923</v>
      </c>
      <c r="AC721">
        <v>5</v>
      </c>
    </row>
    <row r="722" spans="1:29" x14ac:dyDescent="0.3">
      <c r="A722" s="3">
        <v>45490</v>
      </c>
      <c r="B722" s="3" t="str">
        <f>TEXT(CleanedTable[[#This Row],[OrderDate]],"mmm")</f>
        <v>Jul</v>
      </c>
      <c r="C722" s="3" t="str">
        <f>TEXT(CleanedTable[[#This Row],[OrderDate]],"yyyy")</f>
        <v>2024</v>
      </c>
      <c r="D722" s="3" t="str">
        <f>TEXT(CleanedTable[[#This Row],[OrderDate]],"mmm yyyy")</f>
        <v>Jul 2024</v>
      </c>
      <c r="E722" t="s">
        <v>21</v>
      </c>
      <c r="F722" t="s">
        <v>26</v>
      </c>
      <c r="G722" s="12">
        <v>17</v>
      </c>
      <c r="H722" s="8">
        <v>279.38</v>
      </c>
      <c r="I722" t="s">
        <v>31</v>
      </c>
      <c r="J722" t="s">
        <v>35</v>
      </c>
      <c r="K722" s="10">
        <v>0.05</v>
      </c>
      <c r="L722" t="s">
        <v>39</v>
      </c>
      <c r="M722">
        <v>4511.9870000000001</v>
      </c>
      <c r="N722">
        <v>2849.6759999999999</v>
      </c>
      <c r="O722" s="10">
        <v>1632.0110000000002</v>
      </c>
      <c r="P722" s="10">
        <v>0.36170560775108618</v>
      </c>
      <c r="Q722" s="8">
        <v>4511.9870000000001</v>
      </c>
      <c r="R722" t="s">
        <v>45</v>
      </c>
      <c r="S722" t="s">
        <v>50</v>
      </c>
      <c r="T722" t="s">
        <v>2931</v>
      </c>
      <c r="U722">
        <v>0</v>
      </c>
      <c r="V722" t="str">
        <f>IF(CleanedTable[[#This Row],[Returned]] = 0,"NO","Yes")</f>
        <v>NO</v>
      </c>
      <c r="W722" t="s">
        <v>771</v>
      </c>
      <c r="X722" t="s">
        <v>2242</v>
      </c>
      <c r="Y722" s="10">
        <v>30.3</v>
      </c>
      <c r="Z722" s="3">
        <v>45490</v>
      </c>
      <c r="AA722" s="3">
        <v>45493</v>
      </c>
      <c r="AB722" t="s">
        <v>2924</v>
      </c>
      <c r="AC722">
        <v>3</v>
      </c>
    </row>
    <row r="723" spans="1:29" x14ac:dyDescent="0.3">
      <c r="A723" s="3">
        <v>45432</v>
      </c>
      <c r="B723" s="3" t="str">
        <f>TEXT(CleanedTable[[#This Row],[OrderDate]],"mmm")</f>
        <v>May</v>
      </c>
      <c r="C723" s="3" t="str">
        <f>TEXT(CleanedTable[[#This Row],[OrderDate]],"yyyy")</f>
        <v>2024</v>
      </c>
      <c r="D723" s="3" t="str">
        <f>TEXT(CleanedTable[[#This Row],[OrderDate]],"mmm yyyy")</f>
        <v>May 2024</v>
      </c>
      <c r="E723" t="s">
        <v>21</v>
      </c>
      <c r="F723" t="s">
        <v>29</v>
      </c>
      <c r="G723" s="12">
        <v>16</v>
      </c>
      <c r="H723" s="8">
        <v>427.68</v>
      </c>
      <c r="I723" t="s">
        <v>32</v>
      </c>
      <c r="J723" t="s">
        <v>36</v>
      </c>
      <c r="K723" s="10">
        <v>0.1</v>
      </c>
      <c r="L723" t="s">
        <v>40</v>
      </c>
      <c r="M723">
        <v>6158.5920000000006</v>
      </c>
      <c r="N723">
        <v>4105.7280000000001</v>
      </c>
      <c r="O723" s="10">
        <v>2034.1440000000005</v>
      </c>
      <c r="P723" s="10">
        <v>0.33029367751589978</v>
      </c>
      <c r="Q723" s="8">
        <v>6158.5920000000006</v>
      </c>
      <c r="R723" t="s">
        <v>46</v>
      </c>
      <c r="T723" t="s">
        <v>2932</v>
      </c>
      <c r="U723">
        <v>0</v>
      </c>
      <c r="V723" t="str">
        <f>IF(CleanedTable[[#This Row],[Returned]] = 0,"NO","Yes")</f>
        <v>NO</v>
      </c>
      <c r="W723" t="s">
        <v>772</v>
      </c>
      <c r="X723" t="s">
        <v>2243</v>
      </c>
      <c r="Y723" s="10">
        <v>18.72</v>
      </c>
      <c r="Z723" s="3">
        <v>45432</v>
      </c>
      <c r="AA723" s="3">
        <v>45441</v>
      </c>
      <c r="AB723" t="s">
        <v>2924</v>
      </c>
      <c r="AC723">
        <v>9</v>
      </c>
    </row>
    <row r="724" spans="1:29" x14ac:dyDescent="0.3">
      <c r="A724" s="3">
        <v>45783</v>
      </c>
      <c r="B724" s="3" t="str">
        <f>TEXT(CleanedTable[[#This Row],[OrderDate]],"mmm")</f>
        <v>May</v>
      </c>
      <c r="C724" s="3" t="str">
        <f>TEXT(CleanedTable[[#This Row],[OrderDate]],"yyyy")</f>
        <v>2025</v>
      </c>
      <c r="D724" s="3" t="str">
        <f>TEXT(CleanedTable[[#This Row],[OrderDate]],"mmm yyyy")</f>
        <v>May 2025</v>
      </c>
      <c r="E724" t="s">
        <v>21</v>
      </c>
      <c r="F724" t="s">
        <v>24</v>
      </c>
      <c r="G724" s="12">
        <v>15</v>
      </c>
      <c r="H724" s="8">
        <v>281.73</v>
      </c>
      <c r="I724" t="s">
        <v>31</v>
      </c>
      <c r="J724" t="s">
        <v>35</v>
      </c>
      <c r="K724" s="10">
        <v>0.1</v>
      </c>
      <c r="L724" t="s">
        <v>42</v>
      </c>
      <c r="M724">
        <v>3803.3550000000009</v>
      </c>
      <c r="N724">
        <v>2535.5700000000002</v>
      </c>
      <c r="O724" s="10">
        <v>1230.9150000000009</v>
      </c>
      <c r="P724" s="10">
        <v>0.32363926060018078</v>
      </c>
      <c r="Q724" s="8">
        <v>3803.3550000000009</v>
      </c>
      <c r="R724" t="s">
        <v>45</v>
      </c>
      <c r="S724" t="s">
        <v>50</v>
      </c>
      <c r="T724" t="s">
        <v>2931</v>
      </c>
      <c r="U724">
        <v>0</v>
      </c>
      <c r="V724" t="str">
        <f>IF(CleanedTable[[#This Row],[Returned]] = 0,"NO","Yes")</f>
        <v>NO</v>
      </c>
      <c r="W724" t="s">
        <v>773</v>
      </c>
      <c r="X724" t="s">
        <v>2244</v>
      </c>
      <c r="Y724" s="10">
        <v>36.869999999999997</v>
      </c>
      <c r="Z724" s="3">
        <v>45783</v>
      </c>
      <c r="AA724" s="3">
        <v>45787</v>
      </c>
      <c r="AB724" t="s">
        <v>2924</v>
      </c>
      <c r="AC724">
        <v>4</v>
      </c>
    </row>
    <row r="725" spans="1:29" x14ac:dyDescent="0.3">
      <c r="A725" s="3">
        <v>44941</v>
      </c>
      <c r="B725" s="3" t="str">
        <f>TEXT(CleanedTable[[#This Row],[OrderDate]],"mmm")</f>
        <v>Jan</v>
      </c>
      <c r="C725" s="3" t="str">
        <f>TEXT(CleanedTable[[#This Row],[OrderDate]],"yyyy")</f>
        <v>2023</v>
      </c>
      <c r="D725" s="3" t="str">
        <f>TEXT(CleanedTable[[#This Row],[OrderDate]],"mmm yyyy")</f>
        <v>Jan 2023</v>
      </c>
      <c r="E725" t="s">
        <v>21</v>
      </c>
      <c r="F725" t="s">
        <v>26</v>
      </c>
      <c r="G725" s="12">
        <v>15</v>
      </c>
      <c r="H725" s="8">
        <v>185</v>
      </c>
      <c r="I725" t="s">
        <v>31</v>
      </c>
      <c r="J725" t="s">
        <v>35</v>
      </c>
      <c r="K725" s="10">
        <v>0</v>
      </c>
      <c r="L725" t="s">
        <v>38</v>
      </c>
      <c r="M725">
        <v>2775</v>
      </c>
      <c r="N725">
        <v>1665</v>
      </c>
      <c r="O725" s="10">
        <v>1080.69</v>
      </c>
      <c r="P725" s="10">
        <v>0.38943783783783786</v>
      </c>
      <c r="Q725" s="8">
        <v>2775</v>
      </c>
      <c r="R725" t="s">
        <v>47</v>
      </c>
      <c r="S725" t="s">
        <v>48</v>
      </c>
      <c r="T725" t="s">
        <v>2931</v>
      </c>
      <c r="U725">
        <v>0</v>
      </c>
      <c r="V725" t="str">
        <f>IF(CleanedTable[[#This Row],[Returned]] = 0,"NO","Yes")</f>
        <v>NO</v>
      </c>
      <c r="W725" t="s">
        <v>774</v>
      </c>
      <c r="X725" t="s">
        <v>2245</v>
      </c>
      <c r="Y725" s="10">
        <v>29.31</v>
      </c>
      <c r="Z725" s="3">
        <v>44941</v>
      </c>
      <c r="AA725" s="3">
        <v>44943</v>
      </c>
      <c r="AB725" t="s">
        <v>2924</v>
      </c>
      <c r="AC725">
        <v>2</v>
      </c>
    </row>
    <row r="726" spans="1:29" x14ac:dyDescent="0.3">
      <c r="A726" s="3">
        <v>45300</v>
      </c>
      <c r="B726" s="3" t="str">
        <f>TEXT(CleanedTable[[#This Row],[OrderDate]],"mmm")</f>
        <v>Jan</v>
      </c>
      <c r="C726" s="3" t="str">
        <f>TEXT(CleanedTable[[#This Row],[OrderDate]],"yyyy")</f>
        <v>2024</v>
      </c>
      <c r="D726" s="3" t="str">
        <f>TEXT(CleanedTable[[#This Row],[OrderDate]],"mmm yyyy")</f>
        <v>Jan 2024</v>
      </c>
      <c r="E726" t="s">
        <v>22</v>
      </c>
      <c r="F726" t="s">
        <v>28</v>
      </c>
      <c r="G726" s="12">
        <v>19</v>
      </c>
      <c r="H726" s="8">
        <v>380.82</v>
      </c>
      <c r="I726" t="s">
        <v>34</v>
      </c>
      <c r="J726" t="s">
        <v>35</v>
      </c>
      <c r="K726" s="10">
        <v>0.1</v>
      </c>
      <c r="L726" t="s">
        <v>41</v>
      </c>
      <c r="M726">
        <v>6512.0219999999999</v>
      </c>
      <c r="N726">
        <v>4341.348</v>
      </c>
      <c r="O726" s="10">
        <v>2121.944</v>
      </c>
      <c r="P726" s="10">
        <v>0.32585025050591043</v>
      </c>
      <c r="Q726" s="8">
        <v>6512.0219999999999</v>
      </c>
      <c r="R726" t="s">
        <v>45</v>
      </c>
      <c r="S726" t="s">
        <v>49</v>
      </c>
      <c r="T726" t="s">
        <v>2931</v>
      </c>
      <c r="U726">
        <v>0</v>
      </c>
      <c r="V726" t="str">
        <f>IF(CleanedTable[[#This Row],[Returned]] = 0,"NO","Yes")</f>
        <v>NO</v>
      </c>
      <c r="W726" t="s">
        <v>775</v>
      </c>
      <c r="X726" t="s">
        <v>2246</v>
      </c>
      <c r="Y726" s="10">
        <v>48.73</v>
      </c>
      <c r="Z726" s="3">
        <v>45300</v>
      </c>
      <c r="AA726" s="3">
        <v>45303</v>
      </c>
      <c r="AB726" t="s">
        <v>2925</v>
      </c>
      <c r="AC726">
        <v>3</v>
      </c>
    </row>
    <row r="727" spans="1:29" x14ac:dyDescent="0.3">
      <c r="A727" s="3">
        <v>45119</v>
      </c>
      <c r="B727" s="3" t="str">
        <f>TEXT(CleanedTable[[#This Row],[OrderDate]],"mmm")</f>
        <v>Jul</v>
      </c>
      <c r="C727" s="3" t="str">
        <f>TEXT(CleanedTable[[#This Row],[OrderDate]],"yyyy")</f>
        <v>2023</v>
      </c>
      <c r="D727" s="3" t="str">
        <f>TEXT(CleanedTable[[#This Row],[OrderDate]],"mmm yyyy")</f>
        <v>Jul 2023</v>
      </c>
      <c r="E727" t="s">
        <v>20</v>
      </c>
      <c r="F727" t="s">
        <v>27</v>
      </c>
      <c r="G727" s="12">
        <v>4</v>
      </c>
      <c r="H727" s="8">
        <v>444.87</v>
      </c>
      <c r="I727" t="s">
        <v>31</v>
      </c>
      <c r="J727" t="s">
        <v>36</v>
      </c>
      <c r="K727" s="10">
        <v>0.15</v>
      </c>
      <c r="L727" t="s">
        <v>40</v>
      </c>
      <c r="M727">
        <v>1512.558</v>
      </c>
      <c r="N727">
        <v>1067.6879999999999</v>
      </c>
      <c r="O727" s="10">
        <v>397.73000000000013</v>
      </c>
      <c r="P727" s="10">
        <v>0.26295190002631313</v>
      </c>
      <c r="Q727" s="8">
        <v>1512.558</v>
      </c>
      <c r="R727" t="s">
        <v>43</v>
      </c>
      <c r="S727" t="s">
        <v>48</v>
      </c>
      <c r="T727" t="s">
        <v>2931</v>
      </c>
      <c r="U727">
        <v>0</v>
      </c>
      <c r="V727" t="str">
        <f>IF(CleanedTable[[#This Row],[Returned]] = 0,"NO","Yes")</f>
        <v>NO</v>
      </c>
      <c r="W727" t="s">
        <v>776</v>
      </c>
      <c r="X727" t="s">
        <v>2247</v>
      </c>
      <c r="Y727" s="10">
        <v>47.14</v>
      </c>
      <c r="Z727" s="3">
        <v>45119</v>
      </c>
      <c r="AA727" s="3">
        <v>45128</v>
      </c>
      <c r="AB727" t="s">
        <v>2923</v>
      </c>
      <c r="AC727">
        <v>9</v>
      </c>
    </row>
    <row r="728" spans="1:29" x14ac:dyDescent="0.3">
      <c r="A728" s="3">
        <v>45829</v>
      </c>
      <c r="B728" s="3" t="str">
        <f>TEXT(CleanedTable[[#This Row],[OrderDate]],"mmm")</f>
        <v>Jun</v>
      </c>
      <c r="C728" s="3" t="str">
        <f>TEXT(CleanedTable[[#This Row],[OrderDate]],"yyyy")</f>
        <v>2025</v>
      </c>
      <c r="D728" s="3" t="str">
        <f>TEXT(CleanedTable[[#This Row],[OrderDate]],"mmm yyyy")</f>
        <v>Jun 2025</v>
      </c>
      <c r="E728" t="s">
        <v>19</v>
      </c>
      <c r="F728" t="s">
        <v>27</v>
      </c>
      <c r="G728" s="12">
        <v>7</v>
      </c>
      <c r="H728" s="8">
        <v>590.79</v>
      </c>
      <c r="I728" t="s">
        <v>31</v>
      </c>
      <c r="J728" t="s">
        <v>36</v>
      </c>
      <c r="K728" s="10">
        <v>0.05</v>
      </c>
      <c r="L728" t="s">
        <v>37</v>
      </c>
      <c r="M728">
        <v>3928.7534999999993</v>
      </c>
      <c r="N728">
        <v>2481.3179999999998</v>
      </c>
      <c r="O728" s="10">
        <v>1406.0454999999995</v>
      </c>
      <c r="P728" s="10">
        <v>0.35788590452417024</v>
      </c>
      <c r="Q728" s="8">
        <v>3928.7534999999989</v>
      </c>
      <c r="R728" t="s">
        <v>47</v>
      </c>
      <c r="S728" t="s">
        <v>48</v>
      </c>
      <c r="T728" t="s">
        <v>2931</v>
      </c>
      <c r="U728">
        <v>1</v>
      </c>
      <c r="V728" t="str">
        <f>IF(CleanedTable[[#This Row],[Returned]] = 0,"NO","Yes")</f>
        <v>Yes</v>
      </c>
      <c r="W728" t="s">
        <v>777</v>
      </c>
      <c r="X728" t="s">
        <v>2248</v>
      </c>
      <c r="Y728" s="10">
        <v>41.39</v>
      </c>
      <c r="Z728" s="3">
        <v>45829</v>
      </c>
      <c r="AA728" s="3">
        <v>45834</v>
      </c>
      <c r="AB728" t="s">
        <v>2922</v>
      </c>
      <c r="AC728">
        <v>5</v>
      </c>
    </row>
    <row r="729" spans="1:29" x14ac:dyDescent="0.3">
      <c r="A729" s="3">
        <v>45655</v>
      </c>
      <c r="B729" s="3" t="str">
        <f>TEXT(CleanedTable[[#This Row],[OrderDate]],"mmm")</f>
        <v>Dec</v>
      </c>
      <c r="C729" s="3" t="str">
        <f>TEXT(CleanedTable[[#This Row],[OrderDate]],"yyyy")</f>
        <v>2024</v>
      </c>
      <c r="D729" s="3" t="str">
        <f>TEXT(CleanedTable[[#This Row],[OrderDate]],"mmm yyyy")</f>
        <v>Dec 2024</v>
      </c>
      <c r="E729" t="s">
        <v>21</v>
      </c>
      <c r="F729" t="s">
        <v>30</v>
      </c>
      <c r="G729" s="12">
        <v>5</v>
      </c>
      <c r="H729" s="8">
        <v>34.58</v>
      </c>
      <c r="I729" t="s">
        <v>32</v>
      </c>
      <c r="J729" t="s">
        <v>36</v>
      </c>
      <c r="K729" s="10">
        <v>0.1</v>
      </c>
      <c r="L729" t="s">
        <v>39</v>
      </c>
      <c r="M729">
        <v>155.60999999999999</v>
      </c>
      <c r="N729">
        <v>103.73999999999998</v>
      </c>
      <c r="O729" s="10">
        <v>24.770000000000003</v>
      </c>
      <c r="P729" s="10">
        <v>0.15918000128526447</v>
      </c>
      <c r="Q729" s="8">
        <v>155.61000000000001</v>
      </c>
      <c r="R729" t="s">
        <v>44</v>
      </c>
      <c r="S729" t="s">
        <v>50</v>
      </c>
      <c r="T729" t="s">
        <v>2931</v>
      </c>
      <c r="U729">
        <v>0</v>
      </c>
      <c r="V729" t="str">
        <f>IF(CleanedTable[[#This Row],[Returned]] = 0,"NO","Yes")</f>
        <v>NO</v>
      </c>
      <c r="W729" t="s">
        <v>778</v>
      </c>
      <c r="X729" t="s">
        <v>2249</v>
      </c>
      <c r="Y729" s="10">
        <v>27.1</v>
      </c>
      <c r="Z729" s="3">
        <v>45655</v>
      </c>
      <c r="AA729" s="3">
        <v>45659</v>
      </c>
      <c r="AB729" t="s">
        <v>2924</v>
      </c>
      <c r="AC729">
        <v>4</v>
      </c>
    </row>
    <row r="730" spans="1:29" x14ac:dyDescent="0.3">
      <c r="A730" s="3">
        <v>45069</v>
      </c>
      <c r="B730" s="3" t="str">
        <f>TEXT(CleanedTable[[#This Row],[OrderDate]],"mmm")</f>
        <v>May</v>
      </c>
      <c r="C730" s="3" t="str">
        <f>TEXT(CleanedTable[[#This Row],[OrderDate]],"yyyy")</f>
        <v>2023</v>
      </c>
      <c r="D730" s="3" t="str">
        <f>TEXT(CleanedTable[[#This Row],[OrderDate]],"mmm yyyy")</f>
        <v>May 2023</v>
      </c>
      <c r="E730" t="s">
        <v>23</v>
      </c>
      <c r="F730" t="s">
        <v>29</v>
      </c>
      <c r="G730" s="12">
        <v>9</v>
      </c>
      <c r="H730" s="8">
        <v>438.22</v>
      </c>
      <c r="I730" t="s">
        <v>34</v>
      </c>
      <c r="J730" t="s">
        <v>36</v>
      </c>
      <c r="K730" s="10">
        <v>0.05</v>
      </c>
      <c r="L730" t="s">
        <v>42</v>
      </c>
      <c r="M730">
        <v>3746.7810000000004</v>
      </c>
      <c r="N730">
        <v>2366.3879999999999</v>
      </c>
      <c r="O730" s="10">
        <v>1357.6630000000005</v>
      </c>
      <c r="P730" s="10">
        <v>0.36235451177957834</v>
      </c>
      <c r="Q730" s="8">
        <v>3746.7809999999999</v>
      </c>
      <c r="R730" t="s">
        <v>47</v>
      </c>
      <c r="T730" t="s">
        <v>2932</v>
      </c>
      <c r="U730">
        <v>0</v>
      </c>
      <c r="V730" t="str">
        <f>IF(CleanedTable[[#This Row],[Returned]] = 0,"NO","Yes")</f>
        <v>NO</v>
      </c>
      <c r="W730" t="s">
        <v>779</v>
      </c>
      <c r="X730" t="s">
        <v>2250</v>
      </c>
      <c r="Y730" s="10">
        <v>22.73</v>
      </c>
      <c r="Z730" s="3">
        <v>45069</v>
      </c>
      <c r="AA730" s="3">
        <v>45075</v>
      </c>
      <c r="AB730" t="s">
        <v>2926</v>
      </c>
      <c r="AC730">
        <v>6</v>
      </c>
    </row>
    <row r="731" spans="1:29" x14ac:dyDescent="0.3">
      <c r="A731" s="3">
        <v>45385</v>
      </c>
      <c r="B731" s="3" t="str">
        <f>TEXT(CleanedTable[[#This Row],[OrderDate]],"mmm")</f>
        <v>Apr</v>
      </c>
      <c r="C731" s="3" t="str">
        <f>TEXT(CleanedTable[[#This Row],[OrderDate]],"yyyy")</f>
        <v>2024</v>
      </c>
      <c r="D731" s="3" t="str">
        <f>TEXT(CleanedTable[[#This Row],[OrderDate]],"mmm yyyy")</f>
        <v>Apr 2024</v>
      </c>
      <c r="E731" t="s">
        <v>22</v>
      </c>
      <c r="F731" t="s">
        <v>26</v>
      </c>
      <c r="G731" s="12">
        <v>5</v>
      </c>
      <c r="H731" s="8">
        <v>84.91</v>
      </c>
      <c r="I731" t="s">
        <v>32</v>
      </c>
      <c r="J731" t="s">
        <v>36</v>
      </c>
      <c r="K731" s="10">
        <v>0.1</v>
      </c>
      <c r="L731" t="s">
        <v>40</v>
      </c>
      <c r="M731">
        <v>382.09499999999997</v>
      </c>
      <c r="N731">
        <v>254.73</v>
      </c>
      <c r="O731" s="10">
        <v>98.304999999999978</v>
      </c>
      <c r="P731" s="10">
        <v>0.2572789489524856</v>
      </c>
      <c r="Q731" s="8">
        <v>382.09500000000003</v>
      </c>
      <c r="R731" t="s">
        <v>47</v>
      </c>
      <c r="S731" t="s">
        <v>48</v>
      </c>
      <c r="T731" t="s">
        <v>2931</v>
      </c>
      <c r="U731">
        <v>1</v>
      </c>
      <c r="V731" t="str">
        <f>IF(CleanedTable[[#This Row],[Returned]] = 0,"NO","Yes")</f>
        <v>Yes</v>
      </c>
      <c r="W731" t="s">
        <v>780</v>
      </c>
      <c r="X731" t="s">
        <v>2251</v>
      </c>
      <c r="Y731" s="10">
        <v>29.06</v>
      </c>
      <c r="Z731" s="3">
        <v>45385</v>
      </c>
      <c r="AA731" s="3">
        <v>45391</v>
      </c>
      <c r="AB731" t="s">
        <v>2925</v>
      </c>
      <c r="AC731">
        <v>6</v>
      </c>
    </row>
    <row r="732" spans="1:29" x14ac:dyDescent="0.3">
      <c r="A732" s="3">
        <v>45308</v>
      </c>
      <c r="B732" s="3" t="str">
        <f>TEXT(CleanedTable[[#This Row],[OrderDate]],"mmm")</f>
        <v>Jan</v>
      </c>
      <c r="C732" s="3" t="str">
        <f>TEXT(CleanedTable[[#This Row],[OrderDate]],"yyyy")</f>
        <v>2024</v>
      </c>
      <c r="D732" s="3" t="str">
        <f>TEXT(CleanedTable[[#This Row],[OrderDate]],"mmm yyyy")</f>
        <v>Jan 2024</v>
      </c>
      <c r="E732" t="s">
        <v>19</v>
      </c>
      <c r="F732" t="s">
        <v>24</v>
      </c>
      <c r="G732" s="12">
        <v>7</v>
      </c>
      <c r="H732" s="8">
        <v>322.11</v>
      </c>
      <c r="I732" t="s">
        <v>33</v>
      </c>
      <c r="J732" t="s">
        <v>35</v>
      </c>
      <c r="K732" s="10">
        <v>0.1</v>
      </c>
      <c r="L732" t="s">
        <v>41</v>
      </c>
      <c r="M732">
        <v>2029.2930000000001</v>
      </c>
      <c r="N732">
        <v>1352.8619999999999</v>
      </c>
      <c r="O732" s="10">
        <v>656.5210000000003</v>
      </c>
      <c r="P732" s="10">
        <v>0.32352203452138267</v>
      </c>
      <c r="Q732" s="8">
        <v>2029.2929999999999</v>
      </c>
      <c r="R732" t="s">
        <v>46</v>
      </c>
      <c r="S732" t="s">
        <v>49</v>
      </c>
      <c r="T732" t="s">
        <v>2931</v>
      </c>
      <c r="U732">
        <v>0</v>
      </c>
      <c r="V732" t="str">
        <f>IF(CleanedTable[[#This Row],[Returned]] = 0,"NO","Yes")</f>
        <v>NO</v>
      </c>
      <c r="W732" t="s">
        <v>781</v>
      </c>
      <c r="X732" t="s">
        <v>2252</v>
      </c>
      <c r="Y732" s="10">
        <v>19.91</v>
      </c>
      <c r="Z732" s="3">
        <v>45308</v>
      </c>
      <c r="AA732" s="3">
        <v>45318</v>
      </c>
      <c r="AB732" t="s">
        <v>2922</v>
      </c>
      <c r="AC732">
        <v>10</v>
      </c>
    </row>
    <row r="733" spans="1:29" x14ac:dyDescent="0.3">
      <c r="A733" s="3">
        <v>45752</v>
      </c>
      <c r="B733" s="3" t="str">
        <f>TEXT(CleanedTable[[#This Row],[OrderDate]],"mmm")</f>
        <v>Apr</v>
      </c>
      <c r="C733" s="3" t="str">
        <f>TEXT(CleanedTable[[#This Row],[OrderDate]],"yyyy")</f>
        <v>2025</v>
      </c>
      <c r="D733" s="3" t="str">
        <f>TEXT(CleanedTable[[#This Row],[OrderDate]],"mmm yyyy")</f>
        <v>Apr 2025</v>
      </c>
      <c r="E733" t="s">
        <v>22</v>
      </c>
      <c r="F733" t="s">
        <v>28</v>
      </c>
      <c r="G733" s="12">
        <v>2</v>
      </c>
      <c r="H733" s="8">
        <v>231.96</v>
      </c>
      <c r="I733" t="s">
        <v>31</v>
      </c>
      <c r="J733" t="s">
        <v>36</v>
      </c>
      <c r="K733" s="10">
        <v>0.1</v>
      </c>
      <c r="L733" t="s">
        <v>38</v>
      </c>
      <c r="M733">
        <v>417.52800000000002</v>
      </c>
      <c r="N733">
        <v>278.35199999999998</v>
      </c>
      <c r="O733" s="10">
        <v>106.51600000000005</v>
      </c>
      <c r="P733" s="10">
        <v>0.25511103446954464</v>
      </c>
      <c r="Q733" s="8">
        <v>417.52800000000002</v>
      </c>
      <c r="R733" t="s">
        <v>46</v>
      </c>
      <c r="T733" t="s">
        <v>2932</v>
      </c>
      <c r="U733">
        <v>1</v>
      </c>
      <c r="V733" t="str">
        <f>IF(CleanedTable[[#This Row],[Returned]] = 0,"NO","Yes")</f>
        <v>Yes</v>
      </c>
      <c r="W733" t="s">
        <v>782</v>
      </c>
      <c r="X733" t="s">
        <v>2253</v>
      </c>
      <c r="Y733" s="10">
        <v>32.659999999999997</v>
      </c>
      <c r="Z733" s="3">
        <v>45752</v>
      </c>
      <c r="AA733" s="3">
        <v>45761</v>
      </c>
      <c r="AB733" t="s">
        <v>2925</v>
      </c>
      <c r="AC733">
        <v>9</v>
      </c>
    </row>
    <row r="734" spans="1:29" x14ac:dyDescent="0.3">
      <c r="A734" s="3">
        <v>45764</v>
      </c>
      <c r="B734" s="3" t="str">
        <f>TEXT(CleanedTable[[#This Row],[OrderDate]],"mmm")</f>
        <v>Apr</v>
      </c>
      <c r="C734" s="3" t="str">
        <f>TEXT(CleanedTable[[#This Row],[OrderDate]],"yyyy")</f>
        <v>2025</v>
      </c>
      <c r="D734" s="3" t="str">
        <f>TEXT(CleanedTable[[#This Row],[OrderDate]],"mmm yyyy")</f>
        <v>Apr 2025</v>
      </c>
      <c r="E734" t="s">
        <v>22</v>
      </c>
      <c r="F734" t="s">
        <v>27</v>
      </c>
      <c r="G734" s="12">
        <v>15</v>
      </c>
      <c r="H734" s="8">
        <v>242.07</v>
      </c>
      <c r="I734" t="s">
        <v>32</v>
      </c>
      <c r="J734" t="s">
        <v>35</v>
      </c>
      <c r="K734" s="10">
        <v>0.15</v>
      </c>
      <c r="L734" t="s">
        <v>42</v>
      </c>
      <c r="M734">
        <v>3086.3924999999995</v>
      </c>
      <c r="N734">
        <v>2178.6299999999997</v>
      </c>
      <c r="O734" s="10">
        <v>888.58249999999987</v>
      </c>
      <c r="P734" s="10">
        <v>0.2879032721858934</v>
      </c>
      <c r="Q734" s="8">
        <v>3086.392499999999</v>
      </c>
      <c r="R734" t="s">
        <v>45</v>
      </c>
      <c r="T734" t="s">
        <v>2932</v>
      </c>
      <c r="U734">
        <v>0</v>
      </c>
      <c r="V734" t="str">
        <f>IF(CleanedTable[[#This Row],[Returned]] = 0,"NO","Yes")</f>
        <v>NO</v>
      </c>
      <c r="W734" t="s">
        <v>783</v>
      </c>
      <c r="X734" t="s">
        <v>2254</v>
      </c>
      <c r="Y734" s="10">
        <v>19.18</v>
      </c>
      <c r="Z734" s="3">
        <v>45764</v>
      </c>
      <c r="AA734" s="3">
        <v>45770</v>
      </c>
      <c r="AB734" t="s">
        <v>2925</v>
      </c>
      <c r="AC734">
        <v>6</v>
      </c>
    </row>
    <row r="735" spans="1:29" x14ac:dyDescent="0.3">
      <c r="A735" s="3">
        <v>45577</v>
      </c>
      <c r="B735" s="3" t="str">
        <f>TEXT(CleanedTable[[#This Row],[OrderDate]],"mmm")</f>
        <v>Oct</v>
      </c>
      <c r="C735" s="3" t="str">
        <f>TEXT(CleanedTable[[#This Row],[OrderDate]],"yyyy")</f>
        <v>2024</v>
      </c>
      <c r="D735" s="3" t="str">
        <f>TEXT(CleanedTable[[#This Row],[OrderDate]],"mmm yyyy")</f>
        <v>Oct 2024</v>
      </c>
      <c r="E735" t="s">
        <v>22</v>
      </c>
      <c r="F735" t="s">
        <v>24</v>
      </c>
      <c r="G735" s="12">
        <v>2</v>
      </c>
      <c r="H735" s="8">
        <v>48.02</v>
      </c>
      <c r="I735" t="s">
        <v>33</v>
      </c>
      <c r="J735" t="s">
        <v>36</v>
      </c>
      <c r="K735" s="10">
        <v>0.05</v>
      </c>
      <c r="L735" t="s">
        <v>40</v>
      </c>
      <c r="M735">
        <v>91.238</v>
      </c>
      <c r="N735">
        <v>57.624000000000002</v>
      </c>
      <c r="O735" s="10">
        <v>7.8039999999999985</v>
      </c>
      <c r="P735" s="10">
        <v>8.5534536048576235E-2</v>
      </c>
      <c r="Q735" s="8">
        <v>91.238</v>
      </c>
      <c r="R735" t="s">
        <v>46</v>
      </c>
      <c r="S735" t="s">
        <v>48</v>
      </c>
      <c r="T735" t="s">
        <v>2931</v>
      </c>
      <c r="U735">
        <v>1</v>
      </c>
      <c r="V735" t="str">
        <f>IF(CleanedTable[[#This Row],[Returned]] = 0,"NO","Yes")</f>
        <v>Yes</v>
      </c>
      <c r="W735" t="s">
        <v>784</v>
      </c>
      <c r="X735" t="s">
        <v>2255</v>
      </c>
      <c r="Y735" s="10">
        <v>25.81</v>
      </c>
      <c r="Z735" s="3">
        <v>45577</v>
      </c>
      <c r="AA735" s="3">
        <v>45580</v>
      </c>
      <c r="AB735" t="s">
        <v>2925</v>
      </c>
      <c r="AC735">
        <v>3</v>
      </c>
    </row>
    <row r="736" spans="1:29" x14ac:dyDescent="0.3">
      <c r="A736" s="3">
        <v>45500</v>
      </c>
      <c r="B736" s="3" t="str">
        <f>TEXT(CleanedTable[[#This Row],[OrderDate]],"mmm")</f>
        <v>Jul</v>
      </c>
      <c r="C736" s="3" t="str">
        <f>TEXT(CleanedTable[[#This Row],[OrderDate]],"yyyy")</f>
        <v>2024</v>
      </c>
      <c r="D736" s="3" t="str">
        <f>TEXT(CleanedTable[[#This Row],[OrderDate]],"mmm yyyy")</f>
        <v>Jul 2024</v>
      </c>
      <c r="E736" t="s">
        <v>22</v>
      </c>
      <c r="F736" t="s">
        <v>27</v>
      </c>
      <c r="G736" s="12">
        <v>1</v>
      </c>
      <c r="H736" s="8">
        <v>534.28</v>
      </c>
      <c r="I736" t="s">
        <v>34</v>
      </c>
      <c r="J736" t="s">
        <v>35</v>
      </c>
      <c r="K736" s="10">
        <v>0.1</v>
      </c>
      <c r="L736" t="s">
        <v>37</v>
      </c>
      <c r="M736">
        <v>480.85199999999998</v>
      </c>
      <c r="N736">
        <v>320.56799999999998</v>
      </c>
      <c r="O736" s="10">
        <v>128.98399999999998</v>
      </c>
      <c r="P736" s="10">
        <v>0.26824053970868372</v>
      </c>
      <c r="Q736" s="8">
        <v>480.85199999999998</v>
      </c>
      <c r="R736" t="s">
        <v>43</v>
      </c>
      <c r="S736" t="s">
        <v>48</v>
      </c>
      <c r="T736" t="s">
        <v>2931</v>
      </c>
      <c r="U736">
        <v>0</v>
      </c>
      <c r="V736" t="str">
        <f>IF(CleanedTable[[#This Row],[Returned]] = 0,"NO","Yes")</f>
        <v>NO</v>
      </c>
      <c r="W736" t="s">
        <v>785</v>
      </c>
      <c r="X736" t="s">
        <v>2256</v>
      </c>
      <c r="Y736" s="10">
        <v>31.3</v>
      </c>
      <c r="Z736" s="3">
        <v>45500</v>
      </c>
      <c r="AA736" s="3">
        <v>45505</v>
      </c>
      <c r="AB736" t="s">
        <v>2925</v>
      </c>
      <c r="AC736">
        <v>5</v>
      </c>
    </row>
    <row r="737" spans="1:29" x14ac:dyDescent="0.3">
      <c r="A737" s="3">
        <v>45667</v>
      </c>
      <c r="B737" s="3" t="str">
        <f>TEXT(CleanedTable[[#This Row],[OrderDate]],"mmm")</f>
        <v>Jan</v>
      </c>
      <c r="C737" s="3" t="str">
        <f>TEXT(CleanedTable[[#This Row],[OrderDate]],"yyyy")</f>
        <v>2025</v>
      </c>
      <c r="D737" s="3" t="str">
        <f>TEXT(CleanedTable[[#This Row],[OrderDate]],"mmm yyyy")</f>
        <v>Jan 2025</v>
      </c>
      <c r="E737" t="s">
        <v>23</v>
      </c>
      <c r="F737" t="s">
        <v>29</v>
      </c>
      <c r="G737" s="12">
        <v>3</v>
      </c>
      <c r="H737" s="8">
        <v>98.15</v>
      </c>
      <c r="I737" t="s">
        <v>34</v>
      </c>
      <c r="J737" t="s">
        <v>35</v>
      </c>
      <c r="K737" s="10">
        <v>0.15</v>
      </c>
      <c r="L737" t="s">
        <v>41</v>
      </c>
      <c r="M737">
        <v>250.28250000000003</v>
      </c>
      <c r="N737">
        <v>176.67000000000002</v>
      </c>
      <c r="O737" s="10">
        <v>27.242500000000014</v>
      </c>
      <c r="P737" s="10">
        <v>0.10884700288673803</v>
      </c>
      <c r="Q737" s="8">
        <v>250.2825</v>
      </c>
      <c r="R737" t="s">
        <v>46</v>
      </c>
      <c r="S737" t="s">
        <v>49</v>
      </c>
      <c r="T737" t="s">
        <v>2931</v>
      </c>
      <c r="U737">
        <v>0</v>
      </c>
      <c r="V737" t="str">
        <f>IF(CleanedTable[[#This Row],[Returned]] = 0,"NO","Yes")</f>
        <v>NO</v>
      </c>
      <c r="W737" t="s">
        <v>786</v>
      </c>
      <c r="X737" t="s">
        <v>2257</v>
      </c>
      <c r="Y737" s="10">
        <v>46.37</v>
      </c>
      <c r="Z737" s="3">
        <v>45667</v>
      </c>
      <c r="AA737" s="3">
        <v>45675</v>
      </c>
      <c r="AB737" t="s">
        <v>2926</v>
      </c>
      <c r="AC737">
        <v>8</v>
      </c>
    </row>
    <row r="738" spans="1:29" x14ac:dyDescent="0.3">
      <c r="A738" s="3">
        <v>45498</v>
      </c>
      <c r="B738" s="3" t="str">
        <f>TEXT(CleanedTable[[#This Row],[OrderDate]],"mmm")</f>
        <v>Jul</v>
      </c>
      <c r="C738" s="3" t="str">
        <f>TEXT(CleanedTable[[#This Row],[OrderDate]],"yyyy")</f>
        <v>2024</v>
      </c>
      <c r="D738" s="3" t="str">
        <f>TEXT(CleanedTable[[#This Row],[OrderDate]],"mmm yyyy")</f>
        <v>Jul 2024</v>
      </c>
      <c r="E738" t="s">
        <v>20</v>
      </c>
      <c r="F738" t="s">
        <v>27</v>
      </c>
      <c r="G738" s="12">
        <v>12</v>
      </c>
      <c r="H738" s="8">
        <v>61.85</v>
      </c>
      <c r="I738" t="s">
        <v>34</v>
      </c>
      <c r="J738" t="s">
        <v>35</v>
      </c>
      <c r="K738" s="10">
        <v>0.05</v>
      </c>
      <c r="L738" t="s">
        <v>38</v>
      </c>
      <c r="M738">
        <v>705.09</v>
      </c>
      <c r="N738">
        <v>445.32</v>
      </c>
      <c r="O738" s="10">
        <v>235.43000000000004</v>
      </c>
      <c r="P738" s="10">
        <v>0.33390063679813931</v>
      </c>
      <c r="Q738" s="8">
        <v>705.09</v>
      </c>
      <c r="R738" t="s">
        <v>45</v>
      </c>
      <c r="T738" t="s">
        <v>2932</v>
      </c>
      <c r="U738">
        <v>1</v>
      </c>
      <c r="V738" t="str">
        <f>IF(CleanedTable[[#This Row],[Returned]] = 0,"NO","Yes")</f>
        <v>Yes</v>
      </c>
      <c r="W738" t="s">
        <v>787</v>
      </c>
      <c r="X738" t="s">
        <v>2258</v>
      </c>
      <c r="Y738" s="10">
        <v>24.34</v>
      </c>
      <c r="Z738" s="3">
        <v>45498</v>
      </c>
      <c r="AA738" s="3">
        <v>45504</v>
      </c>
      <c r="AB738" t="s">
        <v>2923</v>
      </c>
      <c r="AC738">
        <v>6</v>
      </c>
    </row>
    <row r="739" spans="1:29" x14ac:dyDescent="0.3">
      <c r="A739" s="3">
        <v>45434</v>
      </c>
      <c r="B739" s="3" t="str">
        <f>TEXT(CleanedTable[[#This Row],[OrderDate]],"mmm")</f>
        <v>May</v>
      </c>
      <c r="C739" s="3" t="str">
        <f>TEXT(CleanedTable[[#This Row],[OrderDate]],"yyyy")</f>
        <v>2024</v>
      </c>
      <c r="D739" s="3" t="str">
        <f>TEXT(CleanedTable[[#This Row],[OrderDate]],"mmm yyyy")</f>
        <v>May 2024</v>
      </c>
      <c r="E739" t="s">
        <v>23</v>
      </c>
      <c r="F739" t="s">
        <v>29</v>
      </c>
      <c r="G739" s="12">
        <v>6</v>
      </c>
      <c r="H739" s="8">
        <v>268.33999999999997</v>
      </c>
      <c r="I739" t="s">
        <v>32</v>
      </c>
      <c r="J739" t="s">
        <v>35</v>
      </c>
      <c r="K739" s="10">
        <v>0.1</v>
      </c>
      <c r="L739" t="s">
        <v>41</v>
      </c>
      <c r="M739">
        <v>1449.0360000000001</v>
      </c>
      <c r="N739">
        <v>966.02399999999989</v>
      </c>
      <c r="O739" s="10">
        <v>447.32200000000017</v>
      </c>
      <c r="P739" s="10">
        <v>0.30870316541480003</v>
      </c>
      <c r="Q739" s="8">
        <v>1449.0360000000001</v>
      </c>
      <c r="R739" t="s">
        <v>46</v>
      </c>
      <c r="S739" t="s">
        <v>50</v>
      </c>
      <c r="T739" t="s">
        <v>2931</v>
      </c>
      <c r="U739">
        <v>1</v>
      </c>
      <c r="V739" t="str">
        <f>IF(CleanedTable[[#This Row],[Returned]] = 0,"NO","Yes")</f>
        <v>Yes</v>
      </c>
      <c r="W739" t="s">
        <v>788</v>
      </c>
      <c r="X739" t="s">
        <v>2259</v>
      </c>
      <c r="Y739" s="10">
        <v>35.69</v>
      </c>
      <c r="Z739" s="3">
        <v>45434</v>
      </c>
      <c r="AA739" s="3">
        <v>45437</v>
      </c>
      <c r="AB739" t="s">
        <v>2926</v>
      </c>
      <c r="AC739">
        <v>3</v>
      </c>
    </row>
    <row r="740" spans="1:29" x14ac:dyDescent="0.3">
      <c r="A740" s="3">
        <v>45514</v>
      </c>
      <c r="B740" s="3" t="str">
        <f>TEXT(CleanedTable[[#This Row],[OrderDate]],"mmm")</f>
        <v>Aug</v>
      </c>
      <c r="C740" s="3" t="str">
        <f>TEXT(CleanedTable[[#This Row],[OrderDate]],"yyyy")</f>
        <v>2024</v>
      </c>
      <c r="D740" s="3" t="str">
        <f>TEXT(CleanedTable[[#This Row],[OrderDate]],"mmm yyyy")</f>
        <v>Aug 2024</v>
      </c>
      <c r="E740" t="s">
        <v>22</v>
      </c>
      <c r="F740" t="s">
        <v>26</v>
      </c>
      <c r="G740" s="12">
        <v>4</v>
      </c>
      <c r="H740" s="8">
        <v>529.03</v>
      </c>
      <c r="I740" t="s">
        <v>31</v>
      </c>
      <c r="J740" t="s">
        <v>35</v>
      </c>
      <c r="K740" s="10">
        <v>0.05</v>
      </c>
      <c r="L740" t="s">
        <v>40</v>
      </c>
      <c r="M740">
        <v>2010.3139999999999</v>
      </c>
      <c r="N740">
        <v>1269.6719999999998</v>
      </c>
      <c r="O740" s="10">
        <v>714.68200000000002</v>
      </c>
      <c r="P740" s="10">
        <v>0.35550764706409049</v>
      </c>
      <c r="Q740" s="8">
        <v>2010.3140000000001</v>
      </c>
      <c r="R740" t="s">
        <v>43</v>
      </c>
      <c r="S740" t="s">
        <v>49</v>
      </c>
      <c r="T740" t="s">
        <v>2931</v>
      </c>
      <c r="U740">
        <v>0</v>
      </c>
      <c r="V740" t="str">
        <f>IF(CleanedTable[[#This Row],[Returned]] = 0,"NO","Yes")</f>
        <v>NO</v>
      </c>
      <c r="W740" t="s">
        <v>789</v>
      </c>
      <c r="X740" t="s">
        <v>2260</v>
      </c>
      <c r="Y740" s="10">
        <v>25.96</v>
      </c>
      <c r="Z740" s="3">
        <v>45514</v>
      </c>
      <c r="AA740" s="3">
        <v>45524</v>
      </c>
      <c r="AB740" t="s">
        <v>2925</v>
      </c>
      <c r="AC740">
        <v>10</v>
      </c>
    </row>
    <row r="741" spans="1:29" x14ac:dyDescent="0.3">
      <c r="A741" s="3">
        <v>45043</v>
      </c>
      <c r="B741" s="3" t="str">
        <f>TEXT(CleanedTable[[#This Row],[OrderDate]],"mmm")</f>
        <v>Apr</v>
      </c>
      <c r="C741" s="3" t="str">
        <f>TEXT(CleanedTable[[#This Row],[OrderDate]],"yyyy")</f>
        <v>2023</v>
      </c>
      <c r="D741" s="3" t="str">
        <f>TEXT(CleanedTable[[#This Row],[OrderDate]],"mmm yyyy")</f>
        <v>Apr 2023</v>
      </c>
      <c r="E741" t="s">
        <v>23</v>
      </c>
      <c r="F741" t="s">
        <v>29</v>
      </c>
      <c r="G741" s="12">
        <v>2</v>
      </c>
      <c r="H741" s="8">
        <v>107.32</v>
      </c>
      <c r="I741" t="s">
        <v>31</v>
      </c>
      <c r="J741" t="s">
        <v>36</v>
      </c>
      <c r="K741" s="10">
        <v>0.05</v>
      </c>
      <c r="L741" t="s">
        <v>38</v>
      </c>
      <c r="M741">
        <v>203.90799999999999</v>
      </c>
      <c r="N741">
        <v>128.78399999999999</v>
      </c>
      <c r="O741" s="10">
        <v>27.793999999999997</v>
      </c>
      <c r="P741" s="10">
        <v>0.13630656962944071</v>
      </c>
      <c r="Q741" s="8">
        <v>203.90799999999999</v>
      </c>
      <c r="R741" t="s">
        <v>45</v>
      </c>
      <c r="T741" t="s">
        <v>2932</v>
      </c>
      <c r="U741">
        <v>0</v>
      </c>
      <c r="V741" t="str">
        <f>IF(CleanedTable[[#This Row],[Returned]] = 0,"NO","Yes")</f>
        <v>NO</v>
      </c>
      <c r="W741" t="s">
        <v>790</v>
      </c>
      <c r="X741" t="s">
        <v>2261</v>
      </c>
      <c r="Y741" s="10">
        <v>47.33</v>
      </c>
      <c r="Z741" s="3">
        <v>45043</v>
      </c>
      <c r="AA741" s="3">
        <v>45045</v>
      </c>
      <c r="AB741" t="s">
        <v>2926</v>
      </c>
      <c r="AC741">
        <v>2</v>
      </c>
    </row>
    <row r="742" spans="1:29" x14ac:dyDescent="0.3">
      <c r="A742" s="3">
        <v>45098</v>
      </c>
      <c r="B742" s="3" t="str">
        <f>TEXT(CleanedTable[[#This Row],[OrderDate]],"mmm")</f>
        <v>Jun</v>
      </c>
      <c r="C742" s="3" t="str">
        <f>TEXT(CleanedTable[[#This Row],[OrderDate]],"yyyy")</f>
        <v>2023</v>
      </c>
      <c r="D742" s="3" t="str">
        <f>TEXT(CleanedTable[[#This Row],[OrderDate]],"mmm yyyy")</f>
        <v>Jun 2023</v>
      </c>
      <c r="E742" t="s">
        <v>20</v>
      </c>
      <c r="F742" t="s">
        <v>29</v>
      </c>
      <c r="G742" s="12">
        <v>1</v>
      </c>
      <c r="H742" s="8">
        <v>500.96</v>
      </c>
      <c r="I742" t="s">
        <v>33</v>
      </c>
      <c r="J742" t="s">
        <v>35</v>
      </c>
      <c r="K742" s="10">
        <v>0.05</v>
      </c>
      <c r="L742" t="s">
        <v>39</v>
      </c>
      <c r="M742">
        <v>475.91199999999998</v>
      </c>
      <c r="N742">
        <v>300.57599999999996</v>
      </c>
      <c r="O742" s="10">
        <v>133.23600000000002</v>
      </c>
      <c r="P742" s="10">
        <v>0.27995932021045911</v>
      </c>
      <c r="Q742" s="8">
        <v>475.91199999999998</v>
      </c>
      <c r="R742" t="s">
        <v>43</v>
      </c>
      <c r="S742" t="s">
        <v>50</v>
      </c>
      <c r="T742" t="s">
        <v>2931</v>
      </c>
      <c r="U742">
        <v>0</v>
      </c>
      <c r="V742" t="str">
        <f>IF(CleanedTable[[#This Row],[Returned]] = 0,"NO","Yes")</f>
        <v>NO</v>
      </c>
      <c r="W742" t="s">
        <v>791</v>
      </c>
      <c r="X742" t="s">
        <v>1891</v>
      </c>
      <c r="Y742" s="10">
        <v>42.1</v>
      </c>
      <c r="Z742" s="3">
        <v>45098</v>
      </c>
      <c r="AA742" s="3">
        <v>45102</v>
      </c>
      <c r="AB742" t="s">
        <v>2923</v>
      </c>
      <c r="AC742">
        <v>4</v>
      </c>
    </row>
    <row r="743" spans="1:29" x14ac:dyDescent="0.3">
      <c r="A743" s="3">
        <v>45576</v>
      </c>
      <c r="B743" s="3" t="str">
        <f>TEXT(CleanedTable[[#This Row],[OrderDate]],"mmm")</f>
        <v>Oct</v>
      </c>
      <c r="C743" s="3" t="str">
        <f>TEXT(CleanedTable[[#This Row],[OrderDate]],"yyyy")</f>
        <v>2024</v>
      </c>
      <c r="D743" s="3" t="str">
        <f>TEXT(CleanedTable[[#This Row],[OrderDate]],"mmm yyyy")</f>
        <v>Oct 2024</v>
      </c>
      <c r="E743" t="s">
        <v>23</v>
      </c>
      <c r="F743" t="s">
        <v>30</v>
      </c>
      <c r="G743" s="12">
        <v>17</v>
      </c>
      <c r="H743" s="8">
        <v>549.78</v>
      </c>
      <c r="I743" t="s">
        <v>31</v>
      </c>
      <c r="J743" t="s">
        <v>35</v>
      </c>
      <c r="K743" s="10">
        <v>0.05</v>
      </c>
      <c r="L743" t="s">
        <v>38</v>
      </c>
      <c r="M743">
        <v>8878.9470000000001</v>
      </c>
      <c r="N743">
        <v>5607.7560000000003</v>
      </c>
      <c r="O743" s="10">
        <v>3226.7709999999997</v>
      </c>
      <c r="P743" s="10">
        <v>0.36341820713649936</v>
      </c>
      <c r="Q743" s="8">
        <v>8878.9470000000001</v>
      </c>
      <c r="R743" t="s">
        <v>45</v>
      </c>
      <c r="T743" t="s">
        <v>2932</v>
      </c>
      <c r="U743">
        <v>1</v>
      </c>
      <c r="V743" t="str">
        <f>IF(CleanedTable[[#This Row],[Returned]] = 0,"NO","Yes")</f>
        <v>Yes</v>
      </c>
      <c r="W743" t="s">
        <v>792</v>
      </c>
      <c r="X743" t="s">
        <v>2262</v>
      </c>
      <c r="Y743" s="10">
        <v>44.42</v>
      </c>
      <c r="Z743" s="3">
        <v>45576</v>
      </c>
      <c r="AA743" s="3">
        <v>45579</v>
      </c>
      <c r="AB743" t="s">
        <v>2926</v>
      </c>
      <c r="AC743">
        <v>3</v>
      </c>
    </row>
    <row r="744" spans="1:29" x14ac:dyDescent="0.3">
      <c r="A744" s="3">
        <v>45683</v>
      </c>
      <c r="B744" s="3" t="str">
        <f>TEXT(CleanedTable[[#This Row],[OrderDate]],"mmm")</f>
        <v>Jan</v>
      </c>
      <c r="C744" s="3" t="str">
        <f>TEXT(CleanedTable[[#This Row],[OrderDate]],"yyyy")</f>
        <v>2025</v>
      </c>
      <c r="D744" s="3" t="str">
        <f>TEXT(CleanedTable[[#This Row],[OrderDate]],"mmm yyyy")</f>
        <v>Jan 2025</v>
      </c>
      <c r="E744" t="s">
        <v>21</v>
      </c>
      <c r="F744" t="s">
        <v>24</v>
      </c>
      <c r="G744" s="12">
        <v>3</v>
      </c>
      <c r="H744" s="8">
        <v>58.51</v>
      </c>
      <c r="I744" t="s">
        <v>32</v>
      </c>
      <c r="J744" t="s">
        <v>36</v>
      </c>
      <c r="K744" s="10">
        <v>0.05</v>
      </c>
      <c r="L744" t="s">
        <v>40</v>
      </c>
      <c r="M744">
        <v>166.7535</v>
      </c>
      <c r="N744">
        <v>105.31799999999998</v>
      </c>
      <c r="O744" s="10">
        <v>37.865500000000019</v>
      </c>
      <c r="P744" s="10">
        <v>0.22707469408438213</v>
      </c>
      <c r="Q744" s="8">
        <v>166.7535</v>
      </c>
      <c r="R744" t="s">
        <v>47</v>
      </c>
      <c r="S744" t="s">
        <v>50</v>
      </c>
      <c r="T744" t="s">
        <v>2931</v>
      </c>
      <c r="U744">
        <v>0</v>
      </c>
      <c r="V744" t="str">
        <f>IF(CleanedTable[[#This Row],[Returned]] = 0,"NO","Yes")</f>
        <v>NO</v>
      </c>
      <c r="W744" t="s">
        <v>793</v>
      </c>
      <c r="X744" t="s">
        <v>2263</v>
      </c>
      <c r="Y744" s="10">
        <v>23.57</v>
      </c>
      <c r="Z744" s="3">
        <v>45683</v>
      </c>
      <c r="AA744" s="3">
        <v>45687</v>
      </c>
      <c r="AB744" t="s">
        <v>2924</v>
      </c>
      <c r="AC744">
        <v>4</v>
      </c>
    </row>
    <row r="745" spans="1:29" x14ac:dyDescent="0.3">
      <c r="A745" s="3">
        <v>45461</v>
      </c>
      <c r="B745" s="3" t="str">
        <f>TEXT(CleanedTable[[#This Row],[OrderDate]],"mmm")</f>
        <v>Jun</v>
      </c>
      <c r="C745" s="3" t="str">
        <f>TEXT(CleanedTable[[#This Row],[OrderDate]],"yyyy")</f>
        <v>2024</v>
      </c>
      <c r="D745" s="3" t="str">
        <f>TEXT(CleanedTable[[#This Row],[OrderDate]],"mmm yyyy")</f>
        <v>Jun 2024</v>
      </c>
      <c r="E745" t="s">
        <v>20</v>
      </c>
      <c r="F745" t="s">
        <v>27</v>
      </c>
      <c r="G745" s="12">
        <v>17</v>
      </c>
      <c r="H745" s="8">
        <v>504.08</v>
      </c>
      <c r="I745" t="s">
        <v>32</v>
      </c>
      <c r="J745" t="s">
        <v>35</v>
      </c>
      <c r="K745" s="10">
        <v>0.1</v>
      </c>
      <c r="L745" t="s">
        <v>41</v>
      </c>
      <c r="M745">
        <v>7712.4240000000009</v>
      </c>
      <c r="N745">
        <v>5141.616</v>
      </c>
      <c r="O745" s="10">
        <v>2544.3380000000011</v>
      </c>
      <c r="P745" s="10">
        <v>0.32990120875097129</v>
      </c>
      <c r="Q745" s="8">
        <v>7712.4240000000009</v>
      </c>
      <c r="R745" t="s">
        <v>43</v>
      </c>
      <c r="S745" t="s">
        <v>49</v>
      </c>
      <c r="T745" t="s">
        <v>2931</v>
      </c>
      <c r="U745">
        <v>0</v>
      </c>
      <c r="V745" t="str">
        <f>IF(CleanedTable[[#This Row],[Returned]] = 0,"NO","Yes")</f>
        <v>NO</v>
      </c>
      <c r="W745" t="s">
        <v>794</v>
      </c>
      <c r="X745" t="s">
        <v>2264</v>
      </c>
      <c r="Y745" s="10">
        <v>26.47</v>
      </c>
      <c r="Z745" s="3">
        <v>45461</v>
      </c>
      <c r="AA745" s="3">
        <v>45469</v>
      </c>
      <c r="AB745" t="s">
        <v>2923</v>
      </c>
      <c r="AC745">
        <v>8</v>
      </c>
    </row>
    <row r="746" spans="1:29" x14ac:dyDescent="0.3">
      <c r="A746" s="3">
        <v>45826</v>
      </c>
      <c r="B746" s="3" t="str">
        <f>TEXT(CleanedTable[[#This Row],[OrderDate]],"mmm")</f>
        <v>Jun</v>
      </c>
      <c r="C746" s="3" t="str">
        <f>TEXT(CleanedTable[[#This Row],[OrderDate]],"yyyy")</f>
        <v>2025</v>
      </c>
      <c r="D746" s="3" t="str">
        <f>TEXT(CleanedTable[[#This Row],[OrderDate]],"mmm yyyy")</f>
        <v>Jun 2025</v>
      </c>
      <c r="E746" t="s">
        <v>19</v>
      </c>
      <c r="F746" t="s">
        <v>28</v>
      </c>
      <c r="G746" s="12">
        <v>17</v>
      </c>
      <c r="H746" s="8">
        <v>419.63</v>
      </c>
      <c r="I746" t="s">
        <v>34</v>
      </c>
      <c r="J746" t="s">
        <v>35</v>
      </c>
      <c r="K746" s="10">
        <v>0</v>
      </c>
      <c r="L746" t="s">
        <v>38</v>
      </c>
      <c r="M746">
        <v>7133.71</v>
      </c>
      <c r="N746">
        <v>4280.2259999999997</v>
      </c>
      <c r="O746" s="10">
        <v>2836.0840000000003</v>
      </c>
      <c r="P746" s="10">
        <v>0.39756087645839266</v>
      </c>
      <c r="Q746" s="8">
        <v>7133.71</v>
      </c>
      <c r="R746" t="s">
        <v>47</v>
      </c>
      <c r="S746" t="s">
        <v>49</v>
      </c>
      <c r="T746" t="s">
        <v>2931</v>
      </c>
      <c r="U746">
        <v>0</v>
      </c>
      <c r="V746" t="str">
        <f>IF(CleanedTable[[#This Row],[Returned]] = 0,"NO","Yes")</f>
        <v>NO</v>
      </c>
      <c r="W746" t="s">
        <v>795</v>
      </c>
      <c r="X746" t="s">
        <v>2265</v>
      </c>
      <c r="Y746" s="10">
        <v>17.399999999999999</v>
      </c>
      <c r="Z746" s="3">
        <v>45826</v>
      </c>
      <c r="AA746" s="3">
        <v>45832</v>
      </c>
      <c r="AB746" t="s">
        <v>2922</v>
      </c>
      <c r="AC746">
        <v>6</v>
      </c>
    </row>
    <row r="747" spans="1:29" x14ac:dyDescent="0.3">
      <c r="A747" s="3">
        <v>45594</v>
      </c>
      <c r="B747" s="3" t="str">
        <f>TEXT(CleanedTable[[#This Row],[OrderDate]],"mmm")</f>
        <v>Oct</v>
      </c>
      <c r="C747" s="3" t="str">
        <f>TEXT(CleanedTable[[#This Row],[OrderDate]],"yyyy")</f>
        <v>2024</v>
      </c>
      <c r="D747" s="3" t="str">
        <f>TEXT(CleanedTable[[#This Row],[OrderDate]],"mmm yyyy")</f>
        <v>Oct 2024</v>
      </c>
      <c r="E747" t="s">
        <v>20</v>
      </c>
      <c r="F747" t="s">
        <v>24</v>
      </c>
      <c r="G747" s="12">
        <v>2</v>
      </c>
      <c r="H747" s="8">
        <v>267.36</v>
      </c>
      <c r="I747" t="s">
        <v>31</v>
      </c>
      <c r="J747" t="s">
        <v>35</v>
      </c>
      <c r="K747" s="10">
        <v>0.05</v>
      </c>
      <c r="L747" t="s">
        <v>39</v>
      </c>
      <c r="M747">
        <v>507.98399999999998</v>
      </c>
      <c r="N747">
        <v>320.83199999999999</v>
      </c>
      <c r="O747" s="10">
        <v>165.79199999999997</v>
      </c>
      <c r="P747" s="10">
        <v>0.32637248417272979</v>
      </c>
      <c r="Q747" s="8">
        <v>507.98399999999998</v>
      </c>
      <c r="R747" t="s">
        <v>43</v>
      </c>
      <c r="T747" t="s">
        <v>2932</v>
      </c>
      <c r="U747">
        <v>0</v>
      </c>
      <c r="V747" t="str">
        <f>IF(CleanedTable[[#This Row],[Returned]] = 0,"NO","Yes")</f>
        <v>NO</v>
      </c>
      <c r="W747" t="s">
        <v>796</v>
      </c>
      <c r="X747" t="s">
        <v>2266</v>
      </c>
      <c r="Y747" s="10">
        <v>21.36</v>
      </c>
      <c r="Z747" s="3">
        <v>45594</v>
      </c>
      <c r="AA747" s="3">
        <v>45603</v>
      </c>
      <c r="AB747" t="s">
        <v>2923</v>
      </c>
      <c r="AC747">
        <v>9</v>
      </c>
    </row>
    <row r="748" spans="1:29" x14ac:dyDescent="0.3">
      <c r="A748" s="3">
        <v>45755</v>
      </c>
      <c r="B748" s="3" t="str">
        <f>TEXT(CleanedTable[[#This Row],[OrderDate]],"mmm")</f>
        <v>Apr</v>
      </c>
      <c r="C748" s="3" t="str">
        <f>TEXT(CleanedTable[[#This Row],[OrderDate]],"yyyy")</f>
        <v>2025</v>
      </c>
      <c r="D748" s="3" t="str">
        <f>TEXT(CleanedTable[[#This Row],[OrderDate]],"mmm yyyy")</f>
        <v>Apr 2025</v>
      </c>
      <c r="E748" t="s">
        <v>22</v>
      </c>
      <c r="F748" t="s">
        <v>25</v>
      </c>
      <c r="G748" s="12">
        <v>2</v>
      </c>
      <c r="H748" s="8">
        <v>298.06</v>
      </c>
      <c r="I748" t="s">
        <v>31</v>
      </c>
      <c r="J748" t="s">
        <v>35</v>
      </c>
      <c r="K748" s="10">
        <v>0</v>
      </c>
      <c r="L748" t="s">
        <v>38</v>
      </c>
      <c r="M748">
        <v>596.12</v>
      </c>
      <c r="N748">
        <v>357.67199999999997</v>
      </c>
      <c r="O748" s="10">
        <v>203.07800000000003</v>
      </c>
      <c r="P748" s="10">
        <v>0.34066630879688659</v>
      </c>
      <c r="Q748" s="8">
        <v>596.12</v>
      </c>
      <c r="R748" t="s">
        <v>46</v>
      </c>
      <c r="S748" t="s">
        <v>49</v>
      </c>
      <c r="T748" t="s">
        <v>2931</v>
      </c>
      <c r="U748">
        <v>1</v>
      </c>
      <c r="V748" t="str">
        <f>IF(CleanedTable[[#This Row],[Returned]] = 0,"NO","Yes")</f>
        <v>Yes</v>
      </c>
      <c r="W748" t="s">
        <v>797</v>
      </c>
      <c r="X748" t="s">
        <v>2267</v>
      </c>
      <c r="Y748" s="10">
        <v>35.369999999999997</v>
      </c>
      <c r="Z748" s="3">
        <v>45755</v>
      </c>
      <c r="AA748" s="3">
        <v>45761</v>
      </c>
      <c r="AB748" t="s">
        <v>2925</v>
      </c>
      <c r="AC748">
        <v>6</v>
      </c>
    </row>
    <row r="749" spans="1:29" x14ac:dyDescent="0.3">
      <c r="A749" s="3">
        <v>44957</v>
      </c>
      <c r="B749" s="3" t="str">
        <f>TEXT(CleanedTable[[#This Row],[OrderDate]],"mmm")</f>
        <v>Jan</v>
      </c>
      <c r="C749" s="3" t="str">
        <f>TEXT(CleanedTable[[#This Row],[OrderDate]],"yyyy")</f>
        <v>2023</v>
      </c>
      <c r="D749" s="3" t="str">
        <f>TEXT(CleanedTable[[#This Row],[OrderDate]],"mmm yyyy")</f>
        <v>Jan 2023</v>
      </c>
      <c r="E749" t="s">
        <v>22</v>
      </c>
      <c r="F749" t="s">
        <v>29</v>
      </c>
      <c r="G749" s="12">
        <v>13</v>
      </c>
      <c r="H749" s="8">
        <v>132.97</v>
      </c>
      <c r="I749" t="s">
        <v>31</v>
      </c>
      <c r="J749" t="s">
        <v>35</v>
      </c>
      <c r="K749" s="10">
        <v>0.05</v>
      </c>
      <c r="L749" t="s">
        <v>39</v>
      </c>
      <c r="M749">
        <v>1642.1794999999997</v>
      </c>
      <c r="N749">
        <v>1037.1659999999999</v>
      </c>
      <c r="O749" s="10">
        <v>562.14349999999979</v>
      </c>
      <c r="P749" s="10">
        <v>0.3423155020507806</v>
      </c>
      <c r="Q749" s="8">
        <v>1642.1795</v>
      </c>
      <c r="R749" t="s">
        <v>46</v>
      </c>
      <c r="S749" t="s">
        <v>50</v>
      </c>
      <c r="T749" t="s">
        <v>2931</v>
      </c>
      <c r="U749">
        <v>0</v>
      </c>
      <c r="V749" t="str">
        <f>IF(CleanedTable[[#This Row],[Returned]] = 0,"NO","Yes")</f>
        <v>NO</v>
      </c>
      <c r="W749" t="s">
        <v>798</v>
      </c>
      <c r="X749" t="s">
        <v>2268</v>
      </c>
      <c r="Y749" s="10">
        <v>42.87</v>
      </c>
      <c r="Z749" s="3">
        <v>44957</v>
      </c>
      <c r="AA749" s="3">
        <v>44962</v>
      </c>
      <c r="AB749" t="s">
        <v>2925</v>
      </c>
      <c r="AC749">
        <v>5</v>
      </c>
    </row>
    <row r="750" spans="1:29" x14ac:dyDescent="0.3">
      <c r="A750" s="3">
        <v>45366</v>
      </c>
      <c r="B750" s="3" t="str">
        <f>TEXT(CleanedTable[[#This Row],[OrderDate]],"mmm")</f>
        <v>Mar</v>
      </c>
      <c r="C750" s="3" t="str">
        <f>TEXT(CleanedTable[[#This Row],[OrderDate]],"yyyy")</f>
        <v>2024</v>
      </c>
      <c r="D750" s="3" t="str">
        <f>TEXT(CleanedTable[[#This Row],[OrderDate]],"mmm yyyy")</f>
        <v>Mar 2024</v>
      </c>
      <c r="E750" t="s">
        <v>23</v>
      </c>
      <c r="F750" t="s">
        <v>27</v>
      </c>
      <c r="G750" s="12">
        <v>14</v>
      </c>
      <c r="H750" s="8">
        <v>476.28</v>
      </c>
      <c r="I750" t="s">
        <v>32</v>
      </c>
      <c r="J750" t="s">
        <v>35</v>
      </c>
      <c r="K750" s="10">
        <v>0.1</v>
      </c>
      <c r="L750" t="s">
        <v>37</v>
      </c>
      <c r="M750">
        <v>6001.1280000000006</v>
      </c>
      <c r="N750">
        <v>4000.7519999999995</v>
      </c>
      <c r="O750" s="10">
        <v>1978.2660000000012</v>
      </c>
      <c r="P750" s="10">
        <v>0.32964902598311535</v>
      </c>
      <c r="Q750" s="8">
        <v>6001.1280000000006</v>
      </c>
      <c r="R750" t="s">
        <v>45</v>
      </c>
      <c r="S750" t="s">
        <v>48</v>
      </c>
      <c r="T750" t="s">
        <v>2931</v>
      </c>
      <c r="U750">
        <v>0</v>
      </c>
      <c r="V750" t="str">
        <f>IF(CleanedTable[[#This Row],[Returned]] = 0,"NO","Yes")</f>
        <v>NO</v>
      </c>
      <c r="W750" t="s">
        <v>799</v>
      </c>
      <c r="X750" t="s">
        <v>2269</v>
      </c>
      <c r="Y750" s="10">
        <v>22.11</v>
      </c>
      <c r="Z750" s="3">
        <v>45366</v>
      </c>
      <c r="AA750" s="3">
        <v>45371</v>
      </c>
      <c r="AB750" t="s">
        <v>2926</v>
      </c>
      <c r="AC750">
        <v>5</v>
      </c>
    </row>
    <row r="751" spans="1:29" x14ac:dyDescent="0.3">
      <c r="A751" s="3">
        <v>45100</v>
      </c>
      <c r="B751" s="3" t="str">
        <f>TEXT(CleanedTable[[#This Row],[OrderDate]],"mmm")</f>
        <v>Jun</v>
      </c>
      <c r="C751" s="3" t="str">
        <f>TEXT(CleanedTable[[#This Row],[OrderDate]],"yyyy")</f>
        <v>2023</v>
      </c>
      <c r="D751" s="3" t="str">
        <f>TEXT(CleanedTable[[#This Row],[OrderDate]],"mmm yyyy")</f>
        <v>Jun 2023</v>
      </c>
      <c r="E751" t="s">
        <v>21</v>
      </c>
      <c r="F751" t="s">
        <v>29</v>
      </c>
      <c r="G751" s="12">
        <v>16</v>
      </c>
      <c r="H751" s="8">
        <v>294.88</v>
      </c>
      <c r="I751" t="s">
        <v>31</v>
      </c>
      <c r="J751" t="s">
        <v>36</v>
      </c>
      <c r="K751" s="10">
        <v>0.05</v>
      </c>
      <c r="L751" t="s">
        <v>39</v>
      </c>
      <c r="M751">
        <v>4482.1759999999995</v>
      </c>
      <c r="N751">
        <v>2830.848</v>
      </c>
      <c r="O751" s="10">
        <v>1634.1379999999995</v>
      </c>
      <c r="P751" s="10">
        <v>0.36458586186709308</v>
      </c>
      <c r="Q751" s="8">
        <v>4482.1759999999986</v>
      </c>
      <c r="R751" t="s">
        <v>47</v>
      </c>
      <c r="T751" t="s">
        <v>2932</v>
      </c>
      <c r="U751">
        <v>1</v>
      </c>
      <c r="V751" t="str">
        <f>IF(CleanedTable[[#This Row],[Returned]] = 0,"NO","Yes")</f>
        <v>Yes</v>
      </c>
      <c r="W751" t="s">
        <v>800</v>
      </c>
      <c r="X751" t="s">
        <v>2089</v>
      </c>
      <c r="Y751" s="10">
        <v>17.190000000000001</v>
      </c>
      <c r="Z751" s="3">
        <v>45100</v>
      </c>
      <c r="AA751" s="3">
        <v>45104</v>
      </c>
      <c r="AB751" t="s">
        <v>2924</v>
      </c>
      <c r="AC751">
        <v>4</v>
      </c>
    </row>
    <row r="752" spans="1:29" x14ac:dyDescent="0.3">
      <c r="A752" s="3">
        <v>45457</v>
      </c>
      <c r="B752" s="3" t="str">
        <f>TEXT(CleanedTable[[#This Row],[OrderDate]],"mmm")</f>
        <v>Jun</v>
      </c>
      <c r="C752" s="3" t="str">
        <f>TEXT(CleanedTable[[#This Row],[OrderDate]],"yyyy")</f>
        <v>2024</v>
      </c>
      <c r="D752" s="3" t="str">
        <f>TEXT(CleanedTable[[#This Row],[OrderDate]],"mmm yyyy")</f>
        <v>Jun 2024</v>
      </c>
      <c r="E752" t="s">
        <v>21</v>
      </c>
      <c r="F752" t="s">
        <v>28</v>
      </c>
      <c r="G752" s="12">
        <v>19</v>
      </c>
      <c r="H752" s="8">
        <v>596.03</v>
      </c>
      <c r="I752" t="s">
        <v>33</v>
      </c>
      <c r="J752" t="s">
        <v>36</v>
      </c>
      <c r="K752" s="10">
        <v>0.15</v>
      </c>
      <c r="L752" t="s">
        <v>37</v>
      </c>
      <c r="M752">
        <v>9625.8845000000001</v>
      </c>
      <c r="N752">
        <v>6794.7420000000002</v>
      </c>
      <c r="O752" s="10">
        <v>2799.1925000000001</v>
      </c>
      <c r="P752" s="10">
        <v>0.29079847155863964</v>
      </c>
      <c r="Q752" s="8">
        <v>9625.8845000000001</v>
      </c>
      <c r="R752" t="s">
        <v>46</v>
      </c>
      <c r="T752" t="s">
        <v>2932</v>
      </c>
      <c r="U752">
        <v>0</v>
      </c>
      <c r="V752" t="str">
        <f>IF(CleanedTable[[#This Row],[Returned]] = 0,"NO","Yes")</f>
        <v>NO</v>
      </c>
      <c r="W752" t="s">
        <v>801</v>
      </c>
      <c r="X752" t="s">
        <v>2270</v>
      </c>
      <c r="Y752" s="10">
        <v>31.95</v>
      </c>
      <c r="Z752" s="3">
        <v>45457</v>
      </c>
      <c r="AA752" s="3">
        <v>45466</v>
      </c>
      <c r="AB752" t="s">
        <v>2924</v>
      </c>
      <c r="AC752">
        <v>9</v>
      </c>
    </row>
    <row r="753" spans="1:29" x14ac:dyDescent="0.3">
      <c r="A753" s="3">
        <v>45260</v>
      </c>
      <c r="B753" s="3" t="str">
        <f>TEXT(CleanedTable[[#This Row],[OrderDate]],"mmm")</f>
        <v>Nov</v>
      </c>
      <c r="C753" s="3" t="str">
        <f>TEXT(CleanedTable[[#This Row],[OrderDate]],"yyyy")</f>
        <v>2023</v>
      </c>
      <c r="D753" s="3" t="str">
        <f>TEXT(CleanedTable[[#This Row],[OrderDate]],"mmm yyyy")</f>
        <v>Nov 2023</v>
      </c>
      <c r="E753" t="s">
        <v>23</v>
      </c>
      <c r="F753" t="s">
        <v>26</v>
      </c>
      <c r="G753" s="12">
        <v>6</v>
      </c>
      <c r="H753" s="8">
        <v>182.4</v>
      </c>
      <c r="I753" t="s">
        <v>31</v>
      </c>
      <c r="J753" t="s">
        <v>35</v>
      </c>
      <c r="K753" s="10">
        <v>0</v>
      </c>
      <c r="L753" t="s">
        <v>38</v>
      </c>
      <c r="M753">
        <v>1094.4000000000001</v>
      </c>
      <c r="N753">
        <v>656.64</v>
      </c>
      <c r="O753" s="10">
        <v>388.2700000000001</v>
      </c>
      <c r="P753" s="10">
        <v>0.35477887426900589</v>
      </c>
      <c r="Q753" s="8">
        <v>1094.4000000000001</v>
      </c>
      <c r="R753" t="s">
        <v>43</v>
      </c>
      <c r="S753" t="s">
        <v>48</v>
      </c>
      <c r="T753" t="s">
        <v>2931</v>
      </c>
      <c r="U753">
        <v>1</v>
      </c>
      <c r="V753" t="str">
        <f>IF(CleanedTable[[#This Row],[Returned]] = 0,"NO","Yes")</f>
        <v>Yes</v>
      </c>
      <c r="W753" t="s">
        <v>802</v>
      </c>
      <c r="X753" t="s">
        <v>2271</v>
      </c>
      <c r="Y753" s="10">
        <v>49.49</v>
      </c>
      <c r="Z753" s="3">
        <v>45260</v>
      </c>
      <c r="AA753" s="3">
        <v>45269</v>
      </c>
      <c r="AB753" t="s">
        <v>2926</v>
      </c>
      <c r="AC753">
        <v>9</v>
      </c>
    </row>
    <row r="754" spans="1:29" x14ac:dyDescent="0.3">
      <c r="A754" s="3">
        <v>45403</v>
      </c>
      <c r="B754" s="3" t="str">
        <f>TEXT(CleanedTable[[#This Row],[OrderDate]],"mmm")</f>
        <v>Apr</v>
      </c>
      <c r="C754" s="3" t="str">
        <f>TEXT(CleanedTable[[#This Row],[OrderDate]],"yyyy")</f>
        <v>2024</v>
      </c>
      <c r="D754" s="3" t="str">
        <f>TEXT(CleanedTable[[#This Row],[OrderDate]],"mmm yyyy")</f>
        <v>Apr 2024</v>
      </c>
      <c r="E754" t="s">
        <v>21</v>
      </c>
      <c r="F754" t="s">
        <v>24</v>
      </c>
      <c r="G754" s="12">
        <v>10</v>
      </c>
      <c r="H754" s="8">
        <v>400.95</v>
      </c>
      <c r="I754" t="s">
        <v>33</v>
      </c>
      <c r="J754" t="s">
        <v>36</v>
      </c>
      <c r="K754" s="10">
        <v>0.05</v>
      </c>
      <c r="L754" t="s">
        <v>40</v>
      </c>
      <c r="M754">
        <v>3809.0249999999996</v>
      </c>
      <c r="N754">
        <v>2405.6999999999998</v>
      </c>
      <c r="O754" s="10">
        <v>1385.8649999999998</v>
      </c>
      <c r="P754" s="10">
        <v>0.36383720243369366</v>
      </c>
      <c r="Q754" s="8">
        <v>3809.0250000000001</v>
      </c>
      <c r="R754" t="s">
        <v>43</v>
      </c>
      <c r="T754" t="s">
        <v>2932</v>
      </c>
      <c r="U754">
        <v>0</v>
      </c>
      <c r="V754" t="str">
        <f>IF(CleanedTable[[#This Row],[Returned]] = 0,"NO","Yes")</f>
        <v>NO</v>
      </c>
      <c r="W754" t="s">
        <v>803</v>
      </c>
      <c r="X754" t="s">
        <v>2272</v>
      </c>
      <c r="Y754" s="10">
        <v>17.46</v>
      </c>
      <c r="Z754" s="3">
        <v>45403</v>
      </c>
      <c r="AA754" s="3">
        <v>45412</v>
      </c>
      <c r="AB754" t="s">
        <v>2924</v>
      </c>
      <c r="AC754">
        <v>9</v>
      </c>
    </row>
    <row r="755" spans="1:29" x14ac:dyDescent="0.3">
      <c r="A755" s="3">
        <v>45144</v>
      </c>
      <c r="B755" s="3" t="str">
        <f>TEXT(CleanedTable[[#This Row],[OrderDate]],"mmm")</f>
        <v>Aug</v>
      </c>
      <c r="C755" s="3" t="str">
        <f>TEXT(CleanedTable[[#This Row],[OrderDate]],"yyyy")</f>
        <v>2023</v>
      </c>
      <c r="D755" s="3" t="str">
        <f>TEXT(CleanedTable[[#This Row],[OrderDate]],"mmm yyyy")</f>
        <v>Aug 2023</v>
      </c>
      <c r="E755" t="s">
        <v>19</v>
      </c>
      <c r="F755" t="s">
        <v>26</v>
      </c>
      <c r="G755" s="12">
        <v>7</v>
      </c>
      <c r="H755" s="8">
        <v>373.66</v>
      </c>
      <c r="I755" t="s">
        <v>31</v>
      </c>
      <c r="J755" t="s">
        <v>36</v>
      </c>
      <c r="K755" s="10">
        <v>0.05</v>
      </c>
      <c r="L755" t="s">
        <v>38</v>
      </c>
      <c r="M755">
        <v>2484.8390000000004</v>
      </c>
      <c r="N755">
        <v>1569.3720000000001</v>
      </c>
      <c r="O755" s="10">
        <v>869.13700000000028</v>
      </c>
      <c r="P755" s="10">
        <v>0.34977598146197808</v>
      </c>
      <c r="Q755" s="8">
        <v>2484.8389999999999</v>
      </c>
      <c r="R755" t="s">
        <v>44</v>
      </c>
      <c r="S755" t="s">
        <v>49</v>
      </c>
      <c r="T755" t="s">
        <v>2931</v>
      </c>
      <c r="U755">
        <v>0</v>
      </c>
      <c r="V755" t="str">
        <f>IF(CleanedTable[[#This Row],[Returned]] = 0,"NO","Yes")</f>
        <v>NO</v>
      </c>
      <c r="W755" t="s">
        <v>804</v>
      </c>
      <c r="X755" t="s">
        <v>2273</v>
      </c>
      <c r="Y755" s="10">
        <v>46.33</v>
      </c>
      <c r="Z755" s="3">
        <v>45144</v>
      </c>
      <c r="AA755" s="3">
        <v>45150</v>
      </c>
      <c r="AB755" t="s">
        <v>2922</v>
      </c>
      <c r="AC755">
        <v>6</v>
      </c>
    </row>
    <row r="756" spans="1:29" x14ac:dyDescent="0.3">
      <c r="A756" s="3">
        <v>45464</v>
      </c>
      <c r="B756" s="3" t="str">
        <f>TEXT(CleanedTable[[#This Row],[OrderDate]],"mmm")</f>
        <v>Jun</v>
      </c>
      <c r="C756" s="3" t="str">
        <f>TEXT(CleanedTable[[#This Row],[OrderDate]],"yyyy")</f>
        <v>2024</v>
      </c>
      <c r="D756" s="3" t="str">
        <f>TEXT(CleanedTable[[#This Row],[OrderDate]],"mmm yyyy")</f>
        <v>Jun 2024</v>
      </c>
      <c r="E756" t="s">
        <v>23</v>
      </c>
      <c r="F756" t="s">
        <v>26</v>
      </c>
      <c r="G756" s="12">
        <v>7</v>
      </c>
      <c r="H756" s="8">
        <v>355.66</v>
      </c>
      <c r="I756" t="s">
        <v>33</v>
      </c>
      <c r="J756" t="s">
        <v>36</v>
      </c>
      <c r="K756" s="10">
        <v>0.15</v>
      </c>
      <c r="L756" t="s">
        <v>40</v>
      </c>
      <c r="M756">
        <v>2116.1770000000001</v>
      </c>
      <c r="N756">
        <v>1493.7720000000002</v>
      </c>
      <c r="O756" s="10">
        <v>593.63499999999999</v>
      </c>
      <c r="P756" s="10">
        <v>0.28052237596382529</v>
      </c>
      <c r="Q756" s="8">
        <v>2116.1770000000001</v>
      </c>
      <c r="R756" t="s">
        <v>44</v>
      </c>
      <c r="S756" t="s">
        <v>48</v>
      </c>
      <c r="T756" t="s">
        <v>2931</v>
      </c>
      <c r="U756">
        <v>1</v>
      </c>
      <c r="V756" t="str">
        <f>IF(CleanedTable[[#This Row],[Returned]] = 0,"NO","Yes")</f>
        <v>Yes</v>
      </c>
      <c r="W756" t="s">
        <v>805</v>
      </c>
      <c r="X756" t="s">
        <v>2274</v>
      </c>
      <c r="Y756" s="10">
        <v>28.77</v>
      </c>
      <c r="Z756" s="3">
        <v>45464</v>
      </c>
      <c r="AA756" s="3">
        <v>45470</v>
      </c>
      <c r="AB756" t="s">
        <v>2926</v>
      </c>
      <c r="AC756">
        <v>6</v>
      </c>
    </row>
    <row r="757" spans="1:29" x14ac:dyDescent="0.3">
      <c r="A757" s="3">
        <v>45732</v>
      </c>
      <c r="B757" s="3" t="str">
        <f>TEXT(CleanedTable[[#This Row],[OrderDate]],"mmm")</f>
        <v>Mar</v>
      </c>
      <c r="C757" s="3" t="str">
        <f>TEXT(CleanedTable[[#This Row],[OrderDate]],"yyyy")</f>
        <v>2025</v>
      </c>
      <c r="D757" s="3" t="str">
        <f>TEXT(CleanedTable[[#This Row],[OrderDate]],"mmm yyyy")</f>
        <v>Mar 2025</v>
      </c>
      <c r="E757" t="s">
        <v>21</v>
      </c>
      <c r="F757" t="s">
        <v>29</v>
      </c>
      <c r="G757" s="12">
        <v>12</v>
      </c>
      <c r="H757" s="8">
        <v>260.31</v>
      </c>
      <c r="I757" t="s">
        <v>33</v>
      </c>
      <c r="J757" t="s">
        <v>36</v>
      </c>
      <c r="K757" s="10">
        <v>0.1</v>
      </c>
      <c r="L757" t="s">
        <v>42</v>
      </c>
      <c r="M757">
        <v>2811.3480000000004</v>
      </c>
      <c r="N757">
        <v>1874.232</v>
      </c>
      <c r="O757" s="10">
        <v>922.5360000000004</v>
      </c>
      <c r="P757" s="10">
        <v>0.32814720909684614</v>
      </c>
      <c r="Q757" s="8">
        <v>2811.348</v>
      </c>
      <c r="R757" t="s">
        <v>47</v>
      </c>
      <c r="S757" t="s">
        <v>49</v>
      </c>
      <c r="T757" t="s">
        <v>2931</v>
      </c>
      <c r="U757">
        <v>0</v>
      </c>
      <c r="V757" t="str">
        <f>IF(CleanedTable[[#This Row],[Returned]] = 0,"NO","Yes")</f>
        <v>NO</v>
      </c>
      <c r="W757" t="s">
        <v>806</v>
      </c>
      <c r="X757" t="s">
        <v>2275</v>
      </c>
      <c r="Y757" s="10">
        <v>14.58</v>
      </c>
      <c r="Z757" s="3">
        <v>45732</v>
      </c>
      <c r="AA757" s="3">
        <v>45740</v>
      </c>
      <c r="AB757" t="s">
        <v>2924</v>
      </c>
      <c r="AC757">
        <v>8</v>
      </c>
    </row>
    <row r="758" spans="1:29" x14ac:dyDescent="0.3">
      <c r="A758" s="3">
        <v>45402</v>
      </c>
      <c r="B758" s="3" t="str">
        <f>TEXT(CleanedTable[[#This Row],[OrderDate]],"mmm")</f>
        <v>Apr</v>
      </c>
      <c r="C758" s="3" t="str">
        <f>TEXT(CleanedTable[[#This Row],[OrderDate]],"yyyy")</f>
        <v>2024</v>
      </c>
      <c r="D758" s="3" t="str">
        <f>TEXT(CleanedTable[[#This Row],[OrderDate]],"mmm yyyy")</f>
        <v>Apr 2024</v>
      </c>
      <c r="E758" t="s">
        <v>23</v>
      </c>
      <c r="F758" t="s">
        <v>29</v>
      </c>
      <c r="G758" s="12">
        <v>10</v>
      </c>
      <c r="H758" s="8">
        <v>370.99</v>
      </c>
      <c r="I758" t="s">
        <v>31</v>
      </c>
      <c r="J758" t="s">
        <v>36</v>
      </c>
      <c r="K758" s="10">
        <v>0.15</v>
      </c>
      <c r="L758" t="s">
        <v>39</v>
      </c>
      <c r="M758">
        <v>3153.415</v>
      </c>
      <c r="N758">
        <v>2225.94</v>
      </c>
      <c r="O758" s="10">
        <v>916.31499999999994</v>
      </c>
      <c r="P758" s="10">
        <v>0.29057862666347434</v>
      </c>
      <c r="Q758" s="8">
        <v>3153.415</v>
      </c>
      <c r="R758" t="s">
        <v>43</v>
      </c>
      <c r="S758" t="s">
        <v>49</v>
      </c>
      <c r="T758" t="s">
        <v>2931</v>
      </c>
      <c r="U758">
        <v>1</v>
      </c>
      <c r="V758" t="str">
        <f>IF(CleanedTable[[#This Row],[Returned]] = 0,"NO","Yes")</f>
        <v>Yes</v>
      </c>
      <c r="W758" t="s">
        <v>807</v>
      </c>
      <c r="X758" t="s">
        <v>2276</v>
      </c>
      <c r="Y758" s="10">
        <v>11.16</v>
      </c>
      <c r="Z758" s="3">
        <v>45402</v>
      </c>
      <c r="AA758" s="3">
        <v>45407</v>
      </c>
      <c r="AB758" t="s">
        <v>2926</v>
      </c>
      <c r="AC758">
        <v>5</v>
      </c>
    </row>
    <row r="759" spans="1:29" x14ac:dyDescent="0.3">
      <c r="A759" s="3">
        <v>45646</v>
      </c>
      <c r="B759" s="3" t="str">
        <f>TEXT(CleanedTable[[#This Row],[OrderDate]],"mmm")</f>
        <v>Dec</v>
      </c>
      <c r="C759" s="3" t="str">
        <f>TEXT(CleanedTable[[#This Row],[OrderDate]],"yyyy")</f>
        <v>2024</v>
      </c>
      <c r="D759" s="3" t="str">
        <f>TEXT(CleanedTable[[#This Row],[OrderDate]],"mmm yyyy")</f>
        <v>Dec 2024</v>
      </c>
      <c r="E759" t="s">
        <v>19</v>
      </c>
      <c r="F759" t="s">
        <v>24</v>
      </c>
      <c r="G759" s="12">
        <v>2</v>
      </c>
      <c r="H759" s="8">
        <v>548.72</v>
      </c>
      <c r="I759" t="s">
        <v>32</v>
      </c>
      <c r="J759" t="s">
        <v>35</v>
      </c>
      <c r="K759" s="10">
        <v>0.1</v>
      </c>
      <c r="L759" t="s">
        <v>39</v>
      </c>
      <c r="M759">
        <v>987.69600000000003</v>
      </c>
      <c r="N759">
        <v>658.46400000000006</v>
      </c>
      <c r="O759" s="10">
        <v>302.88199999999995</v>
      </c>
      <c r="P759" s="10">
        <v>0.30665508415544857</v>
      </c>
      <c r="Q759" s="8">
        <v>987.69600000000003</v>
      </c>
      <c r="R759" t="s">
        <v>45</v>
      </c>
      <c r="S759" t="s">
        <v>48</v>
      </c>
      <c r="T759" t="s">
        <v>2931</v>
      </c>
      <c r="U759">
        <v>1</v>
      </c>
      <c r="V759" t="str">
        <f>IF(CleanedTable[[#This Row],[Returned]] = 0,"NO","Yes")</f>
        <v>Yes</v>
      </c>
      <c r="W759" t="s">
        <v>808</v>
      </c>
      <c r="X759" t="s">
        <v>2277</v>
      </c>
      <c r="Y759" s="10">
        <v>26.35</v>
      </c>
      <c r="Z759" s="3">
        <v>45646</v>
      </c>
      <c r="AA759" s="3">
        <v>45655</v>
      </c>
      <c r="AB759" t="s">
        <v>2922</v>
      </c>
      <c r="AC759">
        <v>9</v>
      </c>
    </row>
    <row r="760" spans="1:29" x14ac:dyDescent="0.3">
      <c r="A760" s="3">
        <v>45160</v>
      </c>
      <c r="B760" s="3" t="str">
        <f>TEXT(CleanedTable[[#This Row],[OrderDate]],"mmm")</f>
        <v>Aug</v>
      </c>
      <c r="C760" s="3" t="str">
        <f>TEXT(CleanedTable[[#This Row],[OrderDate]],"yyyy")</f>
        <v>2023</v>
      </c>
      <c r="D760" s="3" t="str">
        <f>TEXT(CleanedTable[[#This Row],[OrderDate]],"mmm yyyy")</f>
        <v>Aug 2023</v>
      </c>
      <c r="E760" t="s">
        <v>21</v>
      </c>
      <c r="F760" t="s">
        <v>30</v>
      </c>
      <c r="G760" s="12">
        <v>8</v>
      </c>
      <c r="H760" s="8">
        <v>343.53</v>
      </c>
      <c r="I760" t="s">
        <v>32</v>
      </c>
      <c r="J760" t="s">
        <v>35</v>
      </c>
      <c r="K760" s="10">
        <v>0</v>
      </c>
      <c r="L760" t="s">
        <v>39</v>
      </c>
      <c r="M760">
        <v>2748.24</v>
      </c>
      <c r="N760">
        <v>1648.9439999999997</v>
      </c>
      <c r="O760" s="10">
        <v>1083.1960000000001</v>
      </c>
      <c r="P760" s="10">
        <v>0.39414170523680619</v>
      </c>
      <c r="Q760" s="8">
        <v>2748.24</v>
      </c>
      <c r="R760" t="s">
        <v>47</v>
      </c>
      <c r="T760" t="s">
        <v>2932</v>
      </c>
      <c r="U760">
        <v>0</v>
      </c>
      <c r="V760" t="str">
        <f>IF(CleanedTable[[#This Row],[Returned]] = 0,"NO","Yes")</f>
        <v>NO</v>
      </c>
      <c r="W760" t="s">
        <v>809</v>
      </c>
      <c r="X760" t="s">
        <v>2278</v>
      </c>
      <c r="Y760" s="10">
        <v>16.100000000000001</v>
      </c>
      <c r="Z760" s="3">
        <v>45160</v>
      </c>
      <c r="AA760" s="3">
        <v>45170</v>
      </c>
      <c r="AB760" t="s">
        <v>2924</v>
      </c>
      <c r="AC760">
        <v>10</v>
      </c>
    </row>
    <row r="761" spans="1:29" x14ac:dyDescent="0.3">
      <c r="A761" s="3">
        <v>44989</v>
      </c>
      <c r="B761" s="3" t="str">
        <f>TEXT(CleanedTable[[#This Row],[OrderDate]],"mmm")</f>
        <v>Mar</v>
      </c>
      <c r="C761" s="3" t="str">
        <f>TEXT(CleanedTable[[#This Row],[OrderDate]],"yyyy")</f>
        <v>2023</v>
      </c>
      <c r="D761" s="3" t="str">
        <f>TEXT(CleanedTable[[#This Row],[OrderDate]],"mmm yyyy")</f>
        <v>Mar 2023</v>
      </c>
      <c r="E761" t="s">
        <v>21</v>
      </c>
      <c r="F761" t="s">
        <v>29</v>
      </c>
      <c r="G761" s="12">
        <v>13</v>
      </c>
      <c r="H761" s="8">
        <v>494.78</v>
      </c>
      <c r="I761" t="s">
        <v>32</v>
      </c>
      <c r="J761" t="s">
        <v>35</v>
      </c>
      <c r="K761" s="10">
        <v>0.15</v>
      </c>
      <c r="L761" t="s">
        <v>41</v>
      </c>
      <c r="M761">
        <v>5467.3189999999995</v>
      </c>
      <c r="N761">
        <v>3859.2840000000001</v>
      </c>
      <c r="O761" s="10">
        <v>1602.1849999999995</v>
      </c>
      <c r="P761" s="10">
        <v>0.29304765278923722</v>
      </c>
      <c r="Q761" s="8">
        <v>5467.3190000000004</v>
      </c>
      <c r="R761" t="s">
        <v>47</v>
      </c>
      <c r="S761" t="s">
        <v>48</v>
      </c>
      <c r="T761" t="s">
        <v>2931</v>
      </c>
      <c r="U761">
        <v>0</v>
      </c>
      <c r="V761" t="str">
        <f>IF(CleanedTable[[#This Row],[Returned]] = 0,"NO","Yes")</f>
        <v>NO</v>
      </c>
      <c r="W761" t="s">
        <v>810</v>
      </c>
      <c r="X761" t="s">
        <v>2279</v>
      </c>
      <c r="Y761" s="10">
        <v>5.85</v>
      </c>
      <c r="Z761" s="3">
        <v>44989</v>
      </c>
      <c r="AA761" s="3">
        <v>44998</v>
      </c>
      <c r="AB761" t="s">
        <v>2924</v>
      </c>
      <c r="AC761">
        <v>9</v>
      </c>
    </row>
    <row r="762" spans="1:29" x14ac:dyDescent="0.3">
      <c r="A762" s="3">
        <v>45467</v>
      </c>
      <c r="B762" s="3" t="str">
        <f>TEXT(CleanedTable[[#This Row],[OrderDate]],"mmm")</f>
        <v>Jun</v>
      </c>
      <c r="C762" s="3" t="str">
        <f>TEXT(CleanedTable[[#This Row],[OrderDate]],"yyyy")</f>
        <v>2024</v>
      </c>
      <c r="D762" s="3" t="str">
        <f>TEXT(CleanedTable[[#This Row],[OrderDate]],"mmm yyyy")</f>
        <v>Jun 2024</v>
      </c>
      <c r="E762" t="s">
        <v>21</v>
      </c>
      <c r="F762" t="s">
        <v>24</v>
      </c>
      <c r="G762" s="12">
        <v>9</v>
      </c>
      <c r="H762" s="8">
        <v>36.619999999999997</v>
      </c>
      <c r="I762" t="s">
        <v>31</v>
      </c>
      <c r="J762" t="s">
        <v>35</v>
      </c>
      <c r="K762" s="10">
        <v>0.1</v>
      </c>
      <c r="L762" t="s">
        <v>37</v>
      </c>
      <c r="M762">
        <v>296.62200000000001</v>
      </c>
      <c r="N762">
        <v>197.74799999999999</v>
      </c>
      <c r="O762" s="10">
        <v>68.974000000000018</v>
      </c>
      <c r="P762" s="10">
        <v>0.23253163959517506</v>
      </c>
      <c r="Q762" s="8">
        <v>296.62200000000001</v>
      </c>
      <c r="R762" t="s">
        <v>46</v>
      </c>
      <c r="S762" t="s">
        <v>48</v>
      </c>
      <c r="T762" t="s">
        <v>2931</v>
      </c>
      <c r="U762">
        <v>1</v>
      </c>
      <c r="V762" t="str">
        <f>IF(CleanedTable[[#This Row],[Returned]] = 0,"NO","Yes")</f>
        <v>Yes</v>
      </c>
      <c r="W762" t="s">
        <v>811</v>
      </c>
      <c r="X762" t="s">
        <v>2280</v>
      </c>
      <c r="Y762" s="10">
        <v>29.9</v>
      </c>
      <c r="Z762" s="3">
        <v>45467</v>
      </c>
      <c r="AA762" s="3">
        <v>45474</v>
      </c>
      <c r="AB762" t="s">
        <v>2924</v>
      </c>
      <c r="AC762">
        <v>7</v>
      </c>
    </row>
    <row r="763" spans="1:29" x14ac:dyDescent="0.3">
      <c r="A763" s="3">
        <v>45635</v>
      </c>
      <c r="B763" s="3" t="str">
        <f>TEXT(CleanedTable[[#This Row],[OrderDate]],"mmm")</f>
        <v>Dec</v>
      </c>
      <c r="C763" s="3" t="str">
        <f>TEXT(CleanedTable[[#This Row],[OrderDate]],"yyyy")</f>
        <v>2024</v>
      </c>
      <c r="D763" s="3" t="str">
        <f>TEXT(CleanedTable[[#This Row],[OrderDate]],"mmm yyyy")</f>
        <v>Dec 2024</v>
      </c>
      <c r="E763" t="s">
        <v>19</v>
      </c>
      <c r="F763" t="s">
        <v>29</v>
      </c>
      <c r="G763" s="12">
        <v>14</v>
      </c>
      <c r="H763" s="8">
        <v>216.2</v>
      </c>
      <c r="I763" t="s">
        <v>33</v>
      </c>
      <c r="J763" t="s">
        <v>35</v>
      </c>
      <c r="K763" s="10">
        <v>0</v>
      </c>
      <c r="L763" t="s">
        <v>41</v>
      </c>
      <c r="M763">
        <v>3026.7999999999997</v>
      </c>
      <c r="N763">
        <v>1816.08</v>
      </c>
      <c r="O763" s="10">
        <v>1196.3299999999997</v>
      </c>
      <c r="P763" s="10">
        <v>0.39524580414959687</v>
      </c>
      <c r="Q763" s="8">
        <v>3026.8</v>
      </c>
      <c r="R763" t="s">
        <v>43</v>
      </c>
      <c r="S763" t="s">
        <v>50</v>
      </c>
      <c r="T763" t="s">
        <v>2931</v>
      </c>
      <c r="U763">
        <v>0</v>
      </c>
      <c r="V763" t="str">
        <f>IF(CleanedTable[[#This Row],[Returned]] = 0,"NO","Yes")</f>
        <v>NO</v>
      </c>
      <c r="W763" t="s">
        <v>812</v>
      </c>
      <c r="X763" t="s">
        <v>2281</v>
      </c>
      <c r="Y763" s="10">
        <v>14.39</v>
      </c>
      <c r="Z763" s="3">
        <v>45635</v>
      </c>
      <c r="AA763" s="3">
        <v>45639</v>
      </c>
      <c r="AB763" t="s">
        <v>2922</v>
      </c>
      <c r="AC763">
        <v>4</v>
      </c>
    </row>
    <row r="764" spans="1:29" x14ac:dyDescent="0.3">
      <c r="A764" s="3">
        <v>45477</v>
      </c>
      <c r="B764" s="3" t="str">
        <f>TEXT(CleanedTable[[#This Row],[OrderDate]],"mmm")</f>
        <v>Jul</v>
      </c>
      <c r="C764" s="3" t="str">
        <f>TEXT(CleanedTable[[#This Row],[OrderDate]],"yyyy")</f>
        <v>2024</v>
      </c>
      <c r="D764" s="3" t="str">
        <f>TEXT(CleanedTable[[#This Row],[OrderDate]],"mmm yyyy")</f>
        <v>Jul 2024</v>
      </c>
      <c r="E764" t="s">
        <v>23</v>
      </c>
      <c r="F764" t="s">
        <v>24</v>
      </c>
      <c r="G764" s="12">
        <v>11</v>
      </c>
      <c r="H764" s="8">
        <v>128.99</v>
      </c>
      <c r="I764" t="s">
        <v>32</v>
      </c>
      <c r="J764" t="s">
        <v>36</v>
      </c>
      <c r="K764" s="10">
        <v>0.05</v>
      </c>
      <c r="L764" t="s">
        <v>41</v>
      </c>
      <c r="M764">
        <v>1347.9455</v>
      </c>
      <c r="N764">
        <v>851.33400000000006</v>
      </c>
      <c r="O764" s="10">
        <v>458.03149999999999</v>
      </c>
      <c r="P764" s="10">
        <v>0.3397997174218097</v>
      </c>
      <c r="Q764" s="8">
        <v>1347.9455</v>
      </c>
      <c r="R764" t="s">
        <v>46</v>
      </c>
      <c r="S764" t="s">
        <v>49</v>
      </c>
      <c r="T764" t="s">
        <v>2931</v>
      </c>
      <c r="U764">
        <v>0</v>
      </c>
      <c r="V764" t="str">
        <f>IF(CleanedTable[[#This Row],[Returned]] = 0,"NO","Yes")</f>
        <v>NO</v>
      </c>
      <c r="W764" t="s">
        <v>813</v>
      </c>
      <c r="X764" t="s">
        <v>1901</v>
      </c>
      <c r="Y764" s="10">
        <v>38.58</v>
      </c>
      <c r="Z764" s="3">
        <v>45477</v>
      </c>
      <c r="AA764" s="3">
        <v>45480</v>
      </c>
      <c r="AB764" t="s">
        <v>2926</v>
      </c>
      <c r="AC764">
        <v>3</v>
      </c>
    </row>
    <row r="765" spans="1:29" x14ac:dyDescent="0.3">
      <c r="A765" s="3">
        <v>45720</v>
      </c>
      <c r="B765" s="3" t="str">
        <f>TEXT(CleanedTable[[#This Row],[OrderDate]],"mmm")</f>
        <v>Mar</v>
      </c>
      <c r="C765" s="3" t="str">
        <f>TEXT(CleanedTable[[#This Row],[OrderDate]],"yyyy")</f>
        <v>2025</v>
      </c>
      <c r="D765" s="3" t="str">
        <f>TEXT(CleanedTable[[#This Row],[OrderDate]],"mmm yyyy")</f>
        <v>Mar 2025</v>
      </c>
      <c r="E765" t="s">
        <v>19</v>
      </c>
      <c r="F765" t="s">
        <v>25</v>
      </c>
      <c r="G765" s="12">
        <v>11</v>
      </c>
      <c r="H765" s="8">
        <v>183.11</v>
      </c>
      <c r="I765" t="s">
        <v>31</v>
      </c>
      <c r="J765" t="s">
        <v>36</v>
      </c>
      <c r="K765" s="10">
        <v>0.15</v>
      </c>
      <c r="L765" t="s">
        <v>39</v>
      </c>
      <c r="M765">
        <v>1712.0785000000001</v>
      </c>
      <c r="N765">
        <v>1208.5260000000001</v>
      </c>
      <c r="O765" s="10">
        <v>461.72250000000003</v>
      </c>
      <c r="P765" s="10">
        <v>0.26968535613291095</v>
      </c>
      <c r="Q765" s="8">
        <v>1712.0785000000001</v>
      </c>
      <c r="R765" t="s">
        <v>44</v>
      </c>
      <c r="S765" t="s">
        <v>48</v>
      </c>
      <c r="T765" t="s">
        <v>2931</v>
      </c>
      <c r="U765">
        <v>0</v>
      </c>
      <c r="V765" t="str">
        <f>IF(CleanedTable[[#This Row],[Returned]] = 0,"NO","Yes")</f>
        <v>NO</v>
      </c>
      <c r="W765" t="s">
        <v>814</v>
      </c>
      <c r="X765" t="s">
        <v>2282</v>
      </c>
      <c r="Y765" s="10">
        <v>41.83</v>
      </c>
      <c r="Z765" s="3">
        <v>45720</v>
      </c>
      <c r="AA765" s="3">
        <v>45722</v>
      </c>
      <c r="AB765" t="s">
        <v>2922</v>
      </c>
      <c r="AC765">
        <v>2</v>
      </c>
    </row>
    <row r="766" spans="1:29" x14ac:dyDescent="0.3">
      <c r="A766" s="3">
        <v>45313</v>
      </c>
      <c r="B766" s="3" t="str">
        <f>TEXT(CleanedTable[[#This Row],[OrderDate]],"mmm")</f>
        <v>Jan</v>
      </c>
      <c r="C766" s="3" t="str">
        <f>TEXT(CleanedTable[[#This Row],[OrderDate]],"yyyy")</f>
        <v>2024</v>
      </c>
      <c r="D766" s="3" t="str">
        <f>TEXT(CleanedTable[[#This Row],[OrderDate]],"mmm yyyy")</f>
        <v>Jan 2024</v>
      </c>
      <c r="E766" t="s">
        <v>19</v>
      </c>
      <c r="F766" t="s">
        <v>30</v>
      </c>
      <c r="G766" s="12">
        <v>11</v>
      </c>
      <c r="H766" s="8">
        <v>277.95</v>
      </c>
      <c r="I766" t="s">
        <v>32</v>
      </c>
      <c r="J766" t="s">
        <v>36</v>
      </c>
      <c r="K766" s="10">
        <v>0.05</v>
      </c>
      <c r="L766" t="s">
        <v>39</v>
      </c>
      <c r="M766">
        <v>2904.5774999999999</v>
      </c>
      <c r="N766">
        <v>1834.4699999999998</v>
      </c>
      <c r="O766" s="10">
        <v>1026.0675000000001</v>
      </c>
      <c r="P766" s="10">
        <v>0.35325877860033006</v>
      </c>
      <c r="Q766" s="8">
        <v>2904.5774999999999</v>
      </c>
      <c r="R766" t="s">
        <v>44</v>
      </c>
      <c r="S766" t="s">
        <v>50</v>
      </c>
      <c r="T766" t="s">
        <v>2931</v>
      </c>
      <c r="U766">
        <v>0</v>
      </c>
      <c r="V766" t="str">
        <f>IF(CleanedTable[[#This Row],[Returned]] = 0,"NO","Yes")</f>
        <v>NO</v>
      </c>
      <c r="W766" t="s">
        <v>815</v>
      </c>
      <c r="X766" t="s">
        <v>2283</v>
      </c>
      <c r="Y766" s="10">
        <v>44.04</v>
      </c>
      <c r="Z766" s="3">
        <v>45313</v>
      </c>
      <c r="AA766" s="3">
        <v>45320</v>
      </c>
      <c r="AB766" t="s">
        <v>2922</v>
      </c>
      <c r="AC766">
        <v>7</v>
      </c>
    </row>
    <row r="767" spans="1:29" x14ac:dyDescent="0.3">
      <c r="A767" s="3">
        <v>45728</v>
      </c>
      <c r="B767" s="3" t="str">
        <f>TEXT(CleanedTable[[#This Row],[OrderDate]],"mmm")</f>
        <v>Mar</v>
      </c>
      <c r="C767" s="3" t="str">
        <f>TEXT(CleanedTable[[#This Row],[OrderDate]],"yyyy")</f>
        <v>2025</v>
      </c>
      <c r="D767" s="3" t="str">
        <f>TEXT(CleanedTable[[#This Row],[OrderDate]],"mmm yyyy")</f>
        <v>Mar 2025</v>
      </c>
      <c r="E767" t="s">
        <v>19</v>
      </c>
      <c r="F767" t="s">
        <v>26</v>
      </c>
      <c r="G767" s="12">
        <v>14</v>
      </c>
      <c r="H767" s="8">
        <v>554.08000000000004</v>
      </c>
      <c r="I767" t="s">
        <v>32</v>
      </c>
      <c r="J767" t="s">
        <v>36</v>
      </c>
      <c r="K767" s="10">
        <v>0.05</v>
      </c>
      <c r="L767" t="s">
        <v>41</v>
      </c>
      <c r="M767">
        <v>7369.2640000000001</v>
      </c>
      <c r="N767">
        <v>4654.2720000000008</v>
      </c>
      <c r="O767" s="10">
        <v>2678.2719999999995</v>
      </c>
      <c r="P767" s="10">
        <v>0.36343819409916639</v>
      </c>
      <c r="Q767" s="8">
        <v>7369.2640000000001</v>
      </c>
      <c r="R767" t="s">
        <v>47</v>
      </c>
      <c r="T767" t="s">
        <v>2932</v>
      </c>
      <c r="U767">
        <v>0</v>
      </c>
      <c r="V767" t="str">
        <f>IF(CleanedTable[[#This Row],[Returned]] = 0,"NO","Yes")</f>
        <v>NO</v>
      </c>
      <c r="W767" t="s">
        <v>816</v>
      </c>
      <c r="X767" t="s">
        <v>2284</v>
      </c>
      <c r="Y767" s="10">
        <v>36.72</v>
      </c>
      <c r="Z767" s="3">
        <v>45728</v>
      </c>
      <c r="AA767" s="3">
        <v>45737</v>
      </c>
      <c r="AB767" t="s">
        <v>2922</v>
      </c>
      <c r="AC767">
        <v>9</v>
      </c>
    </row>
    <row r="768" spans="1:29" x14ac:dyDescent="0.3">
      <c r="A768" s="3">
        <v>45716</v>
      </c>
      <c r="B768" s="3" t="str">
        <f>TEXT(CleanedTable[[#This Row],[OrderDate]],"mmm")</f>
        <v>Feb</v>
      </c>
      <c r="C768" s="3" t="str">
        <f>TEXT(CleanedTable[[#This Row],[OrderDate]],"yyyy")</f>
        <v>2025</v>
      </c>
      <c r="D768" s="3" t="str">
        <f>TEXT(CleanedTable[[#This Row],[OrderDate]],"mmm yyyy")</f>
        <v>Feb 2025</v>
      </c>
      <c r="E768" t="s">
        <v>22</v>
      </c>
      <c r="F768" t="s">
        <v>25</v>
      </c>
      <c r="G768" s="12">
        <v>15</v>
      </c>
      <c r="H768" s="8">
        <v>23.32</v>
      </c>
      <c r="I768" t="s">
        <v>32</v>
      </c>
      <c r="J768" t="s">
        <v>36</v>
      </c>
      <c r="K768" s="10">
        <v>0.05</v>
      </c>
      <c r="L768" t="s">
        <v>40</v>
      </c>
      <c r="M768">
        <v>332.31</v>
      </c>
      <c r="N768">
        <v>209.88</v>
      </c>
      <c r="O768" s="10">
        <v>97.160000000000011</v>
      </c>
      <c r="P768" s="10">
        <v>0.29237759922963502</v>
      </c>
      <c r="Q768" s="8">
        <v>332.31</v>
      </c>
      <c r="R768" t="s">
        <v>46</v>
      </c>
      <c r="T768" t="s">
        <v>2932</v>
      </c>
      <c r="U768">
        <v>0</v>
      </c>
      <c r="V768" t="str">
        <f>IF(CleanedTable[[#This Row],[Returned]] = 0,"NO","Yes")</f>
        <v>NO</v>
      </c>
      <c r="W768" t="s">
        <v>817</v>
      </c>
      <c r="X768" t="s">
        <v>2285</v>
      </c>
      <c r="Y768" s="10">
        <v>25.27</v>
      </c>
      <c r="Z768" s="3">
        <v>45716</v>
      </c>
      <c r="AA768" s="3">
        <v>45719</v>
      </c>
      <c r="AB768" t="s">
        <v>2925</v>
      </c>
      <c r="AC768">
        <v>3</v>
      </c>
    </row>
    <row r="769" spans="1:29" x14ac:dyDescent="0.3">
      <c r="A769" s="3">
        <v>45435</v>
      </c>
      <c r="B769" s="3" t="str">
        <f>TEXT(CleanedTable[[#This Row],[OrderDate]],"mmm")</f>
        <v>May</v>
      </c>
      <c r="C769" s="3" t="str">
        <f>TEXT(CleanedTable[[#This Row],[OrderDate]],"yyyy")</f>
        <v>2024</v>
      </c>
      <c r="D769" s="3" t="str">
        <f>TEXT(CleanedTable[[#This Row],[OrderDate]],"mmm yyyy")</f>
        <v>May 2024</v>
      </c>
      <c r="E769" t="s">
        <v>19</v>
      </c>
      <c r="F769" t="s">
        <v>26</v>
      </c>
      <c r="G769" s="12">
        <v>4</v>
      </c>
      <c r="H769" s="8">
        <v>20.96</v>
      </c>
      <c r="I769" t="s">
        <v>34</v>
      </c>
      <c r="J769" t="s">
        <v>35</v>
      </c>
      <c r="K769" s="10">
        <v>0.05</v>
      </c>
      <c r="L769" t="s">
        <v>42</v>
      </c>
      <c r="M769">
        <v>79.647999999999996</v>
      </c>
      <c r="N769">
        <v>50.304000000000002</v>
      </c>
      <c r="O769" s="10">
        <v>-4.3260000000000076</v>
      </c>
      <c r="P769" s="10">
        <v>-5.4313981518682303E-2</v>
      </c>
      <c r="Q769" s="8">
        <v>79.647999999999996</v>
      </c>
      <c r="R769" t="s">
        <v>43</v>
      </c>
      <c r="S769" t="s">
        <v>48</v>
      </c>
      <c r="T769" t="s">
        <v>2931</v>
      </c>
      <c r="U769">
        <v>1</v>
      </c>
      <c r="V769" t="str">
        <f>IF(CleanedTable[[#This Row],[Returned]] = 0,"NO","Yes")</f>
        <v>Yes</v>
      </c>
      <c r="W769" t="s">
        <v>818</v>
      </c>
      <c r="X769" t="s">
        <v>2286</v>
      </c>
      <c r="Y769" s="10">
        <v>33.67</v>
      </c>
      <c r="Z769" s="3">
        <v>45435</v>
      </c>
      <c r="AA769" s="3">
        <v>45443</v>
      </c>
      <c r="AB769" t="s">
        <v>2922</v>
      </c>
      <c r="AC769">
        <v>8</v>
      </c>
    </row>
    <row r="770" spans="1:29" x14ac:dyDescent="0.3">
      <c r="A770" s="3">
        <v>45186</v>
      </c>
      <c r="B770" s="3" t="str">
        <f>TEXT(CleanedTable[[#This Row],[OrderDate]],"mmm")</f>
        <v>Sep</v>
      </c>
      <c r="C770" s="3" t="str">
        <f>TEXT(CleanedTable[[#This Row],[OrderDate]],"yyyy")</f>
        <v>2023</v>
      </c>
      <c r="D770" s="3" t="str">
        <f>TEXT(CleanedTable[[#This Row],[OrderDate]],"mmm yyyy")</f>
        <v>Sep 2023</v>
      </c>
      <c r="E770" t="s">
        <v>21</v>
      </c>
      <c r="F770" t="s">
        <v>26</v>
      </c>
      <c r="G770" s="12">
        <v>18</v>
      </c>
      <c r="H770" s="8">
        <v>132.29</v>
      </c>
      <c r="I770" t="s">
        <v>32</v>
      </c>
      <c r="J770" t="s">
        <v>35</v>
      </c>
      <c r="K770" s="10">
        <v>0.05</v>
      </c>
      <c r="L770" t="s">
        <v>41</v>
      </c>
      <c r="M770">
        <v>2262.1589999999997</v>
      </c>
      <c r="N770">
        <v>1428.732</v>
      </c>
      <c r="O770" s="10">
        <v>809.12699999999973</v>
      </c>
      <c r="P770" s="10">
        <v>0.35767910213207821</v>
      </c>
      <c r="Q770" s="8">
        <v>2262.1590000000001</v>
      </c>
      <c r="R770" t="s">
        <v>45</v>
      </c>
      <c r="T770" t="s">
        <v>2932</v>
      </c>
      <c r="U770">
        <v>1</v>
      </c>
      <c r="V770" t="str">
        <f>IF(CleanedTable[[#This Row],[Returned]] = 0,"NO","Yes")</f>
        <v>Yes</v>
      </c>
      <c r="W770" t="s">
        <v>819</v>
      </c>
      <c r="X770" t="s">
        <v>2287</v>
      </c>
      <c r="Y770" s="10">
        <v>24.3</v>
      </c>
      <c r="Z770" s="3">
        <v>45186</v>
      </c>
      <c r="AA770" s="3">
        <v>45189</v>
      </c>
      <c r="AB770" t="s">
        <v>2924</v>
      </c>
      <c r="AC770">
        <v>3</v>
      </c>
    </row>
    <row r="771" spans="1:29" x14ac:dyDescent="0.3">
      <c r="A771" s="3">
        <v>45090</v>
      </c>
      <c r="B771" s="3" t="str">
        <f>TEXT(CleanedTable[[#This Row],[OrderDate]],"mmm")</f>
        <v>Jun</v>
      </c>
      <c r="C771" s="3" t="str">
        <f>TEXT(CleanedTable[[#This Row],[OrderDate]],"yyyy")</f>
        <v>2023</v>
      </c>
      <c r="D771" s="3" t="str">
        <f>TEXT(CleanedTable[[#This Row],[OrderDate]],"mmm yyyy")</f>
        <v>Jun 2023</v>
      </c>
      <c r="E771" t="s">
        <v>19</v>
      </c>
      <c r="F771" t="s">
        <v>25</v>
      </c>
      <c r="G771" s="12">
        <v>19</v>
      </c>
      <c r="H771" s="8">
        <v>199.65</v>
      </c>
      <c r="I771" t="s">
        <v>32</v>
      </c>
      <c r="J771" t="s">
        <v>36</v>
      </c>
      <c r="K771" s="10">
        <v>0.1</v>
      </c>
      <c r="L771" t="s">
        <v>40</v>
      </c>
      <c r="M771">
        <v>3414.0149999999999</v>
      </c>
      <c r="N771">
        <v>2276.0099999999998</v>
      </c>
      <c r="O771" s="10">
        <v>1102.8850000000002</v>
      </c>
      <c r="P771" s="10">
        <v>0.32304632522118393</v>
      </c>
      <c r="Q771" s="8">
        <v>3414.0149999999999</v>
      </c>
      <c r="R771" t="s">
        <v>47</v>
      </c>
      <c r="S771" t="s">
        <v>49</v>
      </c>
      <c r="T771" t="s">
        <v>2931</v>
      </c>
      <c r="U771">
        <v>1</v>
      </c>
      <c r="V771" t="str">
        <f>IF(CleanedTable[[#This Row],[Returned]] = 0,"NO","Yes")</f>
        <v>Yes</v>
      </c>
      <c r="W771" t="s">
        <v>820</v>
      </c>
      <c r="X771" t="s">
        <v>2288</v>
      </c>
      <c r="Y771" s="10">
        <v>35.119999999999997</v>
      </c>
      <c r="Z771" s="3">
        <v>45090</v>
      </c>
      <c r="AA771" s="3">
        <v>45095</v>
      </c>
      <c r="AB771" t="s">
        <v>2922</v>
      </c>
      <c r="AC771">
        <v>5</v>
      </c>
    </row>
    <row r="772" spans="1:29" x14ac:dyDescent="0.3">
      <c r="A772" s="3">
        <v>45808</v>
      </c>
      <c r="B772" s="3" t="str">
        <f>TEXT(CleanedTable[[#This Row],[OrderDate]],"mmm")</f>
        <v>May</v>
      </c>
      <c r="C772" s="3" t="str">
        <f>TEXT(CleanedTable[[#This Row],[OrderDate]],"yyyy")</f>
        <v>2025</v>
      </c>
      <c r="D772" s="3" t="str">
        <f>TEXT(CleanedTable[[#This Row],[OrderDate]],"mmm yyyy")</f>
        <v>May 2025</v>
      </c>
      <c r="E772" t="s">
        <v>23</v>
      </c>
      <c r="F772" t="s">
        <v>25</v>
      </c>
      <c r="G772" s="12">
        <v>16</v>
      </c>
      <c r="H772" s="8">
        <v>307</v>
      </c>
      <c r="I772" t="s">
        <v>32</v>
      </c>
      <c r="J772" t="s">
        <v>35</v>
      </c>
      <c r="K772" s="10">
        <v>0</v>
      </c>
      <c r="L772" t="s">
        <v>42</v>
      </c>
      <c r="M772">
        <v>4912</v>
      </c>
      <c r="N772">
        <v>2947.2</v>
      </c>
      <c r="O772" s="10">
        <v>1952.8100000000002</v>
      </c>
      <c r="P772" s="10">
        <v>0.39755903908794793</v>
      </c>
      <c r="Q772" s="8">
        <v>4912</v>
      </c>
      <c r="R772" t="s">
        <v>46</v>
      </c>
      <c r="S772" t="s">
        <v>48</v>
      </c>
      <c r="T772" t="s">
        <v>2931</v>
      </c>
      <c r="U772">
        <v>0</v>
      </c>
      <c r="V772" t="str">
        <f>IF(CleanedTable[[#This Row],[Returned]] = 0,"NO","Yes")</f>
        <v>NO</v>
      </c>
      <c r="W772" t="s">
        <v>821</v>
      </c>
      <c r="X772" t="s">
        <v>2289</v>
      </c>
      <c r="Y772" s="10">
        <v>11.99</v>
      </c>
      <c r="Z772" s="3">
        <v>45808</v>
      </c>
      <c r="AA772" s="3">
        <v>45810</v>
      </c>
      <c r="AB772" t="s">
        <v>2926</v>
      </c>
      <c r="AC772">
        <v>2</v>
      </c>
    </row>
    <row r="773" spans="1:29" x14ac:dyDescent="0.3">
      <c r="A773" s="3">
        <v>45210</v>
      </c>
      <c r="B773" s="3" t="str">
        <f>TEXT(CleanedTable[[#This Row],[OrderDate]],"mmm")</f>
        <v>Oct</v>
      </c>
      <c r="C773" s="3" t="str">
        <f>TEXT(CleanedTable[[#This Row],[OrderDate]],"yyyy")</f>
        <v>2023</v>
      </c>
      <c r="D773" s="3" t="str">
        <f>TEXT(CleanedTable[[#This Row],[OrderDate]],"mmm yyyy")</f>
        <v>Oct 2023</v>
      </c>
      <c r="E773" t="s">
        <v>19</v>
      </c>
      <c r="F773" t="s">
        <v>29</v>
      </c>
      <c r="G773" s="12">
        <v>1</v>
      </c>
      <c r="H773" s="8">
        <v>315.93</v>
      </c>
      <c r="I773" t="s">
        <v>33</v>
      </c>
      <c r="J773" t="s">
        <v>36</v>
      </c>
      <c r="K773" s="10">
        <v>0.15</v>
      </c>
      <c r="L773" t="s">
        <v>38</v>
      </c>
      <c r="M773">
        <v>268.54050000000001</v>
      </c>
      <c r="N773">
        <v>189.55799999999999</v>
      </c>
      <c r="O773" s="10">
        <v>35.782500000000013</v>
      </c>
      <c r="P773" s="10">
        <v>0.13324805755556429</v>
      </c>
      <c r="Q773" s="8">
        <v>268.54050000000001</v>
      </c>
      <c r="R773" t="s">
        <v>45</v>
      </c>
      <c r="S773" t="s">
        <v>49</v>
      </c>
      <c r="T773" t="s">
        <v>2931</v>
      </c>
      <c r="U773">
        <v>0</v>
      </c>
      <c r="V773" t="str">
        <f>IF(CleanedTable[[#This Row],[Returned]] = 0,"NO","Yes")</f>
        <v>NO</v>
      </c>
      <c r="W773" t="s">
        <v>822</v>
      </c>
      <c r="X773" t="s">
        <v>2290</v>
      </c>
      <c r="Y773" s="10">
        <v>43.2</v>
      </c>
      <c r="Z773" s="3">
        <v>45210</v>
      </c>
      <c r="AA773" s="3">
        <v>45213</v>
      </c>
      <c r="AB773" t="s">
        <v>2922</v>
      </c>
      <c r="AC773">
        <v>3</v>
      </c>
    </row>
    <row r="774" spans="1:29" x14ac:dyDescent="0.3">
      <c r="A774" s="3">
        <v>45145</v>
      </c>
      <c r="B774" s="3" t="str">
        <f>TEXT(CleanedTable[[#This Row],[OrderDate]],"mmm")</f>
        <v>Aug</v>
      </c>
      <c r="C774" s="3" t="str">
        <f>TEXT(CleanedTable[[#This Row],[OrderDate]],"yyyy")</f>
        <v>2023</v>
      </c>
      <c r="D774" s="3" t="str">
        <f>TEXT(CleanedTable[[#This Row],[OrderDate]],"mmm yyyy")</f>
        <v>Aug 2023</v>
      </c>
      <c r="E774" t="s">
        <v>23</v>
      </c>
      <c r="F774" t="s">
        <v>30</v>
      </c>
      <c r="G774" s="12">
        <v>5</v>
      </c>
      <c r="H774" s="8">
        <v>596.97</v>
      </c>
      <c r="I774" t="s">
        <v>32</v>
      </c>
      <c r="J774" t="s">
        <v>36</v>
      </c>
      <c r="K774" s="10">
        <v>0</v>
      </c>
      <c r="L774" t="s">
        <v>37</v>
      </c>
      <c r="M774">
        <v>2984.8500000000004</v>
      </c>
      <c r="N774">
        <v>1790.91</v>
      </c>
      <c r="O774" s="10">
        <v>1179.5100000000002</v>
      </c>
      <c r="P774" s="10">
        <v>0.39516558621036235</v>
      </c>
      <c r="Q774" s="8">
        <v>2984.85</v>
      </c>
      <c r="R774" t="s">
        <v>47</v>
      </c>
      <c r="S774" t="s">
        <v>49</v>
      </c>
      <c r="T774" t="s">
        <v>2931</v>
      </c>
      <c r="U774">
        <v>0</v>
      </c>
      <c r="V774" t="str">
        <f>IF(CleanedTable[[#This Row],[Returned]] = 0,"NO","Yes")</f>
        <v>NO</v>
      </c>
      <c r="W774" t="s">
        <v>823</v>
      </c>
      <c r="X774" t="s">
        <v>2291</v>
      </c>
      <c r="Y774" s="10">
        <v>14.43</v>
      </c>
      <c r="Z774" s="3">
        <v>45145</v>
      </c>
      <c r="AA774" s="3">
        <v>45152</v>
      </c>
      <c r="AB774" t="s">
        <v>2926</v>
      </c>
      <c r="AC774">
        <v>7</v>
      </c>
    </row>
    <row r="775" spans="1:29" x14ac:dyDescent="0.3">
      <c r="A775" s="3">
        <v>45263</v>
      </c>
      <c r="B775" s="3" t="str">
        <f>TEXT(CleanedTable[[#This Row],[OrderDate]],"mmm")</f>
        <v>Dec</v>
      </c>
      <c r="C775" s="3" t="str">
        <f>TEXT(CleanedTable[[#This Row],[OrderDate]],"yyyy")</f>
        <v>2023</v>
      </c>
      <c r="D775" s="3" t="str">
        <f>TEXT(CleanedTable[[#This Row],[OrderDate]],"mmm yyyy")</f>
        <v>Dec 2023</v>
      </c>
      <c r="E775" t="s">
        <v>21</v>
      </c>
      <c r="F775" t="s">
        <v>24</v>
      </c>
      <c r="G775" s="12">
        <v>17</v>
      </c>
      <c r="H775" s="8">
        <v>376.98</v>
      </c>
      <c r="I775" t="s">
        <v>32</v>
      </c>
      <c r="J775" t="s">
        <v>36</v>
      </c>
      <c r="K775" s="10">
        <v>0.05</v>
      </c>
      <c r="L775" t="s">
        <v>40</v>
      </c>
      <c r="M775">
        <v>6088.2269999999999</v>
      </c>
      <c r="N775">
        <v>3845.1960000000004</v>
      </c>
      <c r="O775" s="10">
        <v>2204.5509999999995</v>
      </c>
      <c r="P775" s="10">
        <v>0.36210065754775561</v>
      </c>
      <c r="Q775" s="8">
        <v>6088.2269999999999</v>
      </c>
      <c r="R775" t="s">
        <v>46</v>
      </c>
      <c r="T775" t="s">
        <v>2932</v>
      </c>
      <c r="U775">
        <v>1</v>
      </c>
      <c r="V775" t="str">
        <f>IF(CleanedTable[[#This Row],[Returned]] = 0,"NO","Yes")</f>
        <v>Yes</v>
      </c>
      <c r="W775" t="s">
        <v>824</v>
      </c>
      <c r="X775" t="s">
        <v>2292</v>
      </c>
      <c r="Y775" s="10">
        <v>38.479999999999997</v>
      </c>
      <c r="Z775" s="3">
        <v>45263</v>
      </c>
      <c r="AA775" s="3">
        <v>45265</v>
      </c>
      <c r="AB775" t="s">
        <v>2924</v>
      </c>
      <c r="AC775">
        <v>2</v>
      </c>
    </row>
    <row r="776" spans="1:29" x14ac:dyDescent="0.3">
      <c r="A776" s="3">
        <v>45505</v>
      </c>
      <c r="B776" s="3" t="str">
        <f>TEXT(CleanedTable[[#This Row],[OrderDate]],"mmm")</f>
        <v>Aug</v>
      </c>
      <c r="C776" s="3" t="str">
        <f>TEXT(CleanedTable[[#This Row],[OrderDate]],"yyyy")</f>
        <v>2024</v>
      </c>
      <c r="D776" s="3" t="str">
        <f>TEXT(CleanedTable[[#This Row],[OrderDate]],"mmm yyyy")</f>
        <v>Aug 2024</v>
      </c>
      <c r="E776" t="s">
        <v>22</v>
      </c>
      <c r="F776" t="s">
        <v>30</v>
      </c>
      <c r="G776" s="12">
        <v>6</v>
      </c>
      <c r="H776" s="8">
        <v>208.64</v>
      </c>
      <c r="I776" t="s">
        <v>34</v>
      </c>
      <c r="J776" t="s">
        <v>36</v>
      </c>
      <c r="K776" s="10">
        <v>0.1</v>
      </c>
      <c r="L776" t="s">
        <v>39</v>
      </c>
      <c r="M776">
        <v>1126.6559999999999</v>
      </c>
      <c r="N776">
        <v>751.10399999999993</v>
      </c>
      <c r="O776" s="10">
        <v>325.62200000000001</v>
      </c>
      <c r="P776" s="10">
        <v>0.28901634571688256</v>
      </c>
      <c r="Q776" s="8">
        <v>1126.6559999999999</v>
      </c>
      <c r="R776" t="s">
        <v>45</v>
      </c>
      <c r="S776" t="s">
        <v>48</v>
      </c>
      <c r="T776" t="s">
        <v>2931</v>
      </c>
      <c r="U776">
        <v>0</v>
      </c>
      <c r="V776" t="str">
        <f>IF(CleanedTable[[#This Row],[Returned]] = 0,"NO","Yes")</f>
        <v>NO</v>
      </c>
      <c r="W776" t="s">
        <v>825</v>
      </c>
      <c r="X776" t="s">
        <v>2293</v>
      </c>
      <c r="Y776" s="10">
        <v>49.93</v>
      </c>
      <c r="Z776" s="3">
        <v>45505</v>
      </c>
      <c r="AA776" s="3">
        <v>45508</v>
      </c>
      <c r="AB776" t="s">
        <v>2925</v>
      </c>
      <c r="AC776">
        <v>3</v>
      </c>
    </row>
    <row r="777" spans="1:29" x14ac:dyDescent="0.3">
      <c r="A777" s="3">
        <v>45005</v>
      </c>
      <c r="B777" s="3" t="str">
        <f>TEXT(CleanedTable[[#This Row],[OrderDate]],"mmm")</f>
        <v>Mar</v>
      </c>
      <c r="C777" s="3" t="str">
        <f>TEXT(CleanedTable[[#This Row],[OrderDate]],"yyyy")</f>
        <v>2023</v>
      </c>
      <c r="D777" s="3" t="str">
        <f>TEXT(CleanedTable[[#This Row],[OrderDate]],"mmm yyyy")</f>
        <v>Mar 2023</v>
      </c>
      <c r="E777" t="s">
        <v>19</v>
      </c>
      <c r="F777" t="s">
        <v>27</v>
      </c>
      <c r="G777" s="12">
        <v>7</v>
      </c>
      <c r="H777" s="8">
        <v>307.82</v>
      </c>
      <c r="I777" t="s">
        <v>31</v>
      </c>
      <c r="J777" t="s">
        <v>35</v>
      </c>
      <c r="K777" s="10">
        <v>0</v>
      </c>
      <c r="L777" t="s">
        <v>37</v>
      </c>
      <c r="M777">
        <v>2154.7399999999998</v>
      </c>
      <c r="N777">
        <v>1292.8439999999998</v>
      </c>
      <c r="O777" s="10">
        <v>847.89599999999996</v>
      </c>
      <c r="P777" s="10">
        <v>0.39350269638100188</v>
      </c>
      <c r="Q777" s="8">
        <v>2154.7399999999998</v>
      </c>
      <c r="R777" t="s">
        <v>46</v>
      </c>
      <c r="S777" t="s">
        <v>50</v>
      </c>
      <c r="T777" t="s">
        <v>2931</v>
      </c>
      <c r="U777">
        <v>1</v>
      </c>
      <c r="V777" t="str">
        <f>IF(CleanedTable[[#This Row],[Returned]] = 0,"NO","Yes")</f>
        <v>Yes</v>
      </c>
      <c r="W777" t="s">
        <v>826</v>
      </c>
      <c r="X777" t="s">
        <v>2294</v>
      </c>
      <c r="Y777" s="10">
        <v>14</v>
      </c>
      <c r="Z777" s="3">
        <v>45005</v>
      </c>
      <c r="AA777" s="3">
        <v>45012</v>
      </c>
      <c r="AB777" t="s">
        <v>2922</v>
      </c>
      <c r="AC777">
        <v>7</v>
      </c>
    </row>
    <row r="778" spans="1:29" x14ac:dyDescent="0.3">
      <c r="A778" s="3">
        <v>45838</v>
      </c>
      <c r="B778" s="3" t="str">
        <f>TEXT(CleanedTable[[#This Row],[OrderDate]],"mmm")</f>
        <v>Jun</v>
      </c>
      <c r="C778" s="3" t="str">
        <f>TEXT(CleanedTable[[#This Row],[OrderDate]],"yyyy")</f>
        <v>2025</v>
      </c>
      <c r="D778" s="3" t="str">
        <f>TEXT(CleanedTable[[#This Row],[OrderDate]],"mmm yyyy")</f>
        <v>Jun 2025</v>
      </c>
      <c r="E778" t="s">
        <v>22</v>
      </c>
      <c r="F778" t="s">
        <v>29</v>
      </c>
      <c r="G778" s="12">
        <v>13</v>
      </c>
      <c r="H778" s="8">
        <v>382.48</v>
      </c>
      <c r="I778" t="s">
        <v>34</v>
      </c>
      <c r="J778" t="s">
        <v>36</v>
      </c>
      <c r="K778" s="10">
        <v>0.05</v>
      </c>
      <c r="L778" t="s">
        <v>37</v>
      </c>
      <c r="M778">
        <v>4723.6279999999997</v>
      </c>
      <c r="N778">
        <v>2983.3440000000001</v>
      </c>
      <c r="O778" s="10">
        <v>1732.6939999999997</v>
      </c>
      <c r="P778" s="10">
        <v>0.36681423685353715</v>
      </c>
      <c r="Q778" s="8">
        <v>4723.6279999999997</v>
      </c>
      <c r="R778" t="s">
        <v>45</v>
      </c>
      <c r="S778" t="s">
        <v>50</v>
      </c>
      <c r="T778" t="s">
        <v>2931</v>
      </c>
      <c r="U778">
        <v>0</v>
      </c>
      <c r="V778" t="str">
        <f>IF(CleanedTable[[#This Row],[Returned]] = 0,"NO","Yes")</f>
        <v>NO</v>
      </c>
      <c r="W778" t="s">
        <v>827</v>
      </c>
      <c r="X778" t="s">
        <v>2295</v>
      </c>
      <c r="Y778" s="10">
        <v>7.59</v>
      </c>
      <c r="Z778" s="3">
        <v>45838</v>
      </c>
      <c r="AA778" s="3">
        <v>45842</v>
      </c>
      <c r="AB778" t="s">
        <v>2925</v>
      </c>
      <c r="AC778">
        <v>4</v>
      </c>
    </row>
    <row r="779" spans="1:29" x14ac:dyDescent="0.3">
      <c r="A779" s="3">
        <v>45693</v>
      </c>
      <c r="B779" s="3" t="str">
        <f>TEXT(CleanedTable[[#This Row],[OrderDate]],"mmm")</f>
        <v>Feb</v>
      </c>
      <c r="C779" s="3" t="str">
        <f>TEXT(CleanedTable[[#This Row],[OrderDate]],"yyyy")</f>
        <v>2025</v>
      </c>
      <c r="D779" s="3" t="str">
        <f>TEXT(CleanedTable[[#This Row],[OrderDate]],"mmm yyyy")</f>
        <v>Feb 2025</v>
      </c>
      <c r="E779" t="s">
        <v>20</v>
      </c>
      <c r="F779" t="s">
        <v>26</v>
      </c>
      <c r="G779" s="12">
        <v>9</v>
      </c>
      <c r="H779" s="8">
        <v>188.03</v>
      </c>
      <c r="I779" t="s">
        <v>31</v>
      </c>
      <c r="J779" t="s">
        <v>36</v>
      </c>
      <c r="K779" s="10">
        <v>0</v>
      </c>
      <c r="L779" t="s">
        <v>39</v>
      </c>
      <c r="M779">
        <v>1692.27</v>
      </c>
      <c r="N779">
        <v>1015.362</v>
      </c>
      <c r="O779" s="10">
        <v>665.46799999999996</v>
      </c>
      <c r="P779" s="10">
        <v>0.3932398494330101</v>
      </c>
      <c r="Q779" s="8">
        <v>1692.27</v>
      </c>
      <c r="R779" t="s">
        <v>47</v>
      </c>
      <c r="S779" t="s">
        <v>48</v>
      </c>
      <c r="T779" t="s">
        <v>2931</v>
      </c>
      <c r="U779">
        <v>0</v>
      </c>
      <c r="V779" t="str">
        <f>IF(CleanedTable[[#This Row],[Returned]] = 0,"NO","Yes")</f>
        <v>NO</v>
      </c>
      <c r="W779" t="s">
        <v>828</v>
      </c>
      <c r="X779" t="s">
        <v>2296</v>
      </c>
      <c r="Y779" s="10">
        <v>11.44</v>
      </c>
      <c r="Z779" s="3">
        <v>45693</v>
      </c>
      <c r="AA779" s="3">
        <v>45695</v>
      </c>
      <c r="AB779" t="s">
        <v>2923</v>
      </c>
      <c r="AC779">
        <v>2</v>
      </c>
    </row>
    <row r="780" spans="1:29" x14ac:dyDescent="0.3">
      <c r="A780" s="3">
        <v>45431</v>
      </c>
      <c r="B780" s="3" t="str">
        <f>TEXT(CleanedTable[[#This Row],[OrderDate]],"mmm")</f>
        <v>May</v>
      </c>
      <c r="C780" s="3" t="str">
        <f>TEXT(CleanedTable[[#This Row],[OrderDate]],"yyyy")</f>
        <v>2024</v>
      </c>
      <c r="D780" s="3" t="str">
        <f>TEXT(CleanedTable[[#This Row],[OrderDate]],"mmm yyyy")</f>
        <v>May 2024</v>
      </c>
      <c r="E780" t="s">
        <v>19</v>
      </c>
      <c r="F780" t="s">
        <v>26</v>
      </c>
      <c r="G780" s="12">
        <v>17</v>
      </c>
      <c r="H780" s="8">
        <v>238.17</v>
      </c>
      <c r="I780" t="s">
        <v>34</v>
      </c>
      <c r="J780" t="s">
        <v>35</v>
      </c>
      <c r="K780" s="10">
        <v>0.15</v>
      </c>
      <c r="L780" t="s">
        <v>39</v>
      </c>
      <c r="M780">
        <v>3441.5564999999997</v>
      </c>
      <c r="N780">
        <v>2429.3339999999998</v>
      </c>
      <c r="O780" s="10">
        <v>990.58249999999987</v>
      </c>
      <c r="P780" s="10">
        <v>0.28782979445492174</v>
      </c>
      <c r="Q780" s="8">
        <v>3441.5565000000001</v>
      </c>
      <c r="R780" t="s">
        <v>47</v>
      </c>
      <c r="S780" t="s">
        <v>48</v>
      </c>
      <c r="T780" t="s">
        <v>2931</v>
      </c>
      <c r="U780">
        <v>0</v>
      </c>
      <c r="V780" t="str">
        <f>IF(CleanedTable[[#This Row],[Returned]] = 0,"NO","Yes")</f>
        <v>NO</v>
      </c>
      <c r="W780" t="s">
        <v>829</v>
      </c>
      <c r="X780" t="s">
        <v>2297</v>
      </c>
      <c r="Y780" s="10">
        <v>21.64</v>
      </c>
      <c r="Z780" s="3">
        <v>45431</v>
      </c>
      <c r="AA780" s="3">
        <v>45441</v>
      </c>
      <c r="AB780" t="s">
        <v>2922</v>
      </c>
      <c r="AC780">
        <v>10</v>
      </c>
    </row>
    <row r="781" spans="1:29" x14ac:dyDescent="0.3">
      <c r="A781" s="3">
        <v>44989</v>
      </c>
      <c r="B781" s="3" t="str">
        <f>TEXT(CleanedTable[[#This Row],[OrderDate]],"mmm")</f>
        <v>Mar</v>
      </c>
      <c r="C781" s="3" t="str">
        <f>TEXT(CleanedTable[[#This Row],[OrderDate]],"yyyy")</f>
        <v>2023</v>
      </c>
      <c r="D781" s="3" t="str">
        <f>TEXT(CleanedTable[[#This Row],[OrderDate]],"mmm yyyy")</f>
        <v>Mar 2023</v>
      </c>
      <c r="E781" t="s">
        <v>21</v>
      </c>
      <c r="F781" t="s">
        <v>30</v>
      </c>
      <c r="G781" s="12">
        <v>10</v>
      </c>
      <c r="H781" s="8">
        <v>450.71</v>
      </c>
      <c r="I781" t="s">
        <v>31</v>
      </c>
      <c r="J781" t="s">
        <v>36</v>
      </c>
      <c r="K781" s="10">
        <v>0.1</v>
      </c>
      <c r="L781" t="s">
        <v>42</v>
      </c>
      <c r="M781">
        <v>4056.3899999999994</v>
      </c>
      <c r="N781">
        <v>2704.2599999999998</v>
      </c>
      <c r="O781" s="10">
        <v>1330.8199999999997</v>
      </c>
      <c r="P781" s="10">
        <v>0.3280798936985842</v>
      </c>
      <c r="Q781" s="8">
        <v>4056.389999999999</v>
      </c>
      <c r="R781" t="s">
        <v>44</v>
      </c>
      <c r="S781" t="s">
        <v>49</v>
      </c>
      <c r="T781" t="s">
        <v>2931</v>
      </c>
      <c r="U781">
        <v>0</v>
      </c>
      <c r="V781" t="str">
        <f>IF(CleanedTable[[#This Row],[Returned]] = 0,"NO","Yes")</f>
        <v>NO</v>
      </c>
      <c r="W781" t="s">
        <v>830</v>
      </c>
      <c r="X781" t="s">
        <v>2298</v>
      </c>
      <c r="Y781" s="10">
        <v>21.31</v>
      </c>
      <c r="Z781" s="3">
        <v>44989</v>
      </c>
      <c r="AA781" s="3">
        <v>44997</v>
      </c>
      <c r="AB781" t="s">
        <v>2924</v>
      </c>
      <c r="AC781">
        <v>8</v>
      </c>
    </row>
    <row r="782" spans="1:29" x14ac:dyDescent="0.3">
      <c r="A782" s="3">
        <v>44948</v>
      </c>
      <c r="B782" s="3" t="str">
        <f>TEXT(CleanedTable[[#This Row],[OrderDate]],"mmm")</f>
        <v>Jan</v>
      </c>
      <c r="C782" s="3" t="str">
        <f>TEXT(CleanedTable[[#This Row],[OrderDate]],"yyyy")</f>
        <v>2023</v>
      </c>
      <c r="D782" s="3" t="str">
        <f>TEXT(CleanedTable[[#This Row],[OrderDate]],"mmm yyyy")</f>
        <v>Jan 2023</v>
      </c>
      <c r="E782" t="s">
        <v>22</v>
      </c>
      <c r="F782" t="s">
        <v>28</v>
      </c>
      <c r="G782" s="12">
        <v>2</v>
      </c>
      <c r="H782" s="8">
        <v>413.36</v>
      </c>
      <c r="I782" t="s">
        <v>34</v>
      </c>
      <c r="J782" t="s">
        <v>36</v>
      </c>
      <c r="K782" s="10">
        <v>0.1</v>
      </c>
      <c r="L782" t="s">
        <v>38</v>
      </c>
      <c r="M782">
        <v>744.048</v>
      </c>
      <c r="N782">
        <v>496.03199999999998</v>
      </c>
      <c r="O782" s="10">
        <v>206.32600000000002</v>
      </c>
      <c r="P782" s="10">
        <v>0.277302002021375</v>
      </c>
      <c r="Q782" s="8">
        <v>744.048</v>
      </c>
      <c r="R782" t="s">
        <v>43</v>
      </c>
      <c r="S782" t="s">
        <v>49</v>
      </c>
      <c r="T782" t="s">
        <v>2931</v>
      </c>
      <c r="U782">
        <v>1</v>
      </c>
      <c r="V782" t="str">
        <f>IF(CleanedTable[[#This Row],[Returned]] = 0,"NO","Yes")</f>
        <v>Yes</v>
      </c>
      <c r="W782" t="s">
        <v>831</v>
      </c>
      <c r="X782" t="s">
        <v>1989</v>
      </c>
      <c r="Y782" s="10">
        <v>41.69</v>
      </c>
      <c r="Z782" s="3">
        <v>44948</v>
      </c>
      <c r="AA782" s="3">
        <v>44950</v>
      </c>
      <c r="AB782" t="s">
        <v>2925</v>
      </c>
      <c r="AC782">
        <v>2</v>
      </c>
    </row>
    <row r="783" spans="1:29" x14ac:dyDescent="0.3">
      <c r="A783" s="3">
        <v>45005</v>
      </c>
      <c r="B783" s="3" t="str">
        <f>TEXT(CleanedTable[[#This Row],[OrderDate]],"mmm")</f>
        <v>Mar</v>
      </c>
      <c r="C783" s="3" t="str">
        <f>TEXT(CleanedTable[[#This Row],[OrderDate]],"yyyy")</f>
        <v>2023</v>
      </c>
      <c r="D783" s="3" t="str">
        <f>TEXT(CleanedTable[[#This Row],[OrderDate]],"mmm yyyy")</f>
        <v>Mar 2023</v>
      </c>
      <c r="E783" t="s">
        <v>20</v>
      </c>
      <c r="F783" t="s">
        <v>25</v>
      </c>
      <c r="G783" s="12">
        <v>20</v>
      </c>
      <c r="H783" s="8">
        <v>536.71</v>
      </c>
      <c r="I783" t="s">
        <v>31</v>
      </c>
      <c r="J783" t="s">
        <v>36</v>
      </c>
      <c r="K783" s="10">
        <v>0.15</v>
      </c>
      <c r="L783" t="s">
        <v>40</v>
      </c>
      <c r="M783">
        <v>9124.07</v>
      </c>
      <c r="N783">
        <v>6440.52</v>
      </c>
      <c r="O783" s="10">
        <v>2642.1299999999992</v>
      </c>
      <c r="P783" s="10">
        <v>0.28957800630639607</v>
      </c>
      <c r="Q783" s="8">
        <v>9124.07</v>
      </c>
      <c r="R783" t="s">
        <v>46</v>
      </c>
      <c r="S783" t="s">
        <v>49</v>
      </c>
      <c r="T783" t="s">
        <v>2931</v>
      </c>
      <c r="U783">
        <v>0</v>
      </c>
      <c r="V783" t="str">
        <f>IF(CleanedTable[[#This Row],[Returned]] = 0,"NO","Yes")</f>
        <v>NO</v>
      </c>
      <c r="W783" t="s">
        <v>832</v>
      </c>
      <c r="X783" t="s">
        <v>2299</v>
      </c>
      <c r="Y783" s="10">
        <v>41.42</v>
      </c>
      <c r="Z783" s="3">
        <v>45005</v>
      </c>
      <c r="AA783" s="3">
        <v>45010</v>
      </c>
      <c r="AB783" t="s">
        <v>2923</v>
      </c>
      <c r="AC783">
        <v>5</v>
      </c>
    </row>
    <row r="784" spans="1:29" x14ac:dyDescent="0.3">
      <c r="A784" s="3">
        <v>45448</v>
      </c>
      <c r="B784" s="3" t="str">
        <f>TEXT(CleanedTable[[#This Row],[OrderDate]],"mmm")</f>
        <v>Jun</v>
      </c>
      <c r="C784" s="3" t="str">
        <f>TEXT(CleanedTable[[#This Row],[OrderDate]],"yyyy")</f>
        <v>2024</v>
      </c>
      <c r="D784" s="3" t="str">
        <f>TEXT(CleanedTable[[#This Row],[OrderDate]],"mmm yyyy")</f>
        <v>Jun 2024</v>
      </c>
      <c r="E784" t="s">
        <v>23</v>
      </c>
      <c r="F784" t="s">
        <v>25</v>
      </c>
      <c r="G784" s="12">
        <v>5</v>
      </c>
      <c r="H784" s="8">
        <v>206.42</v>
      </c>
      <c r="I784" t="s">
        <v>34</v>
      </c>
      <c r="J784" t="s">
        <v>36</v>
      </c>
      <c r="K784" s="10">
        <v>0.05</v>
      </c>
      <c r="L784" t="s">
        <v>38</v>
      </c>
      <c r="M784">
        <v>980.49499999999989</v>
      </c>
      <c r="N784">
        <v>619.26</v>
      </c>
      <c r="O784" s="10">
        <v>325.72499999999991</v>
      </c>
      <c r="P784" s="10">
        <v>0.33220465173203323</v>
      </c>
      <c r="Q784" s="8">
        <v>980.49499999999989</v>
      </c>
      <c r="R784" t="s">
        <v>46</v>
      </c>
      <c r="S784" t="s">
        <v>50</v>
      </c>
      <c r="T784" t="s">
        <v>2931</v>
      </c>
      <c r="U784">
        <v>0</v>
      </c>
      <c r="V784" t="str">
        <f>IF(CleanedTable[[#This Row],[Returned]] = 0,"NO","Yes")</f>
        <v>NO</v>
      </c>
      <c r="W784" t="s">
        <v>833</v>
      </c>
      <c r="X784" t="s">
        <v>2300</v>
      </c>
      <c r="Y784" s="10">
        <v>35.51</v>
      </c>
      <c r="Z784" s="3">
        <v>45448</v>
      </c>
      <c r="AA784" s="3">
        <v>45456</v>
      </c>
      <c r="AB784" t="s">
        <v>2926</v>
      </c>
      <c r="AC784">
        <v>8</v>
      </c>
    </row>
    <row r="785" spans="1:29" x14ac:dyDescent="0.3">
      <c r="A785" s="3">
        <v>45482</v>
      </c>
      <c r="B785" s="3" t="str">
        <f>TEXT(CleanedTable[[#This Row],[OrderDate]],"mmm")</f>
        <v>Jul</v>
      </c>
      <c r="C785" s="3" t="str">
        <f>TEXT(CleanedTable[[#This Row],[OrderDate]],"yyyy")</f>
        <v>2024</v>
      </c>
      <c r="D785" s="3" t="str">
        <f>TEXT(CleanedTable[[#This Row],[OrderDate]],"mmm yyyy")</f>
        <v>Jul 2024</v>
      </c>
      <c r="E785" t="s">
        <v>19</v>
      </c>
      <c r="F785" t="s">
        <v>30</v>
      </c>
      <c r="G785" s="12">
        <v>4</v>
      </c>
      <c r="H785" s="8">
        <v>256.83</v>
      </c>
      <c r="I785" t="s">
        <v>32</v>
      </c>
      <c r="J785" t="s">
        <v>35</v>
      </c>
      <c r="K785" s="10">
        <v>0.15</v>
      </c>
      <c r="L785" t="s">
        <v>40</v>
      </c>
      <c r="M785">
        <v>873.22199999999987</v>
      </c>
      <c r="N785">
        <v>616.39199999999994</v>
      </c>
      <c r="O785" s="10">
        <v>212.10999999999993</v>
      </c>
      <c r="P785" s="10">
        <v>0.2429050115549081</v>
      </c>
      <c r="Q785" s="8">
        <v>873.22199999999987</v>
      </c>
      <c r="R785" t="s">
        <v>47</v>
      </c>
      <c r="T785" t="s">
        <v>2932</v>
      </c>
      <c r="U785">
        <v>1</v>
      </c>
      <c r="V785" t="str">
        <f>IF(CleanedTable[[#This Row],[Returned]] = 0,"NO","Yes")</f>
        <v>Yes</v>
      </c>
      <c r="W785" t="s">
        <v>834</v>
      </c>
      <c r="X785" t="s">
        <v>2301</v>
      </c>
      <c r="Y785" s="10">
        <v>44.72</v>
      </c>
      <c r="Z785" s="3">
        <v>45482</v>
      </c>
      <c r="AA785" s="3">
        <v>45490</v>
      </c>
      <c r="AB785" t="s">
        <v>2922</v>
      </c>
      <c r="AC785">
        <v>8</v>
      </c>
    </row>
    <row r="786" spans="1:29" x14ac:dyDescent="0.3">
      <c r="A786" s="3">
        <v>45724</v>
      </c>
      <c r="B786" s="3" t="str">
        <f>TEXT(CleanedTable[[#This Row],[OrderDate]],"mmm")</f>
        <v>Mar</v>
      </c>
      <c r="C786" s="3" t="str">
        <f>TEXT(CleanedTable[[#This Row],[OrderDate]],"yyyy")</f>
        <v>2025</v>
      </c>
      <c r="D786" s="3" t="str">
        <f>TEXT(CleanedTable[[#This Row],[OrderDate]],"mmm yyyy")</f>
        <v>Mar 2025</v>
      </c>
      <c r="E786" t="s">
        <v>20</v>
      </c>
      <c r="F786" t="s">
        <v>28</v>
      </c>
      <c r="G786" s="12">
        <v>1</v>
      </c>
      <c r="H786" s="8">
        <v>247.04</v>
      </c>
      <c r="I786" t="s">
        <v>33</v>
      </c>
      <c r="J786" t="s">
        <v>35</v>
      </c>
      <c r="K786" s="10">
        <v>0</v>
      </c>
      <c r="L786" t="s">
        <v>42</v>
      </c>
      <c r="M786">
        <v>247.04</v>
      </c>
      <c r="N786">
        <v>148.22399999999999</v>
      </c>
      <c r="O786" s="10">
        <v>71.956000000000003</v>
      </c>
      <c r="P786" s="10">
        <v>0.29127266839378241</v>
      </c>
      <c r="Q786" s="8">
        <v>247.04</v>
      </c>
      <c r="R786" t="s">
        <v>45</v>
      </c>
      <c r="S786" t="s">
        <v>48</v>
      </c>
      <c r="T786" t="s">
        <v>2931</v>
      </c>
      <c r="U786">
        <v>0</v>
      </c>
      <c r="V786" t="str">
        <f>IF(CleanedTable[[#This Row],[Returned]] = 0,"NO","Yes")</f>
        <v>NO</v>
      </c>
      <c r="W786" t="s">
        <v>835</v>
      </c>
      <c r="X786" t="s">
        <v>2302</v>
      </c>
      <c r="Y786" s="10">
        <v>26.86</v>
      </c>
      <c r="Z786" s="3">
        <v>45724</v>
      </c>
      <c r="AA786" s="3">
        <v>45729</v>
      </c>
      <c r="AB786" t="s">
        <v>2923</v>
      </c>
      <c r="AC786">
        <v>5</v>
      </c>
    </row>
    <row r="787" spans="1:29" x14ac:dyDescent="0.3">
      <c r="A787" s="3">
        <v>45829</v>
      </c>
      <c r="B787" s="3" t="str">
        <f>TEXT(CleanedTable[[#This Row],[OrderDate]],"mmm")</f>
        <v>Jun</v>
      </c>
      <c r="C787" s="3" t="str">
        <f>TEXT(CleanedTable[[#This Row],[OrderDate]],"yyyy")</f>
        <v>2025</v>
      </c>
      <c r="D787" s="3" t="str">
        <f>TEXT(CleanedTable[[#This Row],[OrderDate]],"mmm yyyy")</f>
        <v>Jun 2025</v>
      </c>
      <c r="E787" t="s">
        <v>20</v>
      </c>
      <c r="F787" t="s">
        <v>29</v>
      </c>
      <c r="G787" s="12">
        <v>3</v>
      </c>
      <c r="H787" s="8">
        <v>583.38</v>
      </c>
      <c r="I787" t="s">
        <v>31</v>
      </c>
      <c r="J787" t="s">
        <v>36</v>
      </c>
      <c r="K787" s="10">
        <v>0.15</v>
      </c>
      <c r="L787" t="s">
        <v>41</v>
      </c>
      <c r="M787">
        <v>1487.6189999999999</v>
      </c>
      <c r="N787">
        <v>1050.0839999999998</v>
      </c>
      <c r="O787" s="10">
        <v>407.41500000000008</v>
      </c>
      <c r="P787" s="10">
        <v>0.27387052733260336</v>
      </c>
      <c r="Q787" s="8">
        <v>1487.6189999999999</v>
      </c>
      <c r="R787" t="s">
        <v>47</v>
      </c>
      <c r="S787" t="s">
        <v>50</v>
      </c>
      <c r="T787" t="s">
        <v>2931</v>
      </c>
      <c r="U787">
        <v>1</v>
      </c>
      <c r="V787" t="str">
        <f>IF(CleanedTable[[#This Row],[Returned]] = 0,"NO","Yes")</f>
        <v>Yes</v>
      </c>
      <c r="W787" t="s">
        <v>836</v>
      </c>
      <c r="X787" t="s">
        <v>2303</v>
      </c>
      <c r="Y787" s="10">
        <v>30.12</v>
      </c>
      <c r="Z787" s="3">
        <v>45829</v>
      </c>
      <c r="AA787" s="3">
        <v>45838</v>
      </c>
      <c r="AB787" t="s">
        <v>2923</v>
      </c>
      <c r="AC787">
        <v>9</v>
      </c>
    </row>
    <row r="788" spans="1:29" x14ac:dyDescent="0.3">
      <c r="A788" s="3">
        <v>45836</v>
      </c>
      <c r="B788" s="3" t="str">
        <f>TEXT(CleanedTable[[#This Row],[OrderDate]],"mmm")</f>
        <v>Jun</v>
      </c>
      <c r="C788" s="3" t="str">
        <f>TEXT(CleanedTable[[#This Row],[OrderDate]],"yyyy")</f>
        <v>2025</v>
      </c>
      <c r="D788" s="3" t="str">
        <f>TEXT(CleanedTable[[#This Row],[OrderDate]],"mmm yyyy")</f>
        <v>Jun 2025</v>
      </c>
      <c r="E788" t="s">
        <v>21</v>
      </c>
      <c r="F788" t="s">
        <v>29</v>
      </c>
      <c r="G788" s="12">
        <v>13</v>
      </c>
      <c r="H788" s="8">
        <v>341.38</v>
      </c>
      <c r="I788" t="s">
        <v>33</v>
      </c>
      <c r="J788" t="s">
        <v>36</v>
      </c>
      <c r="K788" s="10">
        <v>0.15</v>
      </c>
      <c r="L788" t="s">
        <v>38</v>
      </c>
      <c r="M788">
        <v>3772.2489999999993</v>
      </c>
      <c r="N788">
        <v>2662.7640000000001</v>
      </c>
      <c r="O788" s="10">
        <v>1091.2849999999992</v>
      </c>
      <c r="P788" s="10">
        <v>0.28929293903981401</v>
      </c>
      <c r="Q788" s="8">
        <v>3772.2489999999989</v>
      </c>
      <c r="R788" t="s">
        <v>47</v>
      </c>
      <c r="T788" t="s">
        <v>2932</v>
      </c>
      <c r="U788">
        <v>0</v>
      </c>
      <c r="V788" t="str">
        <f>IF(CleanedTable[[#This Row],[Returned]] = 0,"NO","Yes")</f>
        <v>NO</v>
      </c>
      <c r="W788" t="s">
        <v>837</v>
      </c>
      <c r="X788" t="s">
        <v>2304</v>
      </c>
      <c r="Y788" s="10">
        <v>18.2</v>
      </c>
      <c r="Z788" s="3">
        <v>45836</v>
      </c>
      <c r="AA788" s="3">
        <v>45839</v>
      </c>
      <c r="AB788" t="s">
        <v>2924</v>
      </c>
      <c r="AC788">
        <v>3</v>
      </c>
    </row>
    <row r="789" spans="1:29" x14ac:dyDescent="0.3">
      <c r="A789" s="3">
        <v>45752</v>
      </c>
      <c r="B789" s="3" t="str">
        <f>TEXT(CleanedTable[[#This Row],[OrderDate]],"mmm")</f>
        <v>Apr</v>
      </c>
      <c r="C789" s="3" t="str">
        <f>TEXT(CleanedTable[[#This Row],[OrderDate]],"yyyy")</f>
        <v>2025</v>
      </c>
      <c r="D789" s="3" t="str">
        <f>TEXT(CleanedTable[[#This Row],[OrderDate]],"mmm yyyy")</f>
        <v>Apr 2025</v>
      </c>
      <c r="E789" t="s">
        <v>23</v>
      </c>
      <c r="F789" t="s">
        <v>27</v>
      </c>
      <c r="G789" s="12">
        <v>19</v>
      </c>
      <c r="H789" s="8">
        <v>267.02999999999997</v>
      </c>
      <c r="I789" t="s">
        <v>34</v>
      </c>
      <c r="J789" t="s">
        <v>35</v>
      </c>
      <c r="K789" s="10">
        <v>0.15</v>
      </c>
      <c r="L789" t="s">
        <v>42</v>
      </c>
      <c r="M789">
        <v>4312.5344999999998</v>
      </c>
      <c r="N789">
        <v>3044.1419999999998</v>
      </c>
      <c r="O789" s="10">
        <v>1232.5725</v>
      </c>
      <c r="P789" s="10">
        <v>0.28581162655046588</v>
      </c>
      <c r="Q789" s="8">
        <v>4312.5344999999998</v>
      </c>
      <c r="R789" t="s">
        <v>43</v>
      </c>
      <c r="S789" t="s">
        <v>49</v>
      </c>
      <c r="T789" t="s">
        <v>2931</v>
      </c>
      <c r="U789">
        <v>1</v>
      </c>
      <c r="V789" t="str">
        <f>IF(CleanedTable[[#This Row],[Returned]] = 0,"NO","Yes")</f>
        <v>Yes</v>
      </c>
      <c r="W789" t="s">
        <v>838</v>
      </c>
      <c r="X789" t="s">
        <v>2305</v>
      </c>
      <c r="Y789" s="10">
        <v>35.82</v>
      </c>
      <c r="Z789" s="3">
        <v>45752</v>
      </c>
      <c r="AA789" s="3">
        <v>45760</v>
      </c>
      <c r="AB789" t="s">
        <v>2926</v>
      </c>
      <c r="AC789">
        <v>8</v>
      </c>
    </row>
    <row r="790" spans="1:29" x14ac:dyDescent="0.3">
      <c r="A790" s="3">
        <v>45356</v>
      </c>
      <c r="B790" s="3" t="str">
        <f>TEXT(CleanedTable[[#This Row],[OrderDate]],"mmm")</f>
        <v>Mar</v>
      </c>
      <c r="C790" s="3" t="str">
        <f>TEXT(CleanedTable[[#This Row],[OrderDate]],"yyyy")</f>
        <v>2024</v>
      </c>
      <c r="D790" s="3" t="str">
        <f>TEXT(CleanedTable[[#This Row],[OrderDate]],"mmm yyyy")</f>
        <v>Mar 2024</v>
      </c>
      <c r="E790" t="s">
        <v>20</v>
      </c>
      <c r="F790" t="s">
        <v>30</v>
      </c>
      <c r="G790" s="12">
        <v>7</v>
      </c>
      <c r="H790" s="8">
        <v>77.69</v>
      </c>
      <c r="I790" t="s">
        <v>34</v>
      </c>
      <c r="J790" t="s">
        <v>35</v>
      </c>
      <c r="K790" s="10">
        <v>0</v>
      </c>
      <c r="L790" t="s">
        <v>40</v>
      </c>
      <c r="M790">
        <v>543.82999999999993</v>
      </c>
      <c r="N790">
        <v>326.298</v>
      </c>
      <c r="O790" s="10">
        <v>175.64199999999994</v>
      </c>
      <c r="P790" s="10">
        <v>0.32297225235827365</v>
      </c>
      <c r="Q790" s="8">
        <v>543.82999999999993</v>
      </c>
      <c r="R790" t="s">
        <v>45</v>
      </c>
      <c r="S790" t="s">
        <v>49</v>
      </c>
      <c r="T790" t="s">
        <v>2931</v>
      </c>
      <c r="U790">
        <v>0</v>
      </c>
      <c r="V790" t="str">
        <f>IF(CleanedTable[[#This Row],[Returned]] = 0,"NO","Yes")</f>
        <v>NO</v>
      </c>
      <c r="W790" t="s">
        <v>839</v>
      </c>
      <c r="X790" t="s">
        <v>2306</v>
      </c>
      <c r="Y790" s="10">
        <v>41.89</v>
      </c>
      <c r="Z790" s="3">
        <v>45356</v>
      </c>
      <c r="AA790" s="3">
        <v>45363</v>
      </c>
      <c r="AB790" t="s">
        <v>2923</v>
      </c>
      <c r="AC790">
        <v>7</v>
      </c>
    </row>
    <row r="791" spans="1:29" x14ac:dyDescent="0.3">
      <c r="A791" s="3">
        <v>45360</v>
      </c>
      <c r="B791" s="3" t="str">
        <f>TEXT(CleanedTable[[#This Row],[OrderDate]],"mmm")</f>
        <v>Mar</v>
      </c>
      <c r="C791" s="3" t="str">
        <f>TEXT(CleanedTable[[#This Row],[OrderDate]],"yyyy")</f>
        <v>2024</v>
      </c>
      <c r="D791" s="3" t="str">
        <f>TEXT(CleanedTable[[#This Row],[OrderDate]],"mmm yyyy")</f>
        <v>Mar 2024</v>
      </c>
      <c r="E791" t="s">
        <v>19</v>
      </c>
      <c r="F791" t="s">
        <v>25</v>
      </c>
      <c r="G791" s="12">
        <v>20</v>
      </c>
      <c r="H791" s="8">
        <v>312.43</v>
      </c>
      <c r="I791" t="s">
        <v>33</v>
      </c>
      <c r="J791" t="s">
        <v>36</v>
      </c>
      <c r="K791" s="10">
        <v>0</v>
      </c>
      <c r="L791" t="s">
        <v>40</v>
      </c>
      <c r="M791">
        <v>6248.6</v>
      </c>
      <c r="N791">
        <v>3749.16</v>
      </c>
      <c r="O791" s="10">
        <v>2471.3300000000004</v>
      </c>
      <c r="P791" s="10">
        <v>0.39550139231187792</v>
      </c>
      <c r="Q791" s="8">
        <v>6248.6</v>
      </c>
      <c r="R791" t="s">
        <v>45</v>
      </c>
      <c r="S791" t="s">
        <v>49</v>
      </c>
      <c r="T791" t="s">
        <v>2931</v>
      </c>
      <c r="U791">
        <v>0</v>
      </c>
      <c r="V791" t="str">
        <f>IF(CleanedTable[[#This Row],[Returned]] = 0,"NO","Yes")</f>
        <v>NO</v>
      </c>
      <c r="W791" t="s">
        <v>840</v>
      </c>
      <c r="X791" t="s">
        <v>2307</v>
      </c>
      <c r="Y791" s="10">
        <v>28.11</v>
      </c>
      <c r="Z791" s="3">
        <v>45360</v>
      </c>
      <c r="AA791" s="3">
        <v>45362</v>
      </c>
      <c r="AB791" t="s">
        <v>2922</v>
      </c>
      <c r="AC791">
        <v>2</v>
      </c>
    </row>
    <row r="792" spans="1:29" x14ac:dyDescent="0.3">
      <c r="A792" s="3">
        <v>45713</v>
      </c>
      <c r="B792" s="3" t="str">
        <f>TEXT(CleanedTable[[#This Row],[OrderDate]],"mmm")</f>
        <v>Feb</v>
      </c>
      <c r="C792" s="3" t="str">
        <f>TEXT(CleanedTable[[#This Row],[OrderDate]],"yyyy")</f>
        <v>2025</v>
      </c>
      <c r="D792" s="3" t="str">
        <f>TEXT(CleanedTable[[#This Row],[OrderDate]],"mmm yyyy")</f>
        <v>Feb 2025</v>
      </c>
      <c r="E792" t="s">
        <v>22</v>
      </c>
      <c r="F792" t="s">
        <v>28</v>
      </c>
      <c r="G792" s="12">
        <v>19</v>
      </c>
      <c r="H792" s="8">
        <v>14.1</v>
      </c>
      <c r="I792" t="s">
        <v>33</v>
      </c>
      <c r="J792" t="s">
        <v>35</v>
      </c>
      <c r="K792" s="10">
        <v>0.05</v>
      </c>
      <c r="L792" t="s">
        <v>40</v>
      </c>
      <c r="M792">
        <v>254.50499999999997</v>
      </c>
      <c r="N792">
        <v>160.73999999999998</v>
      </c>
      <c r="O792" s="10">
        <v>55.924999999999983</v>
      </c>
      <c r="P792" s="10">
        <v>0.21974028015166691</v>
      </c>
      <c r="Q792" s="8">
        <v>254.505</v>
      </c>
      <c r="R792" t="s">
        <v>47</v>
      </c>
      <c r="S792" t="s">
        <v>48</v>
      </c>
      <c r="T792" t="s">
        <v>2931</v>
      </c>
      <c r="U792">
        <v>0</v>
      </c>
      <c r="V792" t="str">
        <f>IF(CleanedTable[[#This Row],[Returned]] = 0,"NO","Yes")</f>
        <v>NO</v>
      </c>
      <c r="W792" t="s">
        <v>841</v>
      </c>
      <c r="X792" t="s">
        <v>2308</v>
      </c>
      <c r="Y792" s="10">
        <v>37.840000000000003</v>
      </c>
      <c r="Z792" s="3">
        <v>45713</v>
      </c>
      <c r="AA792" s="3">
        <v>45716</v>
      </c>
      <c r="AB792" t="s">
        <v>2925</v>
      </c>
      <c r="AC792">
        <v>3</v>
      </c>
    </row>
    <row r="793" spans="1:29" x14ac:dyDescent="0.3">
      <c r="A793" s="3">
        <v>45612</v>
      </c>
      <c r="B793" s="3" t="str">
        <f>TEXT(CleanedTable[[#This Row],[OrderDate]],"mmm")</f>
        <v>Nov</v>
      </c>
      <c r="C793" s="3" t="str">
        <f>TEXT(CleanedTable[[#This Row],[OrderDate]],"yyyy")</f>
        <v>2024</v>
      </c>
      <c r="D793" s="3" t="str">
        <f>TEXT(CleanedTable[[#This Row],[OrderDate]],"mmm yyyy")</f>
        <v>Nov 2024</v>
      </c>
      <c r="E793" t="s">
        <v>23</v>
      </c>
      <c r="F793" t="s">
        <v>29</v>
      </c>
      <c r="G793" s="12">
        <v>17</v>
      </c>
      <c r="H793" s="8">
        <v>266.83</v>
      </c>
      <c r="I793" t="s">
        <v>34</v>
      </c>
      <c r="J793" t="s">
        <v>36</v>
      </c>
      <c r="K793" s="10">
        <v>0.05</v>
      </c>
      <c r="L793" t="s">
        <v>39</v>
      </c>
      <c r="M793">
        <v>4309.3044999999993</v>
      </c>
      <c r="N793">
        <v>2721.6659999999997</v>
      </c>
      <c r="O793" s="10">
        <v>1555.1184999999996</v>
      </c>
      <c r="P793" s="10">
        <v>0.36087459124784516</v>
      </c>
      <c r="Q793" s="8">
        <v>4309.3044999999993</v>
      </c>
      <c r="R793" t="s">
        <v>45</v>
      </c>
      <c r="S793" t="s">
        <v>50</v>
      </c>
      <c r="T793" t="s">
        <v>2931</v>
      </c>
      <c r="U793">
        <v>0</v>
      </c>
      <c r="V793" t="str">
        <f>IF(CleanedTable[[#This Row],[Returned]] = 0,"NO","Yes")</f>
        <v>NO</v>
      </c>
      <c r="W793" t="s">
        <v>842</v>
      </c>
      <c r="X793" t="s">
        <v>2309</v>
      </c>
      <c r="Y793" s="10">
        <v>32.520000000000003</v>
      </c>
      <c r="Z793" s="3">
        <v>45612</v>
      </c>
      <c r="AA793" s="3">
        <v>45619</v>
      </c>
      <c r="AB793" t="s">
        <v>2926</v>
      </c>
      <c r="AC793">
        <v>7</v>
      </c>
    </row>
    <row r="794" spans="1:29" x14ac:dyDescent="0.3">
      <c r="A794" s="3">
        <v>45505</v>
      </c>
      <c r="B794" s="3" t="str">
        <f>TEXT(CleanedTable[[#This Row],[OrderDate]],"mmm")</f>
        <v>Aug</v>
      </c>
      <c r="C794" s="3" t="str">
        <f>TEXT(CleanedTable[[#This Row],[OrderDate]],"yyyy")</f>
        <v>2024</v>
      </c>
      <c r="D794" s="3" t="str">
        <f>TEXT(CleanedTable[[#This Row],[OrderDate]],"mmm yyyy")</f>
        <v>Aug 2024</v>
      </c>
      <c r="E794" t="s">
        <v>20</v>
      </c>
      <c r="F794" t="s">
        <v>30</v>
      </c>
      <c r="G794" s="12">
        <v>20</v>
      </c>
      <c r="H794" s="8">
        <v>248.11</v>
      </c>
      <c r="I794" t="s">
        <v>34</v>
      </c>
      <c r="J794" t="s">
        <v>35</v>
      </c>
      <c r="K794" s="10">
        <v>0.05</v>
      </c>
      <c r="L794" t="s">
        <v>40</v>
      </c>
      <c r="M794">
        <v>4714.09</v>
      </c>
      <c r="N794">
        <v>2977.32</v>
      </c>
      <c r="O794" s="10">
        <v>1713.81</v>
      </c>
      <c r="P794" s="10">
        <v>0.36355054740151332</v>
      </c>
      <c r="Q794" s="8">
        <v>4714.09</v>
      </c>
      <c r="R794" t="s">
        <v>43</v>
      </c>
      <c r="S794" t="s">
        <v>49</v>
      </c>
      <c r="T794" t="s">
        <v>2931</v>
      </c>
      <c r="U794">
        <v>0</v>
      </c>
      <c r="V794" t="str">
        <f>IF(CleanedTable[[#This Row],[Returned]] = 0,"NO","Yes")</f>
        <v>NO</v>
      </c>
      <c r="W794" t="s">
        <v>843</v>
      </c>
      <c r="X794" t="s">
        <v>2310</v>
      </c>
      <c r="Y794" s="10">
        <v>22.96</v>
      </c>
      <c r="Z794" s="3">
        <v>45505</v>
      </c>
      <c r="AA794" s="3">
        <v>45510</v>
      </c>
      <c r="AB794" t="s">
        <v>2923</v>
      </c>
      <c r="AC794">
        <v>5</v>
      </c>
    </row>
    <row r="795" spans="1:29" x14ac:dyDescent="0.3">
      <c r="A795" s="3">
        <v>45402</v>
      </c>
      <c r="B795" s="3" t="str">
        <f>TEXT(CleanedTable[[#This Row],[OrderDate]],"mmm")</f>
        <v>Apr</v>
      </c>
      <c r="C795" s="3" t="str">
        <f>TEXT(CleanedTable[[#This Row],[OrderDate]],"yyyy")</f>
        <v>2024</v>
      </c>
      <c r="D795" s="3" t="str">
        <f>TEXT(CleanedTable[[#This Row],[OrderDate]],"mmm yyyy")</f>
        <v>Apr 2024</v>
      </c>
      <c r="E795" t="s">
        <v>23</v>
      </c>
      <c r="F795" t="s">
        <v>27</v>
      </c>
      <c r="G795" s="12">
        <v>5</v>
      </c>
      <c r="H795" s="8">
        <v>316.76</v>
      </c>
      <c r="I795" t="s">
        <v>31</v>
      </c>
      <c r="J795" t="s">
        <v>36</v>
      </c>
      <c r="K795" s="10">
        <v>0.05</v>
      </c>
      <c r="L795" t="s">
        <v>38</v>
      </c>
      <c r="M795">
        <v>1504.61</v>
      </c>
      <c r="N795">
        <v>950.28</v>
      </c>
      <c r="O795" s="10">
        <v>541.62999999999988</v>
      </c>
      <c r="P795" s="10">
        <v>0.35998032712796002</v>
      </c>
      <c r="Q795" s="8">
        <v>1504.61</v>
      </c>
      <c r="R795" t="s">
        <v>44</v>
      </c>
      <c r="S795" t="s">
        <v>48</v>
      </c>
      <c r="T795" t="s">
        <v>2931</v>
      </c>
      <c r="U795">
        <v>1</v>
      </c>
      <c r="V795" t="str">
        <f>IF(CleanedTable[[#This Row],[Returned]] = 0,"NO","Yes")</f>
        <v>Yes</v>
      </c>
      <c r="W795" t="s">
        <v>844</v>
      </c>
      <c r="X795" t="s">
        <v>2162</v>
      </c>
      <c r="Y795" s="10">
        <v>12.7</v>
      </c>
      <c r="Z795" s="3">
        <v>45402</v>
      </c>
      <c r="AA795" s="3">
        <v>45412</v>
      </c>
      <c r="AB795" t="s">
        <v>2926</v>
      </c>
      <c r="AC795">
        <v>10</v>
      </c>
    </row>
    <row r="796" spans="1:29" x14ac:dyDescent="0.3">
      <c r="A796" s="3">
        <v>45402</v>
      </c>
      <c r="B796" s="3" t="str">
        <f>TEXT(CleanedTable[[#This Row],[OrderDate]],"mmm")</f>
        <v>Apr</v>
      </c>
      <c r="C796" s="3" t="str">
        <f>TEXT(CleanedTable[[#This Row],[OrderDate]],"yyyy")</f>
        <v>2024</v>
      </c>
      <c r="D796" s="3" t="str">
        <f>TEXT(CleanedTable[[#This Row],[OrderDate]],"mmm yyyy")</f>
        <v>Apr 2024</v>
      </c>
      <c r="E796" t="s">
        <v>20</v>
      </c>
      <c r="F796" t="s">
        <v>24</v>
      </c>
      <c r="G796" s="12">
        <v>2</v>
      </c>
      <c r="H796" s="8">
        <v>169.62</v>
      </c>
      <c r="I796" t="s">
        <v>33</v>
      </c>
      <c r="J796" t="s">
        <v>36</v>
      </c>
      <c r="K796" s="10">
        <v>0.1</v>
      </c>
      <c r="L796" t="s">
        <v>38</v>
      </c>
      <c r="M796">
        <v>305.31600000000003</v>
      </c>
      <c r="N796">
        <v>203.54400000000001</v>
      </c>
      <c r="O796" s="10">
        <v>56.362000000000023</v>
      </c>
      <c r="P796" s="10">
        <v>0.18460218265665743</v>
      </c>
      <c r="Q796" s="8">
        <v>305.31599999999997</v>
      </c>
      <c r="R796" t="s">
        <v>46</v>
      </c>
      <c r="T796" t="s">
        <v>2932</v>
      </c>
      <c r="U796">
        <v>0</v>
      </c>
      <c r="V796" t="str">
        <f>IF(CleanedTable[[#This Row],[Returned]] = 0,"NO","Yes")</f>
        <v>NO</v>
      </c>
      <c r="W796" t="s">
        <v>845</v>
      </c>
      <c r="X796" t="s">
        <v>2311</v>
      </c>
      <c r="Y796" s="10">
        <v>45.41</v>
      </c>
      <c r="Z796" s="3">
        <v>45402</v>
      </c>
      <c r="AA796" s="3">
        <v>45407</v>
      </c>
      <c r="AB796" t="s">
        <v>2923</v>
      </c>
      <c r="AC796">
        <v>5</v>
      </c>
    </row>
    <row r="797" spans="1:29" x14ac:dyDescent="0.3">
      <c r="A797" s="3">
        <v>45191</v>
      </c>
      <c r="B797" s="3" t="str">
        <f>TEXT(CleanedTable[[#This Row],[OrderDate]],"mmm")</f>
        <v>Sep</v>
      </c>
      <c r="C797" s="3" t="str">
        <f>TEXT(CleanedTable[[#This Row],[OrderDate]],"yyyy")</f>
        <v>2023</v>
      </c>
      <c r="D797" s="3" t="str">
        <f>TEXT(CleanedTable[[#This Row],[OrderDate]],"mmm yyyy")</f>
        <v>Sep 2023</v>
      </c>
      <c r="E797" t="s">
        <v>21</v>
      </c>
      <c r="F797" t="s">
        <v>24</v>
      </c>
      <c r="G797" s="12">
        <v>19</v>
      </c>
      <c r="H797" s="8">
        <v>35.380000000000003</v>
      </c>
      <c r="I797" t="s">
        <v>32</v>
      </c>
      <c r="J797" t="s">
        <v>36</v>
      </c>
      <c r="K797" s="10">
        <v>0.15</v>
      </c>
      <c r="L797" t="s">
        <v>41</v>
      </c>
      <c r="M797">
        <v>571.38700000000006</v>
      </c>
      <c r="N797">
        <v>403.33200000000005</v>
      </c>
      <c r="O797" s="10">
        <v>160.995</v>
      </c>
      <c r="P797" s="10">
        <v>0.28176174816717914</v>
      </c>
      <c r="Q797" s="8">
        <v>571.38700000000006</v>
      </c>
      <c r="R797" t="s">
        <v>43</v>
      </c>
      <c r="S797" t="s">
        <v>49</v>
      </c>
      <c r="T797" t="s">
        <v>2931</v>
      </c>
      <c r="U797">
        <v>0</v>
      </c>
      <c r="V797" t="str">
        <f>IF(CleanedTable[[#This Row],[Returned]] = 0,"NO","Yes")</f>
        <v>NO</v>
      </c>
      <c r="W797" t="s">
        <v>846</v>
      </c>
      <c r="X797" t="s">
        <v>2312</v>
      </c>
      <c r="Y797" s="10">
        <v>7.06</v>
      </c>
      <c r="Z797" s="3">
        <v>45191</v>
      </c>
      <c r="AA797" s="3">
        <v>45197</v>
      </c>
      <c r="AB797" t="s">
        <v>2924</v>
      </c>
      <c r="AC797">
        <v>6</v>
      </c>
    </row>
    <row r="798" spans="1:29" x14ac:dyDescent="0.3">
      <c r="A798" s="3">
        <v>45709</v>
      </c>
      <c r="B798" s="3" t="str">
        <f>TEXT(CleanedTable[[#This Row],[OrderDate]],"mmm")</f>
        <v>Feb</v>
      </c>
      <c r="C798" s="3" t="str">
        <f>TEXT(CleanedTable[[#This Row],[OrderDate]],"yyyy")</f>
        <v>2025</v>
      </c>
      <c r="D798" s="3" t="str">
        <f>TEXT(CleanedTable[[#This Row],[OrderDate]],"mmm yyyy")</f>
        <v>Feb 2025</v>
      </c>
      <c r="E798" t="s">
        <v>23</v>
      </c>
      <c r="F798" t="s">
        <v>27</v>
      </c>
      <c r="G798" s="12">
        <v>3</v>
      </c>
      <c r="H798" s="8">
        <v>264.08</v>
      </c>
      <c r="I798" t="s">
        <v>32</v>
      </c>
      <c r="J798" t="s">
        <v>36</v>
      </c>
      <c r="K798" s="10">
        <v>0.1</v>
      </c>
      <c r="L798" t="s">
        <v>41</v>
      </c>
      <c r="M798">
        <v>713.01600000000008</v>
      </c>
      <c r="N798">
        <v>475.34399999999994</v>
      </c>
      <c r="O798" s="10">
        <v>212.28200000000015</v>
      </c>
      <c r="P798" s="10">
        <v>0.29772403424327104</v>
      </c>
      <c r="Q798" s="8">
        <v>713.01600000000008</v>
      </c>
      <c r="R798" t="s">
        <v>43</v>
      </c>
      <c r="T798" t="s">
        <v>2932</v>
      </c>
      <c r="U798">
        <v>0</v>
      </c>
      <c r="V798" t="str">
        <f>IF(CleanedTable[[#This Row],[Returned]] = 0,"NO","Yes")</f>
        <v>NO</v>
      </c>
      <c r="W798" t="s">
        <v>847</v>
      </c>
      <c r="X798" t="s">
        <v>2313</v>
      </c>
      <c r="Y798" s="10">
        <v>25.39</v>
      </c>
      <c r="Z798" s="3">
        <v>45709</v>
      </c>
      <c r="AA798" s="3">
        <v>45718</v>
      </c>
      <c r="AB798" t="s">
        <v>2926</v>
      </c>
      <c r="AC798">
        <v>9</v>
      </c>
    </row>
    <row r="799" spans="1:29" x14ac:dyDescent="0.3">
      <c r="A799" s="3">
        <v>45832</v>
      </c>
      <c r="B799" s="3" t="str">
        <f>TEXT(CleanedTable[[#This Row],[OrderDate]],"mmm")</f>
        <v>Jun</v>
      </c>
      <c r="C799" s="3" t="str">
        <f>TEXT(CleanedTable[[#This Row],[OrderDate]],"yyyy")</f>
        <v>2025</v>
      </c>
      <c r="D799" s="3" t="str">
        <f>TEXT(CleanedTable[[#This Row],[OrderDate]],"mmm yyyy")</f>
        <v>Jun 2025</v>
      </c>
      <c r="E799" t="s">
        <v>19</v>
      </c>
      <c r="F799" t="s">
        <v>29</v>
      </c>
      <c r="G799" s="12">
        <v>5</v>
      </c>
      <c r="H799" s="8">
        <v>137.56</v>
      </c>
      <c r="I799" t="s">
        <v>33</v>
      </c>
      <c r="J799" t="s">
        <v>35</v>
      </c>
      <c r="K799" s="10">
        <v>0.15</v>
      </c>
      <c r="L799" t="s">
        <v>41</v>
      </c>
      <c r="M799">
        <v>584.63</v>
      </c>
      <c r="N799">
        <v>412.68</v>
      </c>
      <c r="O799" s="10">
        <v>165.5</v>
      </c>
      <c r="P799" s="10">
        <v>0.28308502813745445</v>
      </c>
      <c r="Q799" s="8">
        <v>584.63</v>
      </c>
      <c r="R799" t="s">
        <v>46</v>
      </c>
      <c r="S799" t="s">
        <v>49</v>
      </c>
      <c r="T799" t="s">
        <v>2931</v>
      </c>
      <c r="U799">
        <v>0</v>
      </c>
      <c r="V799" t="str">
        <f>IF(CleanedTable[[#This Row],[Returned]] = 0,"NO","Yes")</f>
        <v>NO</v>
      </c>
      <c r="W799" t="s">
        <v>848</v>
      </c>
      <c r="X799" t="s">
        <v>1655</v>
      </c>
      <c r="Y799" s="10">
        <v>6.45</v>
      </c>
      <c r="Z799" s="3">
        <v>45832</v>
      </c>
      <c r="AA799" s="3">
        <v>45839</v>
      </c>
      <c r="AB799" t="s">
        <v>2922</v>
      </c>
      <c r="AC799">
        <v>7</v>
      </c>
    </row>
    <row r="800" spans="1:29" x14ac:dyDescent="0.3">
      <c r="A800" s="3">
        <v>45258</v>
      </c>
      <c r="B800" s="3" t="str">
        <f>TEXT(CleanedTable[[#This Row],[OrderDate]],"mmm")</f>
        <v>Nov</v>
      </c>
      <c r="C800" s="3" t="str">
        <f>TEXT(CleanedTable[[#This Row],[OrderDate]],"yyyy")</f>
        <v>2023</v>
      </c>
      <c r="D800" s="3" t="str">
        <f>TEXT(CleanedTable[[#This Row],[OrderDate]],"mmm yyyy")</f>
        <v>Nov 2023</v>
      </c>
      <c r="E800" t="s">
        <v>22</v>
      </c>
      <c r="F800" t="s">
        <v>24</v>
      </c>
      <c r="G800" s="12">
        <v>8</v>
      </c>
      <c r="H800" s="8">
        <v>157.93</v>
      </c>
      <c r="I800" t="s">
        <v>31</v>
      </c>
      <c r="J800" t="s">
        <v>36</v>
      </c>
      <c r="K800" s="10">
        <v>0.15</v>
      </c>
      <c r="L800" t="s">
        <v>41</v>
      </c>
      <c r="M800">
        <v>1073.924</v>
      </c>
      <c r="N800">
        <v>758.06399999999996</v>
      </c>
      <c r="O800" s="10">
        <v>309.55</v>
      </c>
      <c r="P800" s="10">
        <v>0.28824199850268734</v>
      </c>
      <c r="Q800" s="8">
        <v>1073.924</v>
      </c>
      <c r="R800" t="s">
        <v>43</v>
      </c>
      <c r="S800" t="s">
        <v>49</v>
      </c>
      <c r="T800" t="s">
        <v>2931</v>
      </c>
      <c r="U800">
        <v>0</v>
      </c>
      <c r="V800" t="str">
        <f>IF(CleanedTable[[#This Row],[Returned]] = 0,"NO","Yes")</f>
        <v>NO</v>
      </c>
      <c r="W800" t="s">
        <v>849</v>
      </c>
      <c r="X800" t="s">
        <v>2314</v>
      </c>
      <c r="Y800" s="10">
        <v>6.31</v>
      </c>
      <c r="Z800" s="3">
        <v>45258</v>
      </c>
      <c r="AA800" s="3">
        <v>45265</v>
      </c>
      <c r="AB800" t="s">
        <v>2925</v>
      </c>
      <c r="AC800">
        <v>7</v>
      </c>
    </row>
    <row r="801" spans="1:29" x14ac:dyDescent="0.3">
      <c r="A801" s="3">
        <v>45390</v>
      </c>
      <c r="B801" s="3" t="str">
        <f>TEXT(CleanedTable[[#This Row],[OrderDate]],"mmm")</f>
        <v>Apr</v>
      </c>
      <c r="C801" s="3" t="str">
        <f>TEXT(CleanedTable[[#This Row],[OrderDate]],"yyyy")</f>
        <v>2024</v>
      </c>
      <c r="D801" s="3" t="str">
        <f>TEXT(CleanedTable[[#This Row],[OrderDate]],"mmm yyyy")</f>
        <v>Apr 2024</v>
      </c>
      <c r="E801" t="s">
        <v>21</v>
      </c>
      <c r="F801" t="s">
        <v>26</v>
      </c>
      <c r="G801" s="12">
        <v>6</v>
      </c>
      <c r="H801" s="8">
        <v>126.86</v>
      </c>
      <c r="I801" t="s">
        <v>33</v>
      </c>
      <c r="J801" t="s">
        <v>35</v>
      </c>
      <c r="K801" s="10">
        <v>0.05</v>
      </c>
      <c r="L801" t="s">
        <v>37</v>
      </c>
      <c r="M801">
        <v>723.10199999999998</v>
      </c>
      <c r="N801">
        <v>456.69600000000003</v>
      </c>
      <c r="O801" s="10">
        <v>230.91599999999994</v>
      </c>
      <c r="P801" s="10">
        <v>0.31934083988151041</v>
      </c>
      <c r="Q801" s="8">
        <v>723.10199999999998</v>
      </c>
      <c r="R801" t="s">
        <v>46</v>
      </c>
      <c r="S801" t="s">
        <v>48</v>
      </c>
      <c r="T801" t="s">
        <v>2931</v>
      </c>
      <c r="U801">
        <v>0</v>
      </c>
      <c r="V801" t="str">
        <f>IF(CleanedTable[[#This Row],[Returned]] = 0,"NO","Yes")</f>
        <v>NO</v>
      </c>
      <c r="W801" t="s">
        <v>850</v>
      </c>
      <c r="X801" t="s">
        <v>2315</v>
      </c>
      <c r="Y801" s="10">
        <v>35.49</v>
      </c>
      <c r="Z801" s="3">
        <v>45390</v>
      </c>
      <c r="AA801" s="3">
        <v>45399</v>
      </c>
      <c r="AB801" t="s">
        <v>2924</v>
      </c>
      <c r="AC801">
        <v>9</v>
      </c>
    </row>
    <row r="802" spans="1:29" x14ac:dyDescent="0.3">
      <c r="A802" s="3">
        <v>45664</v>
      </c>
      <c r="B802" s="3" t="str">
        <f>TEXT(CleanedTable[[#This Row],[OrderDate]],"mmm")</f>
        <v>Jan</v>
      </c>
      <c r="C802" s="3" t="str">
        <f>TEXT(CleanedTable[[#This Row],[OrderDate]],"yyyy")</f>
        <v>2025</v>
      </c>
      <c r="D802" s="3" t="str">
        <f>TEXT(CleanedTable[[#This Row],[OrderDate]],"mmm yyyy")</f>
        <v>Jan 2025</v>
      </c>
      <c r="E802" t="s">
        <v>21</v>
      </c>
      <c r="F802" t="s">
        <v>27</v>
      </c>
      <c r="G802" s="12">
        <v>15</v>
      </c>
      <c r="H802" s="8">
        <v>240.05</v>
      </c>
      <c r="I802" t="s">
        <v>33</v>
      </c>
      <c r="J802" t="s">
        <v>36</v>
      </c>
      <c r="K802" s="10">
        <v>0.05</v>
      </c>
      <c r="L802" t="s">
        <v>40</v>
      </c>
      <c r="M802">
        <v>3420.7124999999996</v>
      </c>
      <c r="N802">
        <v>2160.4499999999998</v>
      </c>
      <c r="O802" s="10">
        <v>1245.9524999999999</v>
      </c>
      <c r="P802" s="10">
        <v>0.36423771363422092</v>
      </c>
      <c r="Q802" s="8">
        <v>3420.7125000000001</v>
      </c>
      <c r="R802" t="s">
        <v>45</v>
      </c>
      <c r="S802" t="s">
        <v>48</v>
      </c>
      <c r="T802" t="s">
        <v>2931</v>
      </c>
      <c r="U802">
        <v>0</v>
      </c>
      <c r="V802" t="str">
        <f>IF(CleanedTable[[#This Row],[Returned]] = 0,"NO","Yes")</f>
        <v>NO</v>
      </c>
      <c r="W802" t="s">
        <v>851</v>
      </c>
      <c r="X802" t="s">
        <v>2221</v>
      </c>
      <c r="Y802" s="10">
        <v>14.31</v>
      </c>
      <c r="Z802" s="3">
        <v>45664</v>
      </c>
      <c r="AA802" s="3">
        <v>45671</v>
      </c>
      <c r="AB802" t="s">
        <v>2924</v>
      </c>
      <c r="AC802">
        <v>7</v>
      </c>
    </row>
    <row r="803" spans="1:29" x14ac:dyDescent="0.3">
      <c r="A803" s="3">
        <v>44981</v>
      </c>
      <c r="B803" s="3" t="str">
        <f>TEXT(CleanedTable[[#This Row],[OrderDate]],"mmm")</f>
        <v>Feb</v>
      </c>
      <c r="C803" s="3" t="str">
        <f>TEXT(CleanedTable[[#This Row],[OrderDate]],"yyyy")</f>
        <v>2023</v>
      </c>
      <c r="D803" s="3" t="str">
        <f>TEXT(CleanedTable[[#This Row],[OrderDate]],"mmm yyyy")</f>
        <v>Feb 2023</v>
      </c>
      <c r="E803" t="s">
        <v>20</v>
      </c>
      <c r="F803" t="s">
        <v>29</v>
      </c>
      <c r="G803" s="12">
        <v>3</v>
      </c>
      <c r="H803" s="8">
        <v>37.630000000000003</v>
      </c>
      <c r="I803" t="s">
        <v>32</v>
      </c>
      <c r="J803" t="s">
        <v>35</v>
      </c>
      <c r="K803" s="10">
        <v>0.1</v>
      </c>
      <c r="L803" t="s">
        <v>40</v>
      </c>
      <c r="M803">
        <v>101.60100000000001</v>
      </c>
      <c r="N803">
        <v>67.733999999999995</v>
      </c>
      <c r="O803" s="10">
        <v>-9.8329999999999842</v>
      </c>
      <c r="P803" s="10">
        <v>-9.6780543498587446E-2</v>
      </c>
      <c r="Q803" s="8">
        <v>101.601</v>
      </c>
      <c r="R803" t="s">
        <v>46</v>
      </c>
      <c r="S803" t="s">
        <v>48</v>
      </c>
      <c r="T803" t="s">
        <v>2931</v>
      </c>
      <c r="U803">
        <v>0</v>
      </c>
      <c r="V803" t="str">
        <f>IF(CleanedTable[[#This Row],[Returned]] = 0,"NO","Yes")</f>
        <v>NO</v>
      </c>
      <c r="W803" t="s">
        <v>852</v>
      </c>
      <c r="X803" t="s">
        <v>2316</v>
      </c>
      <c r="Y803" s="10">
        <v>43.7</v>
      </c>
      <c r="Z803" s="3">
        <v>44981</v>
      </c>
      <c r="AA803" s="3">
        <v>44988</v>
      </c>
      <c r="AB803" t="s">
        <v>2923</v>
      </c>
      <c r="AC803">
        <v>7</v>
      </c>
    </row>
    <row r="804" spans="1:29" x14ac:dyDescent="0.3">
      <c r="A804" s="3">
        <v>45218</v>
      </c>
      <c r="B804" s="3" t="str">
        <f>TEXT(CleanedTable[[#This Row],[OrderDate]],"mmm")</f>
        <v>Oct</v>
      </c>
      <c r="C804" s="3" t="str">
        <f>TEXT(CleanedTable[[#This Row],[OrderDate]],"yyyy")</f>
        <v>2023</v>
      </c>
      <c r="D804" s="3" t="str">
        <f>TEXT(CleanedTable[[#This Row],[OrderDate]],"mmm yyyy")</f>
        <v>Oct 2023</v>
      </c>
      <c r="E804" t="s">
        <v>19</v>
      </c>
      <c r="F804" t="s">
        <v>27</v>
      </c>
      <c r="G804" s="12">
        <v>13</v>
      </c>
      <c r="H804" s="8">
        <v>393.1</v>
      </c>
      <c r="I804" t="s">
        <v>31</v>
      </c>
      <c r="J804" t="s">
        <v>35</v>
      </c>
      <c r="K804" s="10">
        <v>0.1</v>
      </c>
      <c r="L804" t="s">
        <v>38</v>
      </c>
      <c r="M804">
        <v>4599.2700000000004</v>
      </c>
      <c r="N804">
        <v>3066.1800000000003</v>
      </c>
      <c r="O804" s="10">
        <v>1520.45</v>
      </c>
      <c r="P804" s="10">
        <v>0.33058507110911078</v>
      </c>
      <c r="Q804" s="8">
        <v>4599.2700000000004</v>
      </c>
      <c r="R804" t="s">
        <v>43</v>
      </c>
      <c r="T804" t="s">
        <v>2932</v>
      </c>
      <c r="U804">
        <v>0</v>
      </c>
      <c r="V804" t="str">
        <f>IF(CleanedTable[[#This Row],[Returned]] = 0,"NO","Yes")</f>
        <v>NO</v>
      </c>
      <c r="W804" t="s">
        <v>853</v>
      </c>
      <c r="X804" t="s">
        <v>1558</v>
      </c>
      <c r="Y804" s="10">
        <v>12.64</v>
      </c>
      <c r="Z804" s="3">
        <v>45218</v>
      </c>
      <c r="AA804" s="3">
        <v>45225</v>
      </c>
      <c r="AB804" t="s">
        <v>2922</v>
      </c>
      <c r="AC804">
        <v>7</v>
      </c>
    </row>
    <row r="805" spans="1:29" x14ac:dyDescent="0.3">
      <c r="A805" s="3">
        <v>45460</v>
      </c>
      <c r="B805" s="3" t="str">
        <f>TEXT(CleanedTable[[#This Row],[OrderDate]],"mmm")</f>
        <v>Jun</v>
      </c>
      <c r="C805" s="3" t="str">
        <f>TEXT(CleanedTable[[#This Row],[OrderDate]],"yyyy")</f>
        <v>2024</v>
      </c>
      <c r="D805" s="3" t="str">
        <f>TEXT(CleanedTable[[#This Row],[OrderDate]],"mmm yyyy")</f>
        <v>Jun 2024</v>
      </c>
      <c r="E805" t="s">
        <v>21</v>
      </c>
      <c r="F805" t="s">
        <v>27</v>
      </c>
      <c r="G805" s="12">
        <v>10</v>
      </c>
      <c r="H805" s="8">
        <v>83.86</v>
      </c>
      <c r="I805" t="s">
        <v>32</v>
      </c>
      <c r="J805" t="s">
        <v>35</v>
      </c>
      <c r="K805" s="10">
        <v>0.15</v>
      </c>
      <c r="L805" t="s">
        <v>38</v>
      </c>
      <c r="M805">
        <v>712.81</v>
      </c>
      <c r="N805">
        <v>503.15999999999997</v>
      </c>
      <c r="O805" s="10">
        <v>168.53999999999996</v>
      </c>
      <c r="P805" s="10">
        <v>0.23644449432527598</v>
      </c>
      <c r="Q805" s="8">
        <v>712.81</v>
      </c>
      <c r="R805" t="s">
        <v>45</v>
      </c>
      <c r="T805" t="s">
        <v>2932</v>
      </c>
      <c r="U805">
        <v>0</v>
      </c>
      <c r="V805" t="str">
        <f>IF(CleanedTable[[#This Row],[Returned]] = 0,"NO","Yes")</f>
        <v>NO</v>
      </c>
      <c r="W805" t="s">
        <v>854</v>
      </c>
      <c r="X805" t="s">
        <v>2317</v>
      </c>
      <c r="Y805" s="10">
        <v>41.11</v>
      </c>
      <c r="Z805" s="3">
        <v>45460</v>
      </c>
      <c r="AA805" s="3">
        <v>45464</v>
      </c>
      <c r="AB805" t="s">
        <v>2924</v>
      </c>
      <c r="AC805">
        <v>4</v>
      </c>
    </row>
    <row r="806" spans="1:29" x14ac:dyDescent="0.3">
      <c r="A806" s="3">
        <v>45098</v>
      </c>
      <c r="B806" s="3" t="str">
        <f>TEXT(CleanedTable[[#This Row],[OrderDate]],"mmm")</f>
        <v>Jun</v>
      </c>
      <c r="C806" s="3" t="str">
        <f>TEXT(CleanedTable[[#This Row],[OrderDate]],"yyyy")</f>
        <v>2023</v>
      </c>
      <c r="D806" s="3" t="str">
        <f>TEXT(CleanedTable[[#This Row],[OrderDate]],"mmm yyyy")</f>
        <v>Jun 2023</v>
      </c>
      <c r="E806" t="s">
        <v>22</v>
      </c>
      <c r="F806" t="s">
        <v>26</v>
      </c>
      <c r="G806" s="12">
        <v>10</v>
      </c>
      <c r="H806" s="8">
        <v>110.07</v>
      </c>
      <c r="I806" t="s">
        <v>31</v>
      </c>
      <c r="J806" t="s">
        <v>35</v>
      </c>
      <c r="K806" s="10">
        <v>0</v>
      </c>
      <c r="L806" t="s">
        <v>39</v>
      </c>
      <c r="M806">
        <v>1100.6999999999998</v>
      </c>
      <c r="N806">
        <v>660.41999999999985</v>
      </c>
      <c r="O806" s="10">
        <v>421.80999999999995</v>
      </c>
      <c r="P806" s="10">
        <v>0.3832197692377578</v>
      </c>
      <c r="Q806" s="8">
        <v>1100.7</v>
      </c>
      <c r="R806" t="s">
        <v>45</v>
      </c>
      <c r="T806" t="s">
        <v>2932</v>
      </c>
      <c r="U806">
        <v>0</v>
      </c>
      <c r="V806" t="str">
        <f>IF(CleanedTable[[#This Row],[Returned]] = 0,"NO","Yes")</f>
        <v>NO</v>
      </c>
      <c r="W806" t="s">
        <v>855</v>
      </c>
      <c r="X806" t="s">
        <v>2318</v>
      </c>
      <c r="Y806" s="10">
        <v>18.47</v>
      </c>
      <c r="Z806" s="3">
        <v>45098</v>
      </c>
      <c r="AA806" s="3">
        <v>45106</v>
      </c>
      <c r="AB806" t="s">
        <v>2925</v>
      </c>
      <c r="AC806">
        <v>8</v>
      </c>
    </row>
    <row r="807" spans="1:29" x14ac:dyDescent="0.3">
      <c r="A807" s="3">
        <v>45534</v>
      </c>
      <c r="B807" s="3" t="str">
        <f>TEXT(CleanedTable[[#This Row],[OrderDate]],"mmm")</f>
        <v>Aug</v>
      </c>
      <c r="C807" s="3" t="str">
        <f>TEXT(CleanedTable[[#This Row],[OrderDate]],"yyyy")</f>
        <v>2024</v>
      </c>
      <c r="D807" s="3" t="str">
        <f>TEXT(CleanedTable[[#This Row],[OrderDate]],"mmm yyyy")</f>
        <v>Aug 2024</v>
      </c>
      <c r="E807" t="s">
        <v>19</v>
      </c>
      <c r="F807" t="s">
        <v>25</v>
      </c>
      <c r="G807" s="12">
        <v>6</v>
      </c>
      <c r="H807" s="8">
        <v>288.98</v>
      </c>
      <c r="I807" t="s">
        <v>33</v>
      </c>
      <c r="J807" t="s">
        <v>35</v>
      </c>
      <c r="K807" s="10">
        <v>0.15</v>
      </c>
      <c r="L807" t="s">
        <v>41</v>
      </c>
      <c r="M807">
        <v>1473.798</v>
      </c>
      <c r="N807">
        <v>1040.328</v>
      </c>
      <c r="O807" s="10">
        <v>394.84000000000003</v>
      </c>
      <c r="P807" s="10">
        <v>0.26790645665145429</v>
      </c>
      <c r="Q807" s="8">
        <v>1473.798</v>
      </c>
      <c r="R807" t="s">
        <v>44</v>
      </c>
      <c r="T807" t="s">
        <v>2932</v>
      </c>
      <c r="U807">
        <v>0</v>
      </c>
      <c r="V807" t="str">
        <f>IF(CleanedTable[[#This Row],[Returned]] = 0,"NO","Yes")</f>
        <v>NO</v>
      </c>
      <c r="W807" t="s">
        <v>856</v>
      </c>
      <c r="X807" t="s">
        <v>2319</v>
      </c>
      <c r="Y807" s="10">
        <v>38.630000000000003</v>
      </c>
      <c r="Z807" s="3">
        <v>45534</v>
      </c>
      <c r="AA807" s="3">
        <v>45537</v>
      </c>
      <c r="AB807" t="s">
        <v>2922</v>
      </c>
      <c r="AC807">
        <v>3</v>
      </c>
    </row>
    <row r="808" spans="1:29" x14ac:dyDescent="0.3">
      <c r="A808" s="3">
        <v>45660</v>
      </c>
      <c r="B808" s="3" t="str">
        <f>TEXT(CleanedTable[[#This Row],[OrderDate]],"mmm")</f>
        <v>Jan</v>
      </c>
      <c r="C808" s="3" t="str">
        <f>TEXT(CleanedTable[[#This Row],[OrderDate]],"yyyy")</f>
        <v>2025</v>
      </c>
      <c r="D808" s="3" t="str">
        <f>TEXT(CleanedTable[[#This Row],[OrderDate]],"mmm yyyy")</f>
        <v>Jan 2025</v>
      </c>
      <c r="E808" t="s">
        <v>22</v>
      </c>
      <c r="F808" t="s">
        <v>26</v>
      </c>
      <c r="G808" s="12">
        <v>10</v>
      </c>
      <c r="H808" s="8">
        <v>451.14</v>
      </c>
      <c r="I808" t="s">
        <v>32</v>
      </c>
      <c r="J808" t="s">
        <v>36</v>
      </c>
      <c r="K808" s="10">
        <v>0</v>
      </c>
      <c r="L808" t="s">
        <v>42</v>
      </c>
      <c r="M808">
        <v>4511.3999999999996</v>
      </c>
      <c r="N808">
        <v>2706.8399999999997</v>
      </c>
      <c r="O808" s="10">
        <v>1774.6</v>
      </c>
      <c r="P808" s="10">
        <v>0.39335904597242544</v>
      </c>
      <c r="Q808" s="8">
        <v>4511.3999999999996</v>
      </c>
      <c r="R808" t="s">
        <v>44</v>
      </c>
      <c r="S808" t="s">
        <v>48</v>
      </c>
      <c r="T808" t="s">
        <v>2931</v>
      </c>
      <c r="U808">
        <v>0</v>
      </c>
      <c r="V808" t="str">
        <f>IF(CleanedTable[[#This Row],[Returned]] = 0,"NO","Yes")</f>
        <v>NO</v>
      </c>
      <c r="W808" t="s">
        <v>857</v>
      </c>
      <c r="X808" t="s">
        <v>2320</v>
      </c>
      <c r="Y808" s="10">
        <v>29.96</v>
      </c>
      <c r="Z808" s="3">
        <v>45660</v>
      </c>
      <c r="AA808" s="3">
        <v>45670</v>
      </c>
      <c r="AB808" t="s">
        <v>2925</v>
      </c>
      <c r="AC808">
        <v>10</v>
      </c>
    </row>
    <row r="809" spans="1:29" x14ac:dyDescent="0.3">
      <c r="A809" s="3">
        <v>44980</v>
      </c>
      <c r="B809" s="3" t="str">
        <f>TEXT(CleanedTable[[#This Row],[OrderDate]],"mmm")</f>
        <v>Feb</v>
      </c>
      <c r="C809" s="3" t="str">
        <f>TEXT(CleanedTable[[#This Row],[OrderDate]],"yyyy")</f>
        <v>2023</v>
      </c>
      <c r="D809" s="3" t="str">
        <f>TEXT(CleanedTable[[#This Row],[OrderDate]],"mmm yyyy")</f>
        <v>Feb 2023</v>
      </c>
      <c r="E809" t="s">
        <v>23</v>
      </c>
      <c r="F809" t="s">
        <v>30</v>
      </c>
      <c r="G809" s="12">
        <v>16</v>
      </c>
      <c r="H809" s="8">
        <v>509.08</v>
      </c>
      <c r="I809" t="s">
        <v>33</v>
      </c>
      <c r="J809" t="s">
        <v>35</v>
      </c>
      <c r="K809" s="10">
        <v>0</v>
      </c>
      <c r="L809" t="s">
        <v>40</v>
      </c>
      <c r="M809">
        <v>8145.28</v>
      </c>
      <c r="N809">
        <v>4887.1679999999997</v>
      </c>
      <c r="O809" s="10">
        <v>3220.5819999999999</v>
      </c>
      <c r="P809" s="10">
        <v>0.39539242358764831</v>
      </c>
      <c r="Q809" s="8">
        <v>8145.28</v>
      </c>
      <c r="R809" t="s">
        <v>43</v>
      </c>
      <c r="S809" t="s">
        <v>48</v>
      </c>
      <c r="T809" t="s">
        <v>2931</v>
      </c>
      <c r="U809">
        <v>0</v>
      </c>
      <c r="V809" t="str">
        <f>IF(CleanedTable[[#This Row],[Returned]] = 0,"NO","Yes")</f>
        <v>NO</v>
      </c>
      <c r="W809" t="s">
        <v>858</v>
      </c>
      <c r="X809" t="s">
        <v>1960</v>
      </c>
      <c r="Y809" s="10">
        <v>37.53</v>
      </c>
      <c r="Z809" s="3">
        <v>44980</v>
      </c>
      <c r="AA809" s="3">
        <v>44987</v>
      </c>
      <c r="AB809" t="s">
        <v>2926</v>
      </c>
      <c r="AC809">
        <v>7</v>
      </c>
    </row>
    <row r="810" spans="1:29" x14ac:dyDescent="0.3">
      <c r="A810" s="3">
        <v>45773</v>
      </c>
      <c r="B810" s="3" t="str">
        <f>TEXT(CleanedTable[[#This Row],[OrderDate]],"mmm")</f>
        <v>Apr</v>
      </c>
      <c r="C810" s="3" t="str">
        <f>TEXT(CleanedTable[[#This Row],[OrderDate]],"yyyy")</f>
        <v>2025</v>
      </c>
      <c r="D810" s="3" t="str">
        <f>TEXT(CleanedTable[[#This Row],[OrderDate]],"mmm yyyy")</f>
        <v>Apr 2025</v>
      </c>
      <c r="E810" t="s">
        <v>22</v>
      </c>
      <c r="F810" t="s">
        <v>30</v>
      </c>
      <c r="G810" s="12">
        <v>4</v>
      </c>
      <c r="H810" s="8">
        <v>582.73</v>
      </c>
      <c r="I810" t="s">
        <v>34</v>
      </c>
      <c r="J810" t="s">
        <v>35</v>
      </c>
      <c r="K810" s="10">
        <v>0.05</v>
      </c>
      <c r="L810" t="s">
        <v>40</v>
      </c>
      <c r="M810">
        <v>2214.3739999999998</v>
      </c>
      <c r="N810">
        <v>1398.5519999999999</v>
      </c>
      <c r="O810" s="10">
        <v>771.5619999999999</v>
      </c>
      <c r="P810" s="10">
        <v>0.34843346245936774</v>
      </c>
      <c r="Q810" s="8">
        <v>2214.3739999999998</v>
      </c>
      <c r="R810" t="s">
        <v>47</v>
      </c>
      <c r="S810" t="s">
        <v>50</v>
      </c>
      <c r="T810" t="s">
        <v>2931</v>
      </c>
      <c r="U810">
        <v>0</v>
      </c>
      <c r="V810" t="str">
        <f>IF(CleanedTable[[#This Row],[Returned]] = 0,"NO","Yes")</f>
        <v>NO</v>
      </c>
      <c r="W810" t="s">
        <v>859</v>
      </c>
      <c r="X810" t="s">
        <v>2321</v>
      </c>
      <c r="Y810" s="10">
        <v>44.26</v>
      </c>
      <c r="Z810" s="3">
        <v>45773</v>
      </c>
      <c r="AA810" s="3">
        <v>45776</v>
      </c>
      <c r="AB810" t="s">
        <v>2925</v>
      </c>
      <c r="AC810">
        <v>3</v>
      </c>
    </row>
    <row r="811" spans="1:29" x14ac:dyDescent="0.3">
      <c r="A811" s="3">
        <v>45085</v>
      </c>
      <c r="B811" s="3" t="str">
        <f>TEXT(CleanedTable[[#This Row],[OrderDate]],"mmm")</f>
        <v>Jun</v>
      </c>
      <c r="C811" s="3" t="str">
        <f>TEXT(CleanedTable[[#This Row],[OrderDate]],"yyyy")</f>
        <v>2023</v>
      </c>
      <c r="D811" s="3" t="str">
        <f>TEXT(CleanedTable[[#This Row],[OrderDate]],"mmm yyyy")</f>
        <v>Jun 2023</v>
      </c>
      <c r="E811" t="s">
        <v>20</v>
      </c>
      <c r="F811" t="s">
        <v>25</v>
      </c>
      <c r="G811" s="12">
        <v>9</v>
      </c>
      <c r="H811" s="8">
        <v>115.24</v>
      </c>
      <c r="I811" t="s">
        <v>31</v>
      </c>
      <c r="J811" t="s">
        <v>35</v>
      </c>
      <c r="K811" s="10">
        <v>0</v>
      </c>
      <c r="L811" t="s">
        <v>38</v>
      </c>
      <c r="M811">
        <v>1037.1599999999999</v>
      </c>
      <c r="N811">
        <v>622.29599999999994</v>
      </c>
      <c r="O811" s="10">
        <v>406.58399999999995</v>
      </c>
      <c r="P811" s="10">
        <v>0.39201666088163833</v>
      </c>
      <c r="Q811" s="8">
        <v>1037.1600000000001</v>
      </c>
      <c r="R811" t="s">
        <v>45</v>
      </c>
      <c r="S811" t="s">
        <v>48</v>
      </c>
      <c r="T811" t="s">
        <v>2931</v>
      </c>
      <c r="U811">
        <v>0</v>
      </c>
      <c r="V811" t="str">
        <f>IF(CleanedTable[[#This Row],[Returned]] = 0,"NO","Yes")</f>
        <v>NO</v>
      </c>
      <c r="W811" t="s">
        <v>860</v>
      </c>
      <c r="X811" t="s">
        <v>2322</v>
      </c>
      <c r="Y811" s="10">
        <v>8.2799999999999994</v>
      </c>
      <c r="Z811" s="3">
        <v>45085</v>
      </c>
      <c r="AA811" s="3">
        <v>45091</v>
      </c>
      <c r="AB811" t="s">
        <v>2923</v>
      </c>
      <c r="AC811">
        <v>6</v>
      </c>
    </row>
    <row r="812" spans="1:29" x14ac:dyDescent="0.3">
      <c r="A812" s="3">
        <v>45001</v>
      </c>
      <c r="B812" s="3" t="str">
        <f>TEXT(CleanedTable[[#This Row],[OrderDate]],"mmm")</f>
        <v>Mar</v>
      </c>
      <c r="C812" s="3" t="str">
        <f>TEXT(CleanedTable[[#This Row],[OrderDate]],"yyyy")</f>
        <v>2023</v>
      </c>
      <c r="D812" s="3" t="str">
        <f>TEXT(CleanedTable[[#This Row],[OrderDate]],"mmm yyyy")</f>
        <v>Mar 2023</v>
      </c>
      <c r="E812" t="s">
        <v>21</v>
      </c>
      <c r="F812" t="s">
        <v>28</v>
      </c>
      <c r="G812" s="12">
        <v>14</v>
      </c>
      <c r="H812" s="8">
        <v>565.45000000000005</v>
      </c>
      <c r="I812" t="s">
        <v>34</v>
      </c>
      <c r="J812" t="s">
        <v>35</v>
      </c>
      <c r="K812" s="10">
        <v>0.1</v>
      </c>
      <c r="L812" t="s">
        <v>37</v>
      </c>
      <c r="M812">
        <v>7124.670000000001</v>
      </c>
      <c r="N812">
        <v>4749.7800000000007</v>
      </c>
      <c r="O812" s="10">
        <v>2350.4900000000002</v>
      </c>
      <c r="P812" s="10">
        <v>0.32990861331121302</v>
      </c>
      <c r="Q812" s="8">
        <v>7124.670000000001</v>
      </c>
      <c r="R812" t="s">
        <v>43</v>
      </c>
      <c r="S812" t="s">
        <v>50</v>
      </c>
      <c r="T812" t="s">
        <v>2931</v>
      </c>
      <c r="U812">
        <v>0</v>
      </c>
      <c r="V812" t="str">
        <f>IF(CleanedTable[[#This Row],[Returned]] = 0,"NO","Yes")</f>
        <v>NO</v>
      </c>
      <c r="W812" t="s">
        <v>861</v>
      </c>
      <c r="X812" t="s">
        <v>2323</v>
      </c>
      <c r="Y812" s="10">
        <v>24.4</v>
      </c>
      <c r="Z812" s="3">
        <v>45001</v>
      </c>
      <c r="AA812" s="3">
        <v>45010</v>
      </c>
      <c r="AB812" t="s">
        <v>2924</v>
      </c>
      <c r="AC812">
        <v>9</v>
      </c>
    </row>
    <row r="813" spans="1:29" x14ac:dyDescent="0.3">
      <c r="A813" s="3">
        <v>45588</v>
      </c>
      <c r="B813" s="3" t="str">
        <f>TEXT(CleanedTable[[#This Row],[OrderDate]],"mmm")</f>
        <v>Oct</v>
      </c>
      <c r="C813" s="3" t="str">
        <f>TEXT(CleanedTable[[#This Row],[OrderDate]],"yyyy")</f>
        <v>2024</v>
      </c>
      <c r="D813" s="3" t="str">
        <f>TEXT(CleanedTable[[#This Row],[OrderDate]],"mmm yyyy")</f>
        <v>Oct 2024</v>
      </c>
      <c r="E813" t="s">
        <v>21</v>
      </c>
      <c r="F813" t="s">
        <v>25</v>
      </c>
      <c r="G813" s="12">
        <v>11</v>
      </c>
      <c r="H813" s="8">
        <v>121.54</v>
      </c>
      <c r="I813" t="s">
        <v>34</v>
      </c>
      <c r="J813" t="s">
        <v>35</v>
      </c>
      <c r="K813" s="10">
        <v>0</v>
      </c>
      <c r="L813" t="s">
        <v>40</v>
      </c>
      <c r="M813">
        <v>1336.94</v>
      </c>
      <c r="N813">
        <v>802.1640000000001</v>
      </c>
      <c r="O813" s="10">
        <v>518.15599999999995</v>
      </c>
      <c r="P813" s="10">
        <v>0.38756862686433191</v>
      </c>
      <c r="Q813" s="8">
        <v>1336.94</v>
      </c>
      <c r="R813" t="s">
        <v>45</v>
      </c>
      <c r="S813" t="s">
        <v>49</v>
      </c>
      <c r="T813" t="s">
        <v>2931</v>
      </c>
      <c r="U813">
        <v>0</v>
      </c>
      <c r="V813" t="str">
        <f>IF(CleanedTable[[#This Row],[Returned]] = 0,"NO","Yes")</f>
        <v>NO</v>
      </c>
      <c r="W813" t="s">
        <v>862</v>
      </c>
      <c r="X813" t="s">
        <v>2324</v>
      </c>
      <c r="Y813" s="10">
        <v>16.62</v>
      </c>
      <c r="Z813" s="3">
        <v>45588</v>
      </c>
      <c r="AA813" s="3">
        <v>45593</v>
      </c>
      <c r="AB813" t="s">
        <v>2924</v>
      </c>
      <c r="AC813">
        <v>5</v>
      </c>
    </row>
    <row r="814" spans="1:29" x14ac:dyDescent="0.3">
      <c r="A814" s="3">
        <v>45800</v>
      </c>
      <c r="B814" s="3" t="str">
        <f>TEXT(CleanedTable[[#This Row],[OrderDate]],"mmm")</f>
        <v>May</v>
      </c>
      <c r="C814" s="3" t="str">
        <f>TEXT(CleanedTable[[#This Row],[OrderDate]],"yyyy")</f>
        <v>2025</v>
      </c>
      <c r="D814" s="3" t="str">
        <f>TEXT(CleanedTable[[#This Row],[OrderDate]],"mmm yyyy")</f>
        <v>May 2025</v>
      </c>
      <c r="E814" t="s">
        <v>19</v>
      </c>
      <c r="F814" t="s">
        <v>30</v>
      </c>
      <c r="G814" s="12">
        <v>9</v>
      </c>
      <c r="H814" s="8">
        <v>160.15</v>
      </c>
      <c r="I814" t="s">
        <v>34</v>
      </c>
      <c r="J814" t="s">
        <v>36</v>
      </c>
      <c r="K814" s="10">
        <v>0.1</v>
      </c>
      <c r="L814" t="s">
        <v>38</v>
      </c>
      <c r="M814">
        <v>1297.2150000000001</v>
      </c>
      <c r="N814">
        <v>864.81000000000006</v>
      </c>
      <c r="O814" s="10">
        <v>402.7650000000001</v>
      </c>
      <c r="P814" s="10">
        <v>0.31048438385310073</v>
      </c>
      <c r="Q814" s="8">
        <v>1297.2149999999999</v>
      </c>
      <c r="R814" t="s">
        <v>46</v>
      </c>
      <c r="T814" t="s">
        <v>2932</v>
      </c>
      <c r="U814">
        <v>1</v>
      </c>
      <c r="V814" t="str">
        <f>IF(CleanedTable[[#This Row],[Returned]] = 0,"NO","Yes")</f>
        <v>Yes</v>
      </c>
      <c r="W814" t="s">
        <v>863</v>
      </c>
      <c r="X814" t="s">
        <v>2325</v>
      </c>
      <c r="Y814" s="10">
        <v>29.64</v>
      </c>
      <c r="Z814" s="3">
        <v>45800</v>
      </c>
      <c r="AA814" s="3">
        <v>45805</v>
      </c>
      <c r="AB814" t="s">
        <v>2922</v>
      </c>
      <c r="AC814">
        <v>5</v>
      </c>
    </row>
    <row r="815" spans="1:29" x14ac:dyDescent="0.3">
      <c r="A815" s="3">
        <v>45052</v>
      </c>
      <c r="B815" s="3" t="str">
        <f>TEXT(CleanedTable[[#This Row],[OrderDate]],"mmm")</f>
        <v>May</v>
      </c>
      <c r="C815" s="3" t="str">
        <f>TEXT(CleanedTable[[#This Row],[OrderDate]],"yyyy")</f>
        <v>2023</v>
      </c>
      <c r="D815" s="3" t="str">
        <f>TEXT(CleanedTable[[#This Row],[OrderDate]],"mmm yyyy")</f>
        <v>May 2023</v>
      </c>
      <c r="E815" t="s">
        <v>19</v>
      </c>
      <c r="F815" t="s">
        <v>26</v>
      </c>
      <c r="G815" s="12">
        <v>14</v>
      </c>
      <c r="H815" s="8">
        <v>175.66</v>
      </c>
      <c r="I815" t="s">
        <v>31</v>
      </c>
      <c r="J815" t="s">
        <v>35</v>
      </c>
      <c r="K815" s="10">
        <v>0.05</v>
      </c>
      <c r="L815" t="s">
        <v>42</v>
      </c>
      <c r="M815">
        <v>2336.2779999999998</v>
      </c>
      <c r="N815">
        <v>1475.5440000000001</v>
      </c>
      <c r="O815" s="10">
        <v>834.61399999999969</v>
      </c>
      <c r="P815" s="10">
        <v>0.35724087629982382</v>
      </c>
      <c r="Q815" s="8">
        <v>2336.2779999999998</v>
      </c>
      <c r="R815" t="s">
        <v>47</v>
      </c>
      <c r="S815" t="s">
        <v>49</v>
      </c>
      <c r="T815" t="s">
        <v>2931</v>
      </c>
      <c r="U815">
        <v>0</v>
      </c>
      <c r="V815" t="str">
        <f>IF(CleanedTable[[#This Row],[Returned]] = 0,"NO","Yes")</f>
        <v>NO</v>
      </c>
      <c r="W815" t="s">
        <v>864</v>
      </c>
      <c r="X815" t="s">
        <v>2326</v>
      </c>
      <c r="Y815" s="10">
        <v>26.12</v>
      </c>
      <c r="Z815" s="3">
        <v>45052</v>
      </c>
      <c r="AA815" s="3">
        <v>45060</v>
      </c>
      <c r="AB815" t="s">
        <v>2922</v>
      </c>
      <c r="AC815">
        <v>8</v>
      </c>
    </row>
    <row r="816" spans="1:29" x14ac:dyDescent="0.3">
      <c r="A816" s="3">
        <v>45519</v>
      </c>
      <c r="B816" s="3" t="str">
        <f>TEXT(CleanedTable[[#This Row],[OrderDate]],"mmm")</f>
        <v>Aug</v>
      </c>
      <c r="C816" s="3" t="str">
        <f>TEXT(CleanedTable[[#This Row],[OrderDate]],"yyyy")</f>
        <v>2024</v>
      </c>
      <c r="D816" s="3" t="str">
        <f>TEXT(CleanedTable[[#This Row],[OrderDate]],"mmm yyyy")</f>
        <v>Aug 2024</v>
      </c>
      <c r="E816" t="s">
        <v>20</v>
      </c>
      <c r="F816" t="s">
        <v>29</v>
      </c>
      <c r="G816" s="12">
        <v>3</v>
      </c>
      <c r="H816" s="8">
        <v>437.97</v>
      </c>
      <c r="I816" t="s">
        <v>33</v>
      </c>
      <c r="J816" t="s">
        <v>35</v>
      </c>
      <c r="K816" s="10">
        <v>0.05</v>
      </c>
      <c r="L816" t="s">
        <v>37</v>
      </c>
      <c r="M816">
        <v>1248.2145</v>
      </c>
      <c r="N816">
        <v>788.346</v>
      </c>
      <c r="O816" s="10">
        <v>436.57850000000002</v>
      </c>
      <c r="P816" s="10">
        <v>0.34976240061303565</v>
      </c>
      <c r="Q816" s="8">
        <v>1248.2145</v>
      </c>
      <c r="R816" t="s">
        <v>47</v>
      </c>
      <c r="S816" t="s">
        <v>49</v>
      </c>
      <c r="T816" t="s">
        <v>2931</v>
      </c>
      <c r="U816">
        <v>1</v>
      </c>
      <c r="V816" t="str">
        <f>IF(CleanedTable[[#This Row],[Returned]] = 0,"NO","Yes")</f>
        <v>Yes</v>
      </c>
      <c r="W816" t="s">
        <v>865</v>
      </c>
      <c r="X816" t="s">
        <v>2327</v>
      </c>
      <c r="Y816" s="10">
        <v>23.29</v>
      </c>
      <c r="Z816" s="3">
        <v>45519</v>
      </c>
      <c r="AA816" s="3">
        <v>45526</v>
      </c>
      <c r="AB816" t="s">
        <v>2923</v>
      </c>
      <c r="AC816">
        <v>7</v>
      </c>
    </row>
    <row r="817" spans="1:29" x14ac:dyDescent="0.3">
      <c r="A817" s="3">
        <v>45161</v>
      </c>
      <c r="B817" s="3" t="str">
        <f>TEXT(CleanedTable[[#This Row],[OrderDate]],"mmm")</f>
        <v>Aug</v>
      </c>
      <c r="C817" s="3" t="str">
        <f>TEXT(CleanedTable[[#This Row],[OrderDate]],"yyyy")</f>
        <v>2023</v>
      </c>
      <c r="D817" s="3" t="str">
        <f>TEXT(CleanedTable[[#This Row],[OrderDate]],"mmm yyyy")</f>
        <v>Aug 2023</v>
      </c>
      <c r="E817" t="s">
        <v>20</v>
      </c>
      <c r="F817" t="s">
        <v>30</v>
      </c>
      <c r="G817" s="12">
        <v>12</v>
      </c>
      <c r="H817" s="8">
        <v>411.59</v>
      </c>
      <c r="I817" t="s">
        <v>31</v>
      </c>
      <c r="J817" t="s">
        <v>35</v>
      </c>
      <c r="K817" s="10">
        <v>0.15</v>
      </c>
      <c r="L817" t="s">
        <v>41</v>
      </c>
      <c r="M817">
        <v>4198.2179999999998</v>
      </c>
      <c r="N817">
        <v>2963.4479999999999</v>
      </c>
      <c r="O817" s="10">
        <v>1215.5999999999999</v>
      </c>
      <c r="P817" s="10">
        <v>0.28955142396130928</v>
      </c>
      <c r="Q817" s="8">
        <v>4198.2179999999998</v>
      </c>
      <c r="R817" t="s">
        <v>47</v>
      </c>
      <c r="S817" t="s">
        <v>48</v>
      </c>
      <c r="T817" t="s">
        <v>2931</v>
      </c>
      <c r="U817">
        <v>0</v>
      </c>
      <c r="V817" t="str">
        <f>IF(CleanedTable[[#This Row],[Returned]] = 0,"NO","Yes")</f>
        <v>NO</v>
      </c>
      <c r="W817" t="s">
        <v>866</v>
      </c>
      <c r="X817" t="s">
        <v>2328</v>
      </c>
      <c r="Y817" s="10">
        <v>19.170000000000002</v>
      </c>
      <c r="Z817" s="3">
        <v>45161</v>
      </c>
      <c r="AA817" s="3">
        <v>45169</v>
      </c>
      <c r="AB817" t="s">
        <v>2923</v>
      </c>
      <c r="AC817">
        <v>8</v>
      </c>
    </row>
    <row r="818" spans="1:29" x14ac:dyDescent="0.3">
      <c r="A818" s="3">
        <v>45760</v>
      </c>
      <c r="B818" s="3" t="str">
        <f>TEXT(CleanedTable[[#This Row],[OrderDate]],"mmm")</f>
        <v>Apr</v>
      </c>
      <c r="C818" s="3" t="str">
        <f>TEXT(CleanedTable[[#This Row],[OrderDate]],"yyyy")</f>
        <v>2025</v>
      </c>
      <c r="D818" s="3" t="str">
        <f>TEXT(CleanedTable[[#This Row],[OrderDate]],"mmm yyyy")</f>
        <v>Apr 2025</v>
      </c>
      <c r="E818" t="s">
        <v>20</v>
      </c>
      <c r="F818" t="s">
        <v>24</v>
      </c>
      <c r="G818" s="12">
        <v>1</v>
      </c>
      <c r="H818" s="8">
        <v>163.29</v>
      </c>
      <c r="I818" t="s">
        <v>31</v>
      </c>
      <c r="J818" t="s">
        <v>36</v>
      </c>
      <c r="K818" s="10">
        <v>0</v>
      </c>
      <c r="L818" t="s">
        <v>41</v>
      </c>
      <c r="M818">
        <v>163.29</v>
      </c>
      <c r="N818">
        <v>97.97399999999999</v>
      </c>
      <c r="O818" s="10">
        <v>44.166000000000004</v>
      </c>
      <c r="P818" s="10">
        <v>0.27047584052911999</v>
      </c>
      <c r="Q818" s="8">
        <v>163.29</v>
      </c>
      <c r="R818" t="s">
        <v>45</v>
      </c>
      <c r="S818" t="s">
        <v>50</v>
      </c>
      <c r="T818" t="s">
        <v>2931</v>
      </c>
      <c r="U818">
        <v>0</v>
      </c>
      <c r="V818" t="str">
        <f>IF(CleanedTable[[#This Row],[Returned]] = 0,"NO","Yes")</f>
        <v>NO</v>
      </c>
      <c r="W818" t="s">
        <v>867</v>
      </c>
      <c r="X818" t="s">
        <v>2329</v>
      </c>
      <c r="Y818" s="10">
        <v>21.15</v>
      </c>
      <c r="Z818" s="3">
        <v>45760</v>
      </c>
      <c r="AA818" s="3">
        <v>45769</v>
      </c>
      <c r="AB818" t="s">
        <v>2923</v>
      </c>
      <c r="AC818">
        <v>9</v>
      </c>
    </row>
    <row r="819" spans="1:29" x14ac:dyDescent="0.3">
      <c r="A819" s="3">
        <v>45454</v>
      </c>
      <c r="B819" s="3" t="str">
        <f>TEXT(CleanedTable[[#This Row],[OrderDate]],"mmm")</f>
        <v>Jun</v>
      </c>
      <c r="C819" s="3" t="str">
        <f>TEXT(CleanedTable[[#This Row],[OrderDate]],"yyyy")</f>
        <v>2024</v>
      </c>
      <c r="D819" s="3" t="str">
        <f>TEXT(CleanedTable[[#This Row],[OrderDate]],"mmm yyyy")</f>
        <v>Jun 2024</v>
      </c>
      <c r="E819" t="s">
        <v>22</v>
      </c>
      <c r="F819" t="s">
        <v>26</v>
      </c>
      <c r="G819" s="12">
        <v>5</v>
      </c>
      <c r="H819" s="8">
        <v>538.52</v>
      </c>
      <c r="I819" t="s">
        <v>31</v>
      </c>
      <c r="J819" t="s">
        <v>35</v>
      </c>
      <c r="K819" s="10">
        <v>0.05</v>
      </c>
      <c r="L819" t="s">
        <v>38</v>
      </c>
      <c r="M819">
        <v>2557.9699999999998</v>
      </c>
      <c r="N819">
        <v>1615.56</v>
      </c>
      <c r="O819" s="10">
        <v>896.59999999999991</v>
      </c>
      <c r="P819" s="10">
        <v>0.35051232031650098</v>
      </c>
      <c r="Q819" s="8">
        <v>2557.9699999999998</v>
      </c>
      <c r="R819" t="s">
        <v>44</v>
      </c>
      <c r="T819" t="s">
        <v>2932</v>
      </c>
      <c r="U819">
        <v>0</v>
      </c>
      <c r="V819" t="str">
        <f>IF(CleanedTable[[#This Row],[Returned]] = 0,"NO","Yes")</f>
        <v>NO</v>
      </c>
      <c r="W819" t="s">
        <v>868</v>
      </c>
      <c r="X819" t="s">
        <v>2330</v>
      </c>
      <c r="Y819" s="10">
        <v>45.81</v>
      </c>
      <c r="Z819" s="3">
        <v>45454</v>
      </c>
      <c r="AA819" s="3">
        <v>45460</v>
      </c>
      <c r="AB819" t="s">
        <v>2925</v>
      </c>
      <c r="AC819">
        <v>6</v>
      </c>
    </row>
    <row r="820" spans="1:29" x14ac:dyDescent="0.3">
      <c r="A820" s="3">
        <v>45411</v>
      </c>
      <c r="B820" s="3" t="str">
        <f>TEXT(CleanedTable[[#This Row],[OrderDate]],"mmm")</f>
        <v>Apr</v>
      </c>
      <c r="C820" s="3" t="str">
        <f>TEXT(CleanedTable[[#This Row],[OrderDate]],"yyyy")</f>
        <v>2024</v>
      </c>
      <c r="D820" s="3" t="str">
        <f>TEXT(CleanedTable[[#This Row],[OrderDate]],"mmm yyyy")</f>
        <v>Apr 2024</v>
      </c>
      <c r="E820" t="s">
        <v>20</v>
      </c>
      <c r="F820" t="s">
        <v>25</v>
      </c>
      <c r="G820" s="12">
        <v>11</v>
      </c>
      <c r="H820" s="8">
        <v>255.95</v>
      </c>
      <c r="I820" t="s">
        <v>33</v>
      </c>
      <c r="J820" t="s">
        <v>35</v>
      </c>
      <c r="K820" s="10">
        <v>0.1</v>
      </c>
      <c r="L820" t="s">
        <v>38</v>
      </c>
      <c r="M820">
        <v>2533.9049999999997</v>
      </c>
      <c r="N820">
        <v>1689.27</v>
      </c>
      <c r="O820" s="10">
        <v>822.64499999999975</v>
      </c>
      <c r="P820" s="10">
        <v>0.3246550285034363</v>
      </c>
      <c r="Q820" s="8">
        <v>2533.9050000000002</v>
      </c>
      <c r="R820" t="s">
        <v>43</v>
      </c>
      <c r="T820" t="s">
        <v>2932</v>
      </c>
      <c r="U820">
        <v>0</v>
      </c>
      <c r="V820" t="str">
        <f>IF(CleanedTable[[#This Row],[Returned]] = 0,"NO","Yes")</f>
        <v>NO</v>
      </c>
      <c r="W820" t="s">
        <v>869</v>
      </c>
      <c r="X820" t="s">
        <v>2331</v>
      </c>
      <c r="Y820" s="10">
        <v>21.99</v>
      </c>
      <c r="Z820" s="3">
        <v>45411</v>
      </c>
      <c r="AA820" s="3">
        <v>45416</v>
      </c>
      <c r="AB820" t="s">
        <v>2923</v>
      </c>
      <c r="AC820">
        <v>5</v>
      </c>
    </row>
    <row r="821" spans="1:29" x14ac:dyDescent="0.3">
      <c r="A821" s="3">
        <v>45012</v>
      </c>
      <c r="B821" s="3" t="str">
        <f>TEXT(CleanedTable[[#This Row],[OrderDate]],"mmm")</f>
        <v>Mar</v>
      </c>
      <c r="C821" s="3" t="str">
        <f>TEXT(CleanedTable[[#This Row],[OrderDate]],"yyyy")</f>
        <v>2023</v>
      </c>
      <c r="D821" s="3" t="str">
        <f>TEXT(CleanedTable[[#This Row],[OrderDate]],"mmm yyyy")</f>
        <v>Mar 2023</v>
      </c>
      <c r="E821" t="s">
        <v>20</v>
      </c>
      <c r="F821" t="s">
        <v>26</v>
      </c>
      <c r="G821" s="12">
        <v>7</v>
      </c>
      <c r="H821" s="8">
        <v>290.22000000000003</v>
      </c>
      <c r="I821" t="s">
        <v>32</v>
      </c>
      <c r="J821" t="s">
        <v>36</v>
      </c>
      <c r="K821" s="10">
        <v>0.1</v>
      </c>
      <c r="L821" t="s">
        <v>38</v>
      </c>
      <c r="M821">
        <v>1828.3860000000002</v>
      </c>
      <c r="N821">
        <v>1218.924</v>
      </c>
      <c r="O821" s="10">
        <v>576.31200000000024</v>
      </c>
      <c r="P821" s="10">
        <v>0.31520258851249144</v>
      </c>
      <c r="Q821" s="8">
        <v>1828.386</v>
      </c>
      <c r="R821" t="s">
        <v>47</v>
      </c>
      <c r="S821" t="s">
        <v>50</v>
      </c>
      <c r="T821" t="s">
        <v>2931</v>
      </c>
      <c r="U821">
        <v>0</v>
      </c>
      <c r="V821" t="str">
        <f>IF(CleanedTable[[#This Row],[Returned]] = 0,"NO","Yes")</f>
        <v>NO</v>
      </c>
      <c r="W821" t="s">
        <v>870</v>
      </c>
      <c r="X821" t="s">
        <v>2332</v>
      </c>
      <c r="Y821" s="10">
        <v>33.15</v>
      </c>
      <c r="Z821" s="3">
        <v>45012</v>
      </c>
      <c r="AA821" s="3">
        <v>45020</v>
      </c>
      <c r="AB821" t="s">
        <v>2923</v>
      </c>
      <c r="AC821">
        <v>8</v>
      </c>
    </row>
    <row r="822" spans="1:29" x14ac:dyDescent="0.3">
      <c r="A822" s="3">
        <v>45588</v>
      </c>
      <c r="B822" s="3" t="str">
        <f>TEXT(CleanedTable[[#This Row],[OrderDate]],"mmm")</f>
        <v>Oct</v>
      </c>
      <c r="C822" s="3" t="str">
        <f>TEXT(CleanedTable[[#This Row],[OrderDate]],"yyyy")</f>
        <v>2024</v>
      </c>
      <c r="D822" s="3" t="str">
        <f>TEXT(CleanedTable[[#This Row],[OrderDate]],"mmm yyyy")</f>
        <v>Oct 2024</v>
      </c>
      <c r="E822" t="s">
        <v>21</v>
      </c>
      <c r="F822" t="s">
        <v>27</v>
      </c>
      <c r="G822" s="12">
        <v>20</v>
      </c>
      <c r="H822" s="8">
        <v>198.95</v>
      </c>
      <c r="I822" t="s">
        <v>31</v>
      </c>
      <c r="J822" t="s">
        <v>36</v>
      </c>
      <c r="K822" s="10">
        <v>0.1</v>
      </c>
      <c r="L822" t="s">
        <v>41</v>
      </c>
      <c r="M822">
        <v>3581.1</v>
      </c>
      <c r="N822">
        <v>2387.3999999999996</v>
      </c>
      <c r="O822" s="10">
        <v>1188.5400000000002</v>
      </c>
      <c r="P822" s="10">
        <v>0.33189243528524759</v>
      </c>
      <c r="Q822" s="8">
        <v>3581.1</v>
      </c>
      <c r="R822" t="s">
        <v>45</v>
      </c>
      <c r="T822" t="s">
        <v>2932</v>
      </c>
      <c r="U822">
        <v>1</v>
      </c>
      <c r="V822" t="str">
        <f>IF(CleanedTable[[#This Row],[Returned]] = 0,"NO","Yes")</f>
        <v>Yes</v>
      </c>
      <c r="W822" t="s">
        <v>871</v>
      </c>
      <c r="X822" t="s">
        <v>2333</v>
      </c>
      <c r="Y822" s="10">
        <v>5.16</v>
      </c>
      <c r="Z822" s="3">
        <v>45588</v>
      </c>
      <c r="AA822" s="3">
        <v>45590</v>
      </c>
      <c r="AB822" t="s">
        <v>2924</v>
      </c>
      <c r="AC822">
        <v>2</v>
      </c>
    </row>
    <row r="823" spans="1:29" x14ac:dyDescent="0.3">
      <c r="A823" s="3">
        <v>45098</v>
      </c>
      <c r="B823" s="3" t="str">
        <f>TEXT(CleanedTable[[#This Row],[OrderDate]],"mmm")</f>
        <v>Jun</v>
      </c>
      <c r="C823" s="3" t="str">
        <f>TEXT(CleanedTable[[#This Row],[OrderDate]],"yyyy")</f>
        <v>2023</v>
      </c>
      <c r="D823" s="3" t="str">
        <f>TEXT(CleanedTable[[#This Row],[OrderDate]],"mmm yyyy")</f>
        <v>Jun 2023</v>
      </c>
      <c r="E823" t="s">
        <v>21</v>
      </c>
      <c r="F823" t="s">
        <v>30</v>
      </c>
      <c r="G823" s="12">
        <v>11</v>
      </c>
      <c r="H823" s="8">
        <v>577.1</v>
      </c>
      <c r="I823" t="s">
        <v>33</v>
      </c>
      <c r="J823" t="s">
        <v>36</v>
      </c>
      <c r="K823" s="10">
        <v>0.15</v>
      </c>
      <c r="L823" t="s">
        <v>39</v>
      </c>
      <c r="M823">
        <v>5395.8850000000002</v>
      </c>
      <c r="N823">
        <v>3808.8599999999997</v>
      </c>
      <c r="O823" s="10">
        <v>1573.8650000000005</v>
      </c>
      <c r="P823" s="10">
        <v>0.29167875149303596</v>
      </c>
      <c r="Q823" s="8">
        <v>5395.8850000000002</v>
      </c>
      <c r="R823" t="s">
        <v>47</v>
      </c>
      <c r="S823" t="s">
        <v>49</v>
      </c>
      <c r="T823" t="s">
        <v>2931</v>
      </c>
      <c r="U823">
        <v>0</v>
      </c>
      <c r="V823" t="str">
        <f>IF(CleanedTable[[#This Row],[Returned]] = 0,"NO","Yes")</f>
        <v>NO</v>
      </c>
      <c r="W823" t="s">
        <v>872</v>
      </c>
      <c r="X823" t="s">
        <v>1857</v>
      </c>
      <c r="Y823" s="10">
        <v>13.16</v>
      </c>
      <c r="Z823" s="3">
        <v>45098</v>
      </c>
      <c r="AA823" s="3">
        <v>45105</v>
      </c>
      <c r="AB823" t="s">
        <v>2924</v>
      </c>
      <c r="AC823">
        <v>7</v>
      </c>
    </row>
    <row r="824" spans="1:29" x14ac:dyDescent="0.3">
      <c r="A824" s="3">
        <v>45058</v>
      </c>
      <c r="B824" s="3" t="str">
        <f>TEXT(CleanedTable[[#This Row],[OrderDate]],"mmm")</f>
        <v>May</v>
      </c>
      <c r="C824" s="3" t="str">
        <f>TEXT(CleanedTable[[#This Row],[OrderDate]],"yyyy")</f>
        <v>2023</v>
      </c>
      <c r="D824" s="3" t="str">
        <f>TEXT(CleanedTable[[#This Row],[OrderDate]],"mmm yyyy")</f>
        <v>May 2023</v>
      </c>
      <c r="E824" t="s">
        <v>22</v>
      </c>
      <c r="F824" t="s">
        <v>30</v>
      </c>
      <c r="G824" s="12">
        <v>10</v>
      </c>
      <c r="H824" s="8">
        <v>50.1</v>
      </c>
      <c r="I824" t="s">
        <v>32</v>
      </c>
      <c r="J824" t="s">
        <v>35</v>
      </c>
      <c r="K824" s="10">
        <v>0.1</v>
      </c>
      <c r="L824" t="s">
        <v>42</v>
      </c>
      <c r="M824">
        <v>450.90000000000003</v>
      </c>
      <c r="N824">
        <v>300.59999999999997</v>
      </c>
      <c r="O824" s="10">
        <v>126.87000000000006</v>
      </c>
      <c r="P824" s="10">
        <v>0.28137059214903537</v>
      </c>
      <c r="Q824" s="8">
        <v>450.9</v>
      </c>
      <c r="R824" t="s">
        <v>47</v>
      </c>
      <c r="S824" t="s">
        <v>48</v>
      </c>
      <c r="T824" t="s">
        <v>2931</v>
      </c>
      <c r="U824">
        <v>1</v>
      </c>
      <c r="V824" t="str">
        <f>IF(CleanedTable[[#This Row],[Returned]] = 0,"NO","Yes")</f>
        <v>Yes</v>
      </c>
      <c r="W824" t="s">
        <v>873</v>
      </c>
      <c r="X824" t="s">
        <v>2122</v>
      </c>
      <c r="Y824" s="10">
        <v>23.43</v>
      </c>
      <c r="Z824" s="3">
        <v>45058</v>
      </c>
      <c r="AA824" s="3">
        <v>45065</v>
      </c>
      <c r="AB824" t="s">
        <v>2925</v>
      </c>
      <c r="AC824">
        <v>7</v>
      </c>
    </row>
    <row r="825" spans="1:29" x14ac:dyDescent="0.3">
      <c r="A825" s="3">
        <v>45585</v>
      </c>
      <c r="B825" s="3" t="str">
        <f>TEXT(CleanedTable[[#This Row],[OrderDate]],"mmm")</f>
        <v>Oct</v>
      </c>
      <c r="C825" s="3" t="str">
        <f>TEXT(CleanedTable[[#This Row],[OrderDate]],"yyyy")</f>
        <v>2024</v>
      </c>
      <c r="D825" s="3" t="str">
        <f>TEXT(CleanedTable[[#This Row],[OrderDate]],"mmm yyyy")</f>
        <v>Oct 2024</v>
      </c>
      <c r="E825" t="s">
        <v>22</v>
      </c>
      <c r="F825" t="s">
        <v>30</v>
      </c>
      <c r="G825" s="12">
        <v>19</v>
      </c>
      <c r="H825" s="8">
        <v>554.5</v>
      </c>
      <c r="I825" t="s">
        <v>31</v>
      </c>
      <c r="J825" t="s">
        <v>36</v>
      </c>
      <c r="K825" s="10">
        <v>0.15</v>
      </c>
      <c r="L825" t="s">
        <v>40</v>
      </c>
      <c r="M825">
        <v>8955.1749999999993</v>
      </c>
      <c r="N825">
        <v>6321.3</v>
      </c>
      <c r="O825" s="10">
        <v>2586.7149999999992</v>
      </c>
      <c r="P825" s="10">
        <v>0.28885141831399158</v>
      </c>
      <c r="Q825" s="8">
        <v>8955.1749999999993</v>
      </c>
      <c r="R825" t="s">
        <v>43</v>
      </c>
      <c r="T825" t="s">
        <v>2932</v>
      </c>
      <c r="U825">
        <v>1</v>
      </c>
      <c r="V825" t="str">
        <f>IF(CleanedTable[[#This Row],[Returned]] = 0,"NO","Yes")</f>
        <v>Yes</v>
      </c>
      <c r="W825" t="s">
        <v>874</v>
      </c>
      <c r="X825" t="s">
        <v>2334</v>
      </c>
      <c r="Y825" s="10">
        <v>47.16</v>
      </c>
      <c r="Z825" s="3">
        <v>45585</v>
      </c>
      <c r="AA825" s="3">
        <v>45589</v>
      </c>
      <c r="AB825" t="s">
        <v>2925</v>
      </c>
      <c r="AC825">
        <v>4</v>
      </c>
    </row>
    <row r="826" spans="1:29" x14ac:dyDescent="0.3">
      <c r="A826" s="3">
        <v>45386</v>
      </c>
      <c r="B826" s="3" t="str">
        <f>TEXT(CleanedTable[[#This Row],[OrderDate]],"mmm")</f>
        <v>Apr</v>
      </c>
      <c r="C826" s="3" t="str">
        <f>TEXT(CleanedTable[[#This Row],[OrderDate]],"yyyy")</f>
        <v>2024</v>
      </c>
      <c r="D826" s="3" t="str">
        <f>TEXT(CleanedTable[[#This Row],[OrderDate]],"mmm yyyy")</f>
        <v>Apr 2024</v>
      </c>
      <c r="E826" t="s">
        <v>21</v>
      </c>
      <c r="F826" t="s">
        <v>24</v>
      </c>
      <c r="G826" s="12">
        <v>14</v>
      </c>
      <c r="H826" s="8">
        <v>117.31</v>
      </c>
      <c r="I826" t="s">
        <v>32</v>
      </c>
      <c r="J826" t="s">
        <v>35</v>
      </c>
      <c r="K826" s="10">
        <v>0</v>
      </c>
      <c r="L826" t="s">
        <v>41</v>
      </c>
      <c r="M826">
        <v>1642.3400000000001</v>
      </c>
      <c r="N826">
        <v>985.404</v>
      </c>
      <c r="O826" s="10">
        <v>615.69600000000014</v>
      </c>
      <c r="P826" s="10">
        <v>0.37488948695154478</v>
      </c>
      <c r="Q826" s="8">
        <v>1642.34</v>
      </c>
      <c r="R826" t="s">
        <v>43</v>
      </c>
      <c r="S826" t="s">
        <v>50</v>
      </c>
      <c r="T826" t="s">
        <v>2931</v>
      </c>
      <c r="U826">
        <v>0</v>
      </c>
      <c r="V826" t="str">
        <f>IF(CleanedTable[[#This Row],[Returned]] = 0,"NO","Yes")</f>
        <v>NO</v>
      </c>
      <c r="W826" t="s">
        <v>875</v>
      </c>
      <c r="X826" t="s">
        <v>2335</v>
      </c>
      <c r="Y826" s="10">
        <v>41.24</v>
      </c>
      <c r="Z826" s="3">
        <v>45386</v>
      </c>
      <c r="AA826" s="3">
        <v>45389</v>
      </c>
      <c r="AB826" t="s">
        <v>2924</v>
      </c>
      <c r="AC826">
        <v>3</v>
      </c>
    </row>
    <row r="827" spans="1:29" x14ac:dyDescent="0.3">
      <c r="A827" s="3">
        <v>45669</v>
      </c>
      <c r="B827" s="3" t="str">
        <f>TEXT(CleanedTable[[#This Row],[OrderDate]],"mmm")</f>
        <v>Jan</v>
      </c>
      <c r="C827" s="3" t="str">
        <f>TEXT(CleanedTable[[#This Row],[OrderDate]],"yyyy")</f>
        <v>2025</v>
      </c>
      <c r="D827" s="3" t="str">
        <f>TEXT(CleanedTable[[#This Row],[OrderDate]],"mmm yyyy")</f>
        <v>Jan 2025</v>
      </c>
      <c r="E827" t="s">
        <v>22</v>
      </c>
      <c r="F827" t="s">
        <v>29</v>
      </c>
      <c r="G827" s="12">
        <v>3</v>
      </c>
      <c r="H827" s="8">
        <v>193.98</v>
      </c>
      <c r="I827" t="s">
        <v>32</v>
      </c>
      <c r="J827" t="s">
        <v>36</v>
      </c>
      <c r="K827" s="10">
        <v>0</v>
      </c>
      <c r="L827" t="s">
        <v>42</v>
      </c>
      <c r="M827">
        <v>581.93999999999994</v>
      </c>
      <c r="N827">
        <v>349.16399999999999</v>
      </c>
      <c r="O827" s="10">
        <v>205.24599999999995</v>
      </c>
      <c r="P827" s="10">
        <v>0.35269271746228131</v>
      </c>
      <c r="Q827" s="8">
        <v>581.93999999999994</v>
      </c>
      <c r="R827" t="s">
        <v>45</v>
      </c>
      <c r="S827" t="s">
        <v>50</v>
      </c>
      <c r="T827" t="s">
        <v>2931</v>
      </c>
      <c r="U827">
        <v>0</v>
      </c>
      <c r="V827" t="str">
        <f>IF(CleanedTable[[#This Row],[Returned]] = 0,"NO","Yes")</f>
        <v>NO</v>
      </c>
      <c r="W827" t="s">
        <v>876</v>
      </c>
      <c r="X827" t="s">
        <v>2336</v>
      </c>
      <c r="Y827" s="10">
        <v>27.53</v>
      </c>
      <c r="Z827" s="3">
        <v>45669</v>
      </c>
      <c r="AA827" s="3">
        <v>45673</v>
      </c>
      <c r="AB827" t="s">
        <v>2925</v>
      </c>
      <c r="AC827">
        <v>4</v>
      </c>
    </row>
    <row r="828" spans="1:29" x14ac:dyDescent="0.3">
      <c r="A828" s="3">
        <v>45131</v>
      </c>
      <c r="B828" s="3" t="str">
        <f>TEXT(CleanedTable[[#This Row],[OrderDate]],"mmm")</f>
        <v>Jul</v>
      </c>
      <c r="C828" s="3" t="str">
        <f>TEXT(CleanedTable[[#This Row],[OrderDate]],"yyyy")</f>
        <v>2023</v>
      </c>
      <c r="D828" s="3" t="str">
        <f>TEXT(CleanedTable[[#This Row],[OrderDate]],"mmm yyyy")</f>
        <v>Jul 2023</v>
      </c>
      <c r="E828" t="s">
        <v>20</v>
      </c>
      <c r="F828" t="s">
        <v>25</v>
      </c>
      <c r="G828" s="12">
        <v>20</v>
      </c>
      <c r="H828" s="8">
        <v>386.86</v>
      </c>
      <c r="I828" t="s">
        <v>32</v>
      </c>
      <c r="J828" t="s">
        <v>35</v>
      </c>
      <c r="K828" s="10">
        <v>0.05</v>
      </c>
      <c r="L828" t="s">
        <v>40</v>
      </c>
      <c r="M828">
        <v>7350.34</v>
      </c>
      <c r="N828">
        <v>4642.32</v>
      </c>
      <c r="O828" s="10">
        <v>2666.4600000000005</v>
      </c>
      <c r="P828" s="10">
        <v>0.36276689241586108</v>
      </c>
      <c r="Q828" s="8">
        <v>7350.34</v>
      </c>
      <c r="R828" t="s">
        <v>43</v>
      </c>
      <c r="S828" t="s">
        <v>50</v>
      </c>
      <c r="T828" t="s">
        <v>2931</v>
      </c>
      <c r="U828">
        <v>0</v>
      </c>
      <c r="V828" t="str">
        <f>IF(CleanedTable[[#This Row],[Returned]] = 0,"NO","Yes")</f>
        <v>NO</v>
      </c>
      <c r="W828" t="s">
        <v>877</v>
      </c>
      <c r="X828" t="s">
        <v>2337</v>
      </c>
      <c r="Y828" s="10">
        <v>41.56</v>
      </c>
      <c r="Z828" s="3">
        <v>45131</v>
      </c>
      <c r="AA828" s="3">
        <v>45136</v>
      </c>
      <c r="AB828" t="s">
        <v>2923</v>
      </c>
      <c r="AC828">
        <v>5</v>
      </c>
    </row>
    <row r="829" spans="1:29" x14ac:dyDescent="0.3">
      <c r="A829" s="3">
        <v>45178</v>
      </c>
      <c r="B829" s="3" t="str">
        <f>TEXT(CleanedTable[[#This Row],[OrderDate]],"mmm")</f>
        <v>Sep</v>
      </c>
      <c r="C829" s="3" t="str">
        <f>TEXT(CleanedTable[[#This Row],[OrderDate]],"yyyy")</f>
        <v>2023</v>
      </c>
      <c r="D829" s="3" t="str">
        <f>TEXT(CleanedTable[[#This Row],[OrderDate]],"mmm yyyy")</f>
        <v>Sep 2023</v>
      </c>
      <c r="E829" t="s">
        <v>21</v>
      </c>
      <c r="F829" t="s">
        <v>27</v>
      </c>
      <c r="G829" s="12">
        <v>12</v>
      </c>
      <c r="H829" s="8">
        <v>81.33</v>
      </c>
      <c r="I829" t="s">
        <v>34</v>
      </c>
      <c r="J829" t="s">
        <v>35</v>
      </c>
      <c r="K829" s="10">
        <v>0</v>
      </c>
      <c r="L829" t="s">
        <v>40</v>
      </c>
      <c r="M829">
        <v>975.96</v>
      </c>
      <c r="N829">
        <v>585.57599999999991</v>
      </c>
      <c r="O829" s="10">
        <v>359.65400000000011</v>
      </c>
      <c r="P829" s="10">
        <v>0.36851305381368099</v>
      </c>
      <c r="Q829" s="8">
        <v>975.96</v>
      </c>
      <c r="R829" t="s">
        <v>47</v>
      </c>
      <c r="S829" t="s">
        <v>49</v>
      </c>
      <c r="T829" t="s">
        <v>2931</v>
      </c>
      <c r="U829">
        <v>1</v>
      </c>
      <c r="V829" t="str">
        <f>IF(CleanedTable[[#This Row],[Returned]] = 0,"NO","Yes")</f>
        <v>Yes</v>
      </c>
      <c r="W829" t="s">
        <v>878</v>
      </c>
      <c r="X829" t="s">
        <v>2246</v>
      </c>
      <c r="Y829" s="10">
        <v>30.73</v>
      </c>
      <c r="Z829" s="3">
        <v>45178</v>
      </c>
      <c r="AA829" s="3">
        <v>45182</v>
      </c>
      <c r="AB829" t="s">
        <v>2924</v>
      </c>
      <c r="AC829">
        <v>4</v>
      </c>
    </row>
    <row r="830" spans="1:29" x14ac:dyDescent="0.3">
      <c r="A830" s="3">
        <v>45402</v>
      </c>
      <c r="B830" s="3" t="str">
        <f>TEXT(CleanedTable[[#This Row],[OrderDate]],"mmm")</f>
        <v>Apr</v>
      </c>
      <c r="C830" s="3" t="str">
        <f>TEXT(CleanedTable[[#This Row],[OrderDate]],"yyyy")</f>
        <v>2024</v>
      </c>
      <c r="D830" s="3" t="str">
        <f>TEXT(CleanedTable[[#This Row],[OrderDate]],"mmm yyyy")</f>
        <v>Apr 2024</v>
      </c>
      <c r="E830" t="s">
        <v>19</v>
      </c>
      <c r="F830" t="s">
        <v>30</v>
      </c>
      <c r="G830" s="12">
        <v>5</v>
      </c>
      <c r="H830" s="8">
        <v>550.65</v>
      </c>
      <c r="I830" t="s">
        <v>32</v>
      </c>
      <c r="J830" t="s">
        <v>36</v>
      </c>
      <c r="K830" s="10">
        <v>0.15</v>
      </c>
      <c r="L830" t="s">
        <v>42</v>
      </c>
      <c r="M830">
        <v>2340.2624999999998</v>
      </c>
      <c r="N830">
        <v>1651.9499999999998</v>
      </c>
      <c r="O830" s="10">
        <v>671.49249999999995</v>
      </c>
      <c r="P830" s="10">
        <v>0.28693041913033263</v>
      </c>
      <c r="Q830" s="8">
        <v>2340.2624999999998</v>
      </c>
      <c r="R830" t="s">
        <v>44</v>
      </c>
      <c r="T830" t="s">
        <v>2932</v>
      </c>
      <c r="U830">
        <v>0</v>
      </c>
      <c r="V830" t="str">
        <f>IF(CleanedTable[[#This Row],[Returned]] = 0,"NO","Yes")</f>
        <v>NO</v>
      </c>
      <c r="W830" t="s">
        <v>879</v>
      </c>
      <c r="X830" t="s">
        <v>2338</v>
      </c>
      <c r="Y830" s="10">
        <v>16.82</v>
      </c>
      <c r="Z830" s="3">
        <v>45402</v>
      </c>
      <c r="AA830" s="3">
        <v>45409</v>
      </c>
      <c r="AB830" t="s">
        <v>2922</v>
      </c>
      <c r="AC830">
        <v>7</v>
      </c>
    </row>
    <row r="831" spans="1:29" x14ac:dyDescent="0.3">
      <c r="A831" s="3">
        <v>45694</v>
      </c>
      <c r="B831" s="3" t="str">
        <f>TEXT(CleanedTable[[#This Row],[OrderDate]],"mmm")</f>
        <v>Feb</v>
      </c>
      <c r="C831" s="3" t="str">
        <f>TEXT(CleanedTable[[#This Row],[OrderDate]],"yyyy")</f>
        <v>2025</v>
      </c>
      <c r="D831" s="3" t="str">
        <f>TEXT(CleanedTable[[#This Row],[OrderDate]],"mmm yyyy")</f>
        <v>Feb 2025</v>
      </c>
      <c r="E831" t="s">
        <v>23</v>
      </c>
      <c r="F831" t="s">
        <v>30</v>
      </c>
      <c r="G831" s="12">
        <v>4</v>
      </c>
      <c r="H831" s="8">
        <v>473.91</v>
      </c>
      <c r="I831" t="s">
        <v>32</v>
      </c>
      <c r="J831" t="s">
        <v>36</v>
      </c>
      <c r="K831" s="10">
        <v>0.05</v>
      </c>
      <c r="L831" t="s">
        <v>37</v>
      </c>
      <c r="M831">
        <v>1800.8579999999999</v>
      </c>
      <c r="N831">
        <v>1137.384</v>
      </c>
      <c r="O831" s="10">
        <v>634.25399999999991</v>
      </c>
      <c r="P831" s="10">
        <v>0.35219545350049808</v>
      </c>
      <c r="Q831" s="8">
        <v>1800.8579999999999</v>
      </c>
      <c r="R831" t="s">
        <v>45</v>
      </c>
      <c r="S831" t="s">
        <v>49</v>
      </c>
      <c r="T831" t="s">
        <v>2931</v>
      </c>
      <c r="U831">
        <v>0</v>
      </c>
      <c r="V831" t="str">
        <f>IF(CleanedTable[[#This Row],[Returned]] = 0,"NO","Yes")</f>
        <v>NO</v>
      </c>
      <c r="W831" t="s">
        <v>880</v>
      </c>
      <c r="X831" t="s">
        <v>2227</v>
      </c>
      <c r="Y831" s="10">
        <v>29.22</v>
      </c>
      <c r="Z831" s="3">
        <v>45694</v>
      </c>
      <c r="AA831" s="3">
        <v>45702</v>
      </c>
      <c r="AB831" t="s">
        <v>2926</v>
      </c>
      <c r="AC831">
        <v>8</v>
      </c>
    </row>
    <row r="832" spans="1:29" x14ac:dyDescent="0.3">
      <c r="A832" s="3">
        <v>45095</v>
      </c>
      <c r="B832" s="3" t="str">
        <f>TEXT(CleanedTable[[#This Row],[OrderDate]],"mmm")</f>
        <v>Jun</v>
      </c>
      <c r="C832" s="3" t="str">
        <f>TEXT(CleanedTable[[#This Row],[OrderDate]],"yyyy")</f>
        <v>2023</v>
      </c>
      <c r="D832" s="3" t="str">
        <f>TEXT(CleanedTable[[#This Row],[OrderDate]],"mmm yyyy")</f>
        <v>Jun 2023</v>
      </c>
      <c r="E832" t="s">
        <v>23</v>
      </c>
      <c r="F832" t="s">
        <v>29</v>
      </c>
      <c r="G832" s="12">
        <v>19</v>
      </c>
      <c r="H832" s="8">
        <v>25.22</v>
      </c>
      <c r="I832" t="s">
        <v>33</v>
      </c>
      <c r="J832" t="s">
        <v>35</v>
      </c>
      <c r="K832" s="10">
        <v>0</v>
      </c>
      <c r="L832" t="s">
        <v>42</v>
      </c>
      <c r="M832">
        <v>479.17999999999995</v>
      </c>
      <c r="N832">
        <v>287.50799999999998</v>
      </c>
      <c r="O832" s="10">
        <v>160.36199999999997</v>
      </c>
      <c r="P832" s="10">
        <v>0.33465920948286654</v>
      </c>
      <c r="Q832" s="8">
        <v>479.17999999999989</v>
      </c>
      <c r="R832" t="s">
        <v>45</v>
      </c>
      <c r="T832" t="s">
        <v>2932</v>
      </c>
      <c r="U832">
        <v>0</v>
      </c>
      <c r="V832" t="str">
        <f>IF(CleanedTable[[#This Row],[Returned]] = 0,"NO","Yes")</f>
        <v>NO</v>
      </c>
      <c r="W832" t="s">
        <v>881</v>
      </c>
      <c r="X832" t="s">
        <v>2339</v>
      </c>
      <c r="Y832" s="10">
        <v>31.31</v>
      </c>
      <c r="Z832" s="3">
        <v>45095</v>
      </c>
      <c r="AA832" s="3">
        <v>45099</v>
      </c>
      <c r="AB832" t="s">
        <v>2926</v>
      </c>
      <c r="AC832">
        <v>4</v>
      </c>
    </row>
    <row r="833" spans="1:29" x14ac:dyDescent="0.3">
      <c r="A833" s="3">
        <v>45597</v>
      </c>
      <c r="B833" s="3" t="str">
        <f>TEXT(CleanedTable[[#This Row],[OrderDate]],"mmm")</f>
        <v>Nov</v>
      </c>
      <c r="C833" s="3" t="str">
        <f>TEXT(CleanedTable[[#This Row],[OrderDate]],"yyyy")</f>
        <v>2024</v>
      </c>
      <c r="D833" s="3" t="str">
        <f>TEXT(CleanedTable[[#This Row],[OrderDate]],"mmm yyyy")</f>
        <v>Nov 2024</v>
      </c>
      <c r="E833" t="s">
        <v>21</v>
      </c>
      <c r="F833" t="s">
        <v>25</v>
      </c>
      <c r="G833" s="12">
        <v>2</v>
      </c>
      <c r="H833" s="8">
        <v>437.04</v>
      </c>
      <c r="I833" t="s">
        <v>33</v>
      </c>
      <c r="J833" t="s">
        <v>35</v>
      </c>
      <c r="K833" s="10">
        <v>0</v>
      </c>
      <c r="L833" t="s">
        <v>39</v>
      </c>
      <c r="M833">
        <v>874.08</v>
      </c>
      <c r="N833">
        <v>524.44799999999998</v>
      </c>
      <c r="O833" s="10">
        <v>312.26200000000006</v>
      </c>
      <c r="P833" s="10">
        <v>0.357246476295076</v>
      </c>
      <c r="Q833" s="8">
        <v>874.08</v>
      </c>
      <c r="R833" t="s">
        <v>45</v>
      </c>
      <c r="S833" t="s">
        <v>49</v>
      </c>
      <c r="T833" t="s">
        <v>2931</v>
      </c>
      <c r="U833">
        <v>1</v>
      </c>
      <c r="V833" t="str">
        <f>IF(CleanedTable[[#This Row],[Returned]] = 0,"NO","Yes")</f>
        <v>Yes</v>
      </c>
      <c r="W833" t="s">
        <v>882</v>
      </c>
      <c r="X833" t="s">
        <v>2340</v>
      </c>
      <c r="Y833" s="10">
        <v>37.369999999999997</v>
      </c>
      <c r="Z833" s="3">
        <v>45597</v>
      </c>
      <c r="AA833" s="3">
        <v>45604</v>
      </c>
      <c r="AB833" t="s">
        <v>2924</v>
      </c>
      <c r="AC833">
        <v>7</v>
      </c>
    </row>
    <row r="834" spans="1:29" x14ac:dyDescent="0.3">
      <c r="A834" s="3">
        <v>45516</v>
      </c>
      <c r="B834" s="3" t="str">
        <f>TEXT(CleanedTable[[#This Row],[OrderDate]],"mmm")</f>
        <v>Aug</v>
      </c>
      <c r="C834" s="3" t="str">
        <f>TEXT(CleanedTable[[#This Row],[OrderDate]],"yyyy")</f>
        <v>2024</v>
      </c>
      <c r="D834" s="3" t="str">
        <f>TEXT(CleanedTable[[#This Row],[OrderDate]],"mmm yyyy")</f>
        <v>Aug 2024</v>
      </c>
      <c r="E834" t="s">
        <v>23</v>
      </c>
      <c r="F834" t="s">
        <v>26</v>
      </c>
      <c r="G834" s="12">
        <v>5</v>
      </c>
      <c r="H834" s="8">
        <v>448.86</v>
      </c>
      <c r="I834" t="s">
        <v>33</v>
      </c>
      <c r="J834" t="s">
        <v>35</v>
      </c>
      <c r="K834" s="10">
        <v>0.15</v>
      </c>
      <c r="L834" t="s">
        <v>39</v>
      </c>
      <c r="M834">
        <v>1907.6550000000002</v>
      </c>
      <c r="N834">
        <v>1346.58</v>
      </c>
      <c r="O834" s="10">
        <v>539.85500000000025</v>
      </c>
      <c r="P834" s="10">
        <v>0.28299404242381365</v>
      </c>
      <c r="Q834" s="8">
        <v>1907.655</v>
      </c>
      <c r="R834" t="s">
        <v>45</v>
      </c>
      <c r="S834" t="s">
        <v>49</v>
      </c>
      <c r="T834" t="s">
        <v>2931</v>
      </c>
      <c r="U834">
        <v>1</v>
      </c>
      <c r="V834" t="str">
        <f>IF(CleanedTable[[#This Row],[Returned]] = 0,"NO","Yes")</f>
        <v>Yes</v>
      </c>
      <c r="W834" t="s">
        <v>883</v>
      </c>
      <c r="X834" t="s">
        <v>2341</v>
      </c>
      <c r="Y834" s="10">
        <v>21.22</v>
      </c>
      <c r="Z834" s="3">
        <v>45516</v>
      </c>
      <c r="AA834" s="3">
        <v>45525</v>
      </c>
      <c r="AB834" t="s">
        <v>2926</v>
      </c>
      <c r="AC834">
        <v>9</v>
      </c>
    </row>
    <row r="835" spans="1:29" x14ac:dyDescent="0.3">
      <c r="A835" s="3">
        <v>45755</v>
      </c>
      <c r="B835" s="3" t="str">
        <f>TEXT(CleanedTable[[#This Row],[OrderDate]],"mmm")</f>
        <v>Apr</v>
      </c>
      <c r="C835" s="3" t="str">
        <f>TEXT(CleanedTable[[#This Row],[OrderDate]],"yyyy")</f>
        <v>2025</v>
      </c>
      <c r="D835" s="3" t="str">
        <f>TEXT(CleanedTable[[#This Row],[OrderDate]],"mmm yyyy")</f>
        <v>Apr 2025</v>
      </c>
      <c r="E835" t="s">
        <v>22</v>
      </c>
      <c r="F835" t="s">
        <v>25</v>
      </c>
      <c r="G835" s="12">
        <v>14</v>
      </c>
      <c r="H835" s="8">
        <v>299.94</v>
      </c>
      <c r="I835" t="s">
        <v>34</v>
      </c>
      <c r="J835" t="s">
        <v>36</v>
      </c>
      <c r="K835" s="10">
        <v>0</v>
      </c>
      <c r="L835" t="s">
        <v>40</v>
      </c>
      <c r="M835">
        <v>4199.16</v>
      </c>
      <c r="N835">
        <v>2519.4960000000001</v>
      </c>
      <c r="O835" s="10">
        <v>1658.6239999999998</v>
      </c>
      <c r="P835" s="10">
        <v>0.39498947408529322</v>
      </c>
      <c r="Q835" s="8">
        <v>4199.16</v>
      </c>
      <c r="R835" t="s">
        <v>44</v>
      </c>
      <c r="S835" t="s">
        <v>48</v>
      </c>
      <c r="T835" t="s">
        <v>2931</v>
      </c>
      <c r="U835">
        <v>0</v>
      </c>
      <c r="V835" t="str">
        <f>IF(CleanedTable[[#This Row],[Returned]] = 0,"NO","Yes")</f>
        <v>NO</v>
      </c>
      <c r="W835" t="s">
        <v>884</v>
      </c>
      <c r="X835" t="s">
        <v>2342</v>
      </c>
      <c r="Y835" s="10">
        <v>21.04</v>
      </c>
      <c r="Z835" s="3">
        <v>45755</v>
      </c>
      <c r="AA835" s="3">
        <v>45764</v>
      </c>
      <c r="AB835" t="s">
        <v>2925</v>
      </c>
      <c r="AC835">
        <v>9</v>
      </c>
    </row>
    <row r="836" spans="1:29" x14ac:dyDescent="0.3">
      <c r="A836" s="3">
        <v>45493</v>
      </c>
      <c r="B836" s="3" t="str">
        <f>TEXT(CleanedTable[[#This Row],[OrderDate]],"mmm")</f>
        <v>Jul</v>
      </c>
      <c r="C836" s="3" t="str">
        <f>TEXT(CleanedTable[[#This Row],[OrderDate]],"yyyy")</f>
        <v>2024</v>
      </c>
      <c r="D836" s="3" t="str">
        <f>TEXT(CleanedTable[[#This Row],[OrderDate]],"mmm yyyy")</f>
        <v>Jul 2024</v>
      </c>
      <c r="E836" t="s">
        <v>22</v>
      </c>
      <c r="F836" t="s">
        <v>24</v>
      </c>
      <c r="G836" s="12">
        <v>8</v>
      </c>
      <c r="H836" s="8">
        <v>224.18</v>
      </c>
      <c r="I836" t="s">
        <v>31</v>
      </c>
      <c r="J836" t="s">
        <v>36</v>
      </c>
      <c r="K836" s="10">
        <v>0.15</v>
      </c>
      <c r="L836" t="s">
        <v>42</v>
      </c>
      <c r="M836">
        <v>1524.424</v>
      </c>
      <c r="N836">
        <v>1076.0640000000001</v>
      </c>
      <c r="O836" s="10">
        <v>411.45999999999992</v>
      </c>
      <c r="P836" s="10">
        <v>0.26991178307347558</v>
      </c>
      <c r="Q836" s="8">
        <v>1524.424</v>
      </c>
      <c r="R836" t="s">
        <v>46</v>
      </c>
      <c r="T836" t="s">
        <v>2932</v>
      </c>
      <c r="U836">
        <v>0</v>
      </c>
      <c r="V836" t="str">
        <f>IF(CleanedTable[[#This Row],[Returned]] = 0,"NO","Yes")</f>
        <v>NO</v>
      </c>
      <c r="W836" t="s">
        <v>885</v>
      </c>
      <c r="X836" t="s">
        <v>2343</v>
      </c>
      <c r="Y836" s="10">
        <v>36.9</v>
      </c>
      <c r="Z836" s="3">
        <v>45493</v>
      </c>
      <c r="AA836" s="3">
        <v>45499</v>
      </c>
      <c r="AB836" t="s">
        <v>2925</v>
      </c>
      <c r="AC836">
        <v>6</v>
      </c>
    </row>
    <row r="837" spans="1:29" x14ac:dyDescent="0.3">
      <c r="A837" s="3">
        <v>44974</v>
      </c>
      <c r="B837" s="3" t="str">
        <f>TEXT(CleanedTable[[#This Row],[OrderDate]],"mmm")</f>
        <v>Feb</v>
      </c>
      <c r="C837" s="3" t="str">
        <f>TEXT(CleanedTable[[#This Row],[OrderDate]],"yyyy")</f>
        <v>2023</v>
      </c>
      <c r="D837" s="3" t="str">
        <f>TEXT(CleanedTable[[#This Row],[OrderDate]],"mmm yyyy")</f>
        <v>Feb 2023</v>
      </c>
      <c r="E837" t="s">
        <v>23</v>
      </c>
      <c r="F837" t="s">
        <v>26</v>
      </c>
      <c r="G837" s="12">
        <v>6</v>
      </c>
      <c r="H837" s="8">
        <v>327.69</v>
      </c>
      <c r="I837" t="s">
        <v>34</v>
      </c>
      <c r="J837" t="s">
        <v>35</v>
      </c>
      <c r="K837" s="10">
        <v>0.05</v>
      </c>
      <c r="L837" t="s">
        <v>41</v>
      </c>
      <c r="M837">
        <v>1867.8329999999999</v>
      </c>
      <c r="N837">
        <v>1179.684</v>
      </c>
      <c r="O837" s="10">
        <v>665.80899999999986</v>
      </c>
      <c r="P837" s="10">
        <v>0.35646066859296305</v>
      </c>
      <c r="Q837" s="8">
        <v>1867.8330000000001</v>
      </c>
      <c r="R837" t="s">
        <v>47</v>
      </c>
      <c r="T837" t="s">
        <v>2932</v>
      </c>
      <c r="U837">
        <v>0</v>
      </c>
      <c r="V837" t="str">
        <f>IF(CleanedTable[[#This Row],[Returned]] = 0,"NO","Yes")</f>
        <v>NO</v>
      </c>
      <c r="W837" t="s">
        <v>886</v>
      </c>
      <c r="X837" t="s">
        <v>2344</v>
      </c>
      <c r="Y837" s="10">
        <v>22.34</v>
      </c>
      <c r="Z837" s="3">
        <v>44974</v>
      </c>
      <c r="AA837" s="3">
        <v>44978</v>
      </c>
      <c r="AB837" t="s">
        <v>2926</v>
      </c>
      <c r="AC837">
        <v>4</v>
      </c>
    </row>
    <row r="838" spans="1:29" x14ac:dyDescent="0.3">
      <c r="A838" s="3">
        <v>45475</v>
      </c>
      <c r="B838" s="3" t="str">
        <f>TEXT(CleanedTable[[#This Row],[OrderDate]],"mmm")</f>
        <v>Jul</v>
      </c>
      <c r="C838" s="3" t="str">
        <f>TEXT(CleanedTable[[#This Row],[OrderDate]],"yyyy")</f>
        <v>2024</v>
      </c>
      <c r="D838" s="3" t="str">
        <f>TEXT(CleanedTable[[#This Row],[OrderDate]],"mmm yyyy")</f>
        <v>Jul 2024</v>
      </c>
      <c r="E838" t="s">
        <v>19</v>
      </c>
      <c r="F838" t="s">
        <v>25</v>
      </c>
      <c r="G838" s="12">
        <v>8</v>
      </c>
      <c r="H838" s="8">
        <v>432.27</v>
      </c>
      <c r="I838" t="s">
        <v>34</v>
      </c>
      <c r="J838" t="s">
        <v>36</v>
      </c>
      <c r="K838" s="10">
        <v>0.05</v>
      </c>
      <c r="L838" t="s">
        <v>37</v>
      </c>
      <c r="M838">
        <v>3285.2519999999995</v>
      </c>
      <c r="N838">
        <v>2074.8959999999997</v>
      </c>
      <c r="O838" s="10">
        <v>1189.7159999999997</v>
      </c>
      <c r="P838" s="10">
        <v>0.3621384295633942</v>
      </c>
      <c r="Q838" s="8">
        <v>3285.251999999999</v>
      </c>
      <c r="R838" t="s">
        <v>47</v>
      </c>
      <c r="S838" t="s">
        <v>48</v>
      </c>
      <c r="T838" t="s">
        <v>2931</v>
      </c>
      <c r="U838">
        <v>1</v>
      </c>
      <c r="V838" t="str">
        <f>IF(CleanedTable[[#This Row],[Returned]] = 0,"NO","Yes")</f>
        <v>Yes</v>
      </c>
      <c r="W838" t="s">
        <v>887</v>
      </c>
      <c r="X838" t="s">
        <v>2345</v>
      </c>
      <c r="Y838" s="10">
        <v>20.64</v>
      </c>
      <c r="Z838" s="3">
        <v>45475</v>
      </c>
      <c r="AA838" s="3">
        <v>45477</v>
      </c>
      <c r="AB838" t="s">
        <v>2922</v>
      </c>
      <c r="AC838">
        <v>2</v>
      </c>
    </row>
    <row r="839" spans="1:29" x14ac:dyDescent="0.3">
      <c r="A839" s="3">
        <v>45748</v>
      </c>
      <c r="B839" s="3" t="str">
        <f>TEXT(CleanedTable[[#This Row],[OrderDate]],"mmm")</f>
        <v>Apr</v>
      </c>
      <c r="C839" s="3" t="str">
        <f>TEXT(CleanedTable[[#This Row],[OrderDate]],"yyyy")</f>
        <v>2025</v>
      </c>
      <c r="D839" s="3" t="str">
        <f>TEXT(CleanedTable[[#This Row],[OrderDate]],"mmm yyyy")</f>
        <v>Apr 2025</v>
      </c>
      <c r="E839" t="s">
        <v>21</v>
      </c>
      <c r="F839" t="s">
        <v>28</v>
      </c>
      <c r="G839" s="12">
        <v>4</v>
      </c>
      <c r="H839" s="8">
        <v>249.98</v>
      </c>
      <c r="I839" t="s">
        <v>33</v>
      </c>
      <c r="J839" t="s">
        <v>36</v>
      </c>
      <c r="K839" s="10">
        <v>0.15</v>
      </c>
      <c r="L839" t="s">
        <v>37</v>
      </c>
      <c r="M839">
        <v>849.9319999999999</v>
      </c>
      <c r="N839">
        <v>599.952</v>
      </c>
      <c r="O839" s="10">
        <v>200.89999999999992</v>
      </c>
      <c r="P839" s="10">
        <v>0.23637185092454449</v>
      </c>
      <c r="Q839" s="8">
        <v>849.9319999999999</v>
      </c>
      <c r="R839" t="s">
        <v>46</v>
      </c>
      <c r="S839" t="s">
        <v>49</v>
      </c>
      <c r="T839" t="s">
        <v>2931</v>
      </c>
      <c r="U839">
        <v>0</v>
      </c>
      <c r="V839" t="str">
        <f>IF(CleanedTable[[#This Row],[Returned]] = 0,"NO","Yes")</f>
        <v>NO</v>
      </c>
      <c r="W839" t="s">
        <v>888</v>
      </c>
      <c r="X839" t="s">
        <v>2346</v>
      </c>
      <c r="Y839" s="10">
        <v>49.08</v>
      </c>
      <c r="Z839" s="3">
        <v>45748</v>
      </c>
      <c r="AA839" s="3">
        <v>45751</v>
      </c>
      <c r="AB839" t="s">
        <v>2924</v>
      </c>
      <c r="AC839">
        <v>3</v>
      </c>
    </row>
    <row r="840" spans="1:29" x14ac:dyDescent="0.3">
      <c r="A840" s="3">
        <v>45810</v>
      </c>
      <c r="B840" s="3" t="str">
        <f>TEXT(CleanedTable[[#This Row],[OrderDate]],"mmm")</f>
        <v>Jun</v>
      </c>
      <c r="C840" s="3" t="str">
        <f>TEXT(CleanedTable[[#This Row],[OrderDate]],"yyyy")</f>
        <v>2025</v>
      </c>
      <c r="D840" s="3" t="str">
        <f>TEXT(CleanedTable[[#This Row],[OrderDate]],"mmm yyyy")</f>
        <v>Jun 2025</v>
      </c>
      <c r="E840" t="s">
        <v>20</v>
      </c>
      <c r="F840" t="s">
        <v>30</v>
      </c>
      <c r="G840" s="12">
        <v>14</v>
      </c>
      <c r="H840" s="8">
        <v>194.31</v>
      </c>
      <c r="I840" t="s">
        <v>33</v>
      </c>
      <c r="J840" t="s">
        <v>35</v>
      </c>
      <c r="K840" s="10">
        <v>0.15</v>
      </c>
      <c r="L840" t="s">
        <v>39</v>
      </c>
      <c r="M840">
        <v>2312.2890000000002</v>
      </c>
      <c r="N840">
        <v>1632.204</v>
      </c>
      <c r="O840" s="10">
        <v>664.78500000000031</v>
      </c>
      <c r="P840" s="10">
        <v>0.28750082710249464</v>
      </c>
      <c r="Q840" s="8">
        <v>2312.2890000000002</v>
      </c>
      <c r="R840" t="s">
        <v>46</v>
      </c>
      <c r="S840" t="s">
        <v>48</v>
      </c>
      <c r="T840" t="s">
        <v>2931</v>
      </c>
      <c r="U840">
        <v>0</v>
      </c>
      <c r="V840" t="str">
        <f>IF(CleanedTable[[#This Row],[Returned]] = 0,"NO","Yes")</f>
        <v>NO</v>
      </c>
      <c r="W840" t="s">
        <v>889</v>
      </c>
      <c r="X840" t="s">
        <v>2347</v>
      </c>
      <c r="Y840" s="10">
        <v>15.3</v>
      </c>
      <c r="Z840" s="3">
        <v>45810</v>
      </c>
      <c r="AA840" s="3">
        <v>45817</v>
      </c>
      <c r="AB840" t="s">
        <v>2923</v>
      </c>
      <c r="AC840">
        <v>7</v>
      </c>
    </row>
    <row r="841" spans="1:29" x14ac:dyDescent="0.3">
      <c r="A841" s="3">
        <v>45617</v>
      </c>
      <c r="B841" s="3" t="str">
        <f>TEXT(CleanedTable[[#This Row],[OrderDate]],"mmm")</f>
        <v>Nov</v>
      </c>
      <c r="C841" s="3" t="str">
        <f>TEXT(CleanedTable[[#This Row],[OrderDate]],"yyyy")</f>
        <v>2024</v>
      </c>
      <c r="D841" s="3" t="str">
        <f>TEXT(CleanedTable[[#This Row],[OrderDate]],"mmm yyyy")</f>
        <v>Nov 2024</v>
      </c>
      <c r="E841" t="s">
        <v>23</v>
      </c>
      <c r="F841" t="s">
        <v>25</v>
      </c>
      <c r="G841" s="12">
        <v>5</v>
      </c>
      <c r="H841" s="8">
        <v>69.290000000000006</v>
      </c>
      <c r="I841" t="s">
        <v>33</v>
      </c>
      <c r="J841" t="s">
        <v>35</v>
      </c>
      <c r="K841" s="10">
        <v>0</v>
      </c>
      <c r="L841" t="s">
        <v>40</v>
      </c>
      <c r="M841">
        <v>346.45000000000005</v>
      </c>
      <c r="N841">
        <v>207.87000000000003</v>
      </c>
      <c r="O841" s="10">
        <v>117.75000000000001</v>
      </c>
      <c r="P841" s="10">
        <v>0.33987588396594026</v>
      </c>
      <c r="Q841" s="8">
        <v>346.45</v>
      </c>
      <c r="R841" t="s">
        <v>45</v>
      </c>
      <c r="T841" t="s">
        <v>2932</v>
      </c>
      <c r="U841">
        <v>0</v>
      </c>
      <c r="V841" t="str">
        <f>IF(CleanedTable[[#This Row],[Returned]] = 0,"NO","Yes")</f>
        <v>NO</v>
      </c>
      <c r="W841" t="s">
        <v>890</v>
      </c>
      <c r="X841" t="s">
        <v>2348</v>
      </c>
      <c r="Y841" s="10">
        <v>20.83</v>
      </c>
      <c r="Z841" s="3">
        <v>45617</v>
      </c>
      <c r="AA841" s="3">
        <v>45625</v>
      </c>
      <c r="AB841" t="s">
        <v>2926</v>
      </c>
      <c r="AC841">
        <v>8</v>
      </c>
    </row>
    <row r="842" spans="1:29" x14ac:dyDescent="0.3">
      <c r="A842" s="3">
        <v>45301</v>
      </c>
      <c r="B842" s="3" t="str">
        <f>TEXT(CleanedTable[[#This Row],[OrderDate]],"mmm")</f>
        <v>Jan</v>
      </c>
      <c r="C842" s="3" t="str">
        <f>TEXT(CleanedTable[[#This Row],[OrderDate]],"yyyy")</f>
        <v>2024</v>
      </c>
      <c r="D842" s="3" t="str">
        <f>TEXT(CleanedTable[[#This Row],[OrderDate]],"mmm yyyy")</f>
        <v>Jan 2024</v>
      </c>
      <c r="E842" t="s">
        <v>20</v>
      </c>
      <c r="F842" t="s">
        <v>30</v>
      </c>
      <c r="G842" s="12">
        <v>15</v>
      </c>
      <c r="H842" s="8">
        <v>306.91000000000003</v>
      </c>
      <c r="I842" t="s">
        <v>32</v>
      </c>
      <c r="J842" t="s">
        <v>36</v>
      </c>
      <c r="K842" s="10">
        <v>0</v>
      </c>
      <c r="L842" t="s">
        <v>40</v>
      </c>
      <c r="M842">
        <v>4603.6500000000005</v>
      </c>
      <c r="N842">
        <v>2762.19</v>
      </c>
      <c r="O842" s="10">
        <v>1822.0800000000004</v>
      </c>
      <c r="P842" s="10">
        <v>0.39579029682968953</v>
      </c>
      <c r="Q842" s="8">
        <v>4603.6500000000005</v>
      </c>
      <c r="R842" t="s">
        <v>47</v>
      </c>
      <c r="S842" t="s">
        <v>48</v>
      </c>
      <c r="T842" t="s">
        <v>2931</v>
      </c>
      <c r="U842">
        <v>1</v>
      </c>
      <c r="V842" t="str">
        <f>IF(CleanedTable[[#This Row],[Returned]] = 0,"NO","Yes")</f>
        <v>Yes</v>
      </c>
      <c r="W842" t="s">
        <v>891</v>
      </c>
      <c r="X842" t="s">
        <v>2349</v>
      </c>
      <c r="Y842" s="10">
        <v>19.38</v>
      </c>
      <c r="Z842" s="3">
        <v>45301</v>
      </c>
      <c r="AA842" s="3">
        <v>45305</v>
      </c>
      <c r="AB842" t="s">
        <v>2923</v>
      </c>
      <c r="AC842">
        <v>4</v>
      </c>
    </row>
    <row r="843" spans="1:29" x14ac:dyDescent="0.3">
      <c r="A843" s="3">
        <v>45220</v>
      </c>
      <c r="B843" s="3" t="str">
        <f>TEXT(CleanedTable[[#This Row],[OrderDate]],"mmm")</f>
        <v>Oct</v>
      </c>
      <c r="C843" s="3" t="str">
        <f>TEXT(CleanedTable[[#This Row],[OrderDate]],"yyyy")</f>
        <v>2023</v>
      </c>
      <c r="D843" s="3" t="str">
        <f>TEXT(CleanedTable[[#This Row],[OrderDate]],"mmm yyyy")</f>
        <v>Oct 2023</v>
      </c>
      <c r="E843" t="s">
        <v>21</v>
      </c>
      <c r="F843" t="s">
        <v>26</v>
      </c>
      <c r="G843" s="12">
        <v>4</v>
      </c>
      <c r="H843" s="8">
        <v>390.3</v>
      </c>
      <c r="I843" t="s">
        <v>32</v>
      </c>
      <c r="J843" t="s">
        <v>36</v>
      </c>
      <c r="K843" s="10">
        <v>0.15</v>
      </c>
      <c r="L843" t="s">
        <v>41</v>
      </c>
      <c r="M843">
        <v>1327.02</v>
      </c>
      <c r="N843">
        <v>936.72</v>
      </c>
      <c r="O843" s="10">
        <v>346.73999999999995</v>
      </c>
      <c r="P843" s="10">
        <v>0.26129221865533298</v>
      </c>
      <c r="Q843" s="8">
        <v>1327.02</v>
      </c>
      <c r="R843" t="s">
        <v>46</v>
      </c>
      <c r="T843" t="s">
        <v>2932</v>
      </c>
      <c r="U843">
        <v>0</v>
      </c>
      <c r="V843" t="str">
        <f>IF(CleanedTable[[#This Row],[Returned]] = 0,"NO","Yes")</f>
        <v>NO</v>
      </c>
      <c r="W843" t="s">
        <v>892</v>
      </c>
      <c r="X843" t="s">
        <v>2350</v>
      </c>
      <c r="Y843" s="10">
        <v>43.56</v>
      </c>
      <c r="Z843" s="3">
        <v>45220</v>
      </c>
      <c r="AA843" s="3">
        <v>45225</v>
      </c>
      <c r="AB843" t="s">
        <v>2924</v>
      </c>
      <c r="AC843">
        <v>5</v>
      </c>
    </row>
    <row r="844" spans="1:29" x14ac:dyDescent="0.3">
      <c r="A844" s="3">
        <v>45677</v>
      </c>
      <c r="B844" s="3" t="str">
        <f>TEXT(CleanedTable[[#This Row],[OrderDate]],"mmm")</f>
        <v>Jan</v>
      </c>
      <c r="C844" s="3" t="str">
        <f>TEXT(CleanedTable[[#This Row],[OrderDate]],"yyyy")</f>
        <v>2025</v>
      </c>
      <c r="D844" s="3" t="str">
        <f>TEXT(CleanedTable[[#This Row],[OrderDate]],"mmm yyyy")</f>
        <v>Jan 2025</v>
      </c>
      <c r="E844" t="s">
        <v>21</v>
      </c>
      <c r="F844" t="s">
        <v>25</v>
      </c>
      <c r="G844" s="12">
        <v>7</v>
      </c>
      <c r="H844" s="8">
        <v>61.83</v>
      </c>
      <c r="I844" t="s">
        <v>31</v>
      </c>
      <c r="J844" t="s">
        <v>36</v>
      </c>
      <c r="K844" s="10">
        <v>0</v>
      </c>
      <c r="L844" t="s">
        <v>41</v>
      </c>
      <c r="M844">
        <v>432.81</v>
      </c>
      <c r="N844">
        <v>259.68599999999998</v>
      </c>
      <c r="O844" s="10">
        <v>147.63400000000001</v>
      </c>
      <c r="P844" s="10">
        <v>0.34110579700099353</v>
      </c>
      <c r="Q844" s="8">
        <v>432.81</v>
      </c>
      <c r="R844" t="s">
        <v>43</v>
      </c>
      <c r="S844" t="s">
        <v>50</v>
      </c>
      <c r="T844" t="s">
        <v>2931</v>
      </c>
      <c r="U844">
        <v>0</v>
      </c>
      <c r="V844" t="str">
        <f>IF(CleanedTable[[#This Row],[Returned]] = 0,"NO","Yes")</f>
        <v>NO</v>
      </c>
      <c r="W844" t="s">
        <v>893</v>
      </c>
      <c r="X844" t="s">
        <v>2351</v>
      </c>
      <c r="Y844" s="10">
        <v>25.49</v>
      </c>
      <c r="Z844" s="3">
        <v>45677</v>
      </c>
      <c r="AA844" s="3">
        <v>45679</v>
      </c>
      <c r="AB844" t="s">
        <v>2924</v>
      </c>
      <c r="AC844">
        <v>2</v>
      </c>
    </row>
    <row r="845" spans="1:29" x14ac:dyDescent="0.3">
      <c r="A845" s="3">
        <v>45605</v>
      </c>
      <c r="B845" s="3" t="str">
        <f>TEXT(CleanedTable[[#This Row],[OrderDate]],"mmm")</f>
        <v>Nov</v>
      </c>
      <c r="C845" s="3" t="str">
        <f>TEXT(CleanedTable[[#This Row],[OrderDate]],"yyyy")</f>
        <v>2024</v>
      </c>
      <c r="D845" s="3" t="str">
        <f>TEXT(CleanedTable[[#This Row],[OrderDate]],"mmm yyyy")</f>
        <v>Nov 2024</v>
      </c>
      <c r="E845" t="s">
        <v>23</v>
      </c>
      <c r="F845" t="s">
        <v>28</v>
      </c>
      <c r="G845" s="12">
        <v>7</v>
      </c>
      <c r="H845" s="8">
        <v>83.32</v>
      </c>
      <c r="I845" t="s">
        <v>34</v>
      </c>
      <c r="J845" t="s">
        <v>35</v>
      </c>
      <c r="K845" s="10">
        <v>0.05</v>
      </c>
      <c r="L845" t="s">
        <v>40</v>
      </c>
      <c r="M845">
        <v>554.07799999999997</v>
      </c>
      <c r="N845">
        <v>349.94399999999996</v>
      </c>
      <c r="O845" s="10">
        <v>180.73400000000001</v>
      </c>
      <c r="P845" s="10">
        <v>0.32618873155043154</v>
      </c>
      <c r="Q845" s="8">
        <v>554.07799999999997</v>
      </c>
      <c r="R845" t="s">
        <v>47</v>
      </c>
      <c r="S845" t="s">
        <v>48</v>
      </c>
      <c r="T845" t="s">
        <v>2931</v>
      </c>
      <c r="U845">
        <v>0</v>
      </c>
      <c r="V845" t="str">
        <f>IF(CleanedTable[[#This Row],[Returned]] = 0,"NO","Yes")</f>
        <v>NO</v>
      </c>
      <c r="W845" t="s">
        <v>894</v>
      </c>
      <c r="X845" t="s">
        <v>2352</v>
      </c>
      <c r="Y845" s="10">
        <v>23.4</v>
      </c>
      <c r="Z845" s="3">
        <v>45605</v>
      </c>
      <c r="AA845" s="3">
        <v>45613</v>
      </c>
      <c r="AB845" t="s">
        <v>2926</v>
      </c>
      <c r="AC845">
        <v>8</v>
      </c>
    </row>
    <row r="846" spans="1:29" x14ac:dyDescent="0.3">
      <c r="A846" s="3">
        <v>45385</v>
      </c>
      <c r="B846" s="3" t="str">
        <f>TEXT(CleanedTable[[#This Row],[OrderDate]],"mmm")</f>
        <v>Apr</v>
      </c>
      <c r="C846" s="3" t="str">
        <f>TEXT(CleanedTable[[#This Row],[OrderDate]],"yyyy")</f>
        <v>2024</v>
      </c>
      <c r="D846" s="3" t="str">
        <f>TEXT(CleanedTable[[#This Row],[OrderDate]],"mmm yyyy")</f>
        <v>Apr 2024</v>
      </c>
      <c r="E846" t="s">
        <v>23</v>
      </c>
      <c r="F846" t="s">
        <v>28</v>
      </c>
      <c r="G846" s="12">
        <v>4</v>
      </c>
      <c r="H846" s="8">
        <v>563.05999999999995</v>
      </c>
      <c r="I846" t="s">
        <v>34</v>
      </c>
      <c r="J846" t="s">
        <v>36</v>
      </c>
      <c r="K846" s="10">
        <v>0.05</v>
      </c>
      <c r="L846" t="s">
        <v>42</v>
      </c>
      <c r="M846">
        <v>2139.6279999999997</v>
      </c>
      <c r="N846">
        <v>1351.3439999999998</v>
      </c>
      <c r="O846" s="10">
        <v>768.78399999999988</v>
      </c>
      <c r="P846" s="10">
        <v>0.35930731884234079</v>
      </c>
      <c r="Q846" s="8">
        <v>2139.6280000000002</v>
      </c>
      <c r="R846" t="s">
        <v>47</v>
      </c>
      <c r="S846" t="s">
        <v>50</v>
      </c>
      <c r="T846" t="s">
        <v>2931</v>
      </c>
      <c r="U846">
        <v>0</v>
      </c>
      <c r="V846" t="str">
        <f>IF(CleanedTable[[#This Row],[Returned]] = 0,"NO","Yes")</f>
        <v>NO</v>
      </c>
      <c r="W846" t="s">
        <v>895</v>
      </c>
      <c r="X846" t="s">
        <v>2353</v>
      </c>
      <c r="Y846" s="10">
        <v>19.5</v>
      </c>
      <c r="Z846" s="3">
        <v>45385</v>
      </c>
      <c r="AA846" s="3">
        <v>45389</v>
      </c>
      <c r="AB846" t="s">
        <v>2926</v>
      </c>
      <c r="AC846">
        <v>4</v>
      </c>
    </row>
    <row r="847" spans="1:29" x14ac:dyDescent="0.3">
      <c r="A847" s="3">
        <v>45297</v>
      </c>
      <c r="B847" s="3" t="str">
        <f>TEXT(CleanedTable[[#This Row],[OrderDate]],"mmm")</f>
        <v>Jan</v>
      </c>
      <c r="C847" s="3" t="str">
        <f>TEXT(CleanedTable[[#This Row],[OrderDate]],"yyyy")</f>
        <v>2024</v>
      </c>
      <c r="D847" s="3" t="str">
        <f>TEXT(CleanedTable[[#This Row],[OrderDate]],"mmm yyyy")</f>
        <v>Jan 2024</v>
      </c>
      <c r="E847" t="s">
        <v>21</v>
      </c>
      <c r="F847" t="s">
        <v>25</v>
      </c>
      <c r="G847" s="12">
        <v>13</v>
      </c>
      <c r="H847" s="8">
        <v>256.35000000000002</v>
      </c>
      <c r="I847" t="s">
        <v>34</v>
      </c>
      <c r="J847" t="s">
        <v>35</v>
      </c>
      <c r="K847" s="10">
        <v>0.15</v>
      </c>
      <c r="L847" t="s">
        <v>38</v>
      </c>
      <c r="M847">
        <v>2832.6675</v>
      </c>
      <c r="N847">
        <v>1999.53</v>
      </c>
      <c r="O847" s="10">
        <v>807.09750000000008</v>
      </c>
      <c r="P847" s="10">
        <v>0.28492489852762459</v>
      </c>
      <c r="Q847" s="8">
        <v>2832.6675</v>
      </c>
      <c r="R847" t="s">
        <v>47</v>
      </c>
      <c r="S847" t="s">
        <v>49</v>
      </c>
      <c r="T847" t="s">
        <v>2931</v>
      </c>
      <c r="U847">
        <v>0</v>
      </c>
      <c r="V847" t="str">
        <f>IF(CleanedTable[[#This Row],[Returned]] = 0,"NO","Yes")</f>
        <v>NO</v>
      </c>
      <c r="W847" t="s">
        <v>896</v>
      </c>
      <c r="X847" t="s">
        <v>2354</v>
      </c>
      <c r="Y847" s="10">
        <v>26.04</v>
      </c>
      <c r="Z847" s="3">
        <v>45297</v>
      </c>
      <c r="AA847" s="3">
        <v>45299</v>
      </c>
      <c r="AB847" t="s">
        <v>2924</v>
      </c>
      <c r="AC847">
        <v>2</v>
      </c>
    </row>
    <row r="848" spans="1:29" x14ac:dyDescent="0.3">
      <c r="A848" s="3">
        <v>45140</v>
      </c>
      <c r="B848" s="3" t="str">
        <f>TEXT(CleanedTable[[#This Row],[OrderDate]],"mmm")</f>
        <v>Aug</v>
      </c>
      <c r="C848" s="3" t="str">
        <f>TEXT(CleanedTable[[#This Row],[OrderDate]],"yyyy")</f>
        <v>2023</v>
      </c>
      <c r="D848" s="3" t="str">
        <f>TEXT(CleanedTable[[#This Row],[OrderDate]],"mmm yyyy")</f>
        <v>Aug 2023</v>
      </c>
      <c r="E848" t="s">
        <v>22</v>
      </c>
      <c r="F848" t="s">
        <v>30</v>
      </c>
      <c r="G848" s="12">
        <v>9</v>
      </c>
      <c r="H848" s="8">
        <v>303.26</v>
      </c>
      <c r="I848" t="s">
        <v>32</v>
      </c>
      <c r="J848" t="s">
        <v>35</v>
      </c>
      <c r="K848" s="10">
        <v>0.05</v>
      </c>
      <c r="L848" t="s">
        <v>41</v>
      </c>
      <c r="M848">
        <v>2592.873</v>
      </c>
      <c r="N848">
        <v>1637.6039999999998</v>
      </c>
      <c r="O848" s="10">
        <v>938.25900000000024</v>
      </c>
      <c r="P848" s="10">
        <v>0.36186076217385127</v>
      </c>
      <c r="Q848" s="8">
        <v>2592.873</v>
      </c>
      <c r="R848" t="s">
        <v>46</v>
      </c>
      <c r="S848" t="s">
        <v>48</v>
      </c>
      <c r="T848" t="s">
        <v>2931</v>
      </c>
      <c r="U848">
        <v>0</v>
      </c>
      <c r="V848" t="str">
        <f>IF(CleanedTable[[#This Row],[Returned]] = 0,"NO","Yes")</f>
        <v>NO</v>
      </c>
      <c r="W848" t="s">
        <v>897</v>
      </c>
      <c r="X848" t="s">
        <v>2355</v>
      </c>
      <c r="Y848" s="10">
        <v>17.010000000000002</v>
      </c>
      <c r="Z848" s="3">
        <v>45140</v>
      </c>
      <c r="AA848" s="3">
        <v>45143</v>
      </c>
      <c r="AB848" t="s">
        <v>2925</v>
      </c>
      <c r="AC848">
        <v>3</v>
      </c>
    </row>
    <row r="849" spans="1:29" x14ac:dyDescent="0.3">
      <c r="A849" s="3">
        <v>45256</v>
      </c>
      <c r="B849" s="3" t="str">
        <f>TEXT(CleanedTable[[#This Row],[OrderDate]],"mmm")</f>
        <v>Nov</v>
      </c>
      <c r="C849" s="3" t="str">
        <f>TEXT(CleanedTable[[#This Row],[OrderDate]],"yyyy")</f>
        <v>2023</v>
      </c>
      <c r="D849" s="3" t="str">
        <f>TEXT(CleanedTable[[#This Row],[OrderDate]],"mmm yyyy")</f>
        <v>Nov 2023</v>
      </c>
      <c r="E849" t="s">
        <v>21</v>
      </c>
      <c r="F849" t="s">
        <v>27</v>
      </c>
      <c r="G849" s="12">
        <v>9</v>
      </c>
      <c r="H849" s="8">
        <v>440.48</v>
      </c>
      <c r="I849" t="s">
        <v>32</v>
      </c>
      <c r="J849" t="s">
        <v>36</v>
      </c>
      <c r="K849" s="10">
        <v>0.15</v>
      </c>
      <c r="L849" t="s">
        <v>41</v>
      </c>
      <c r="M849">
        <v>3369.672</v>
      </c>
      <c r="N849">
        <v>2378.5920000000001</v>
      </c>
      <c r="O849" s="10">
        <v>958.13999999999987</v>
      </c>
      <c r="P849" s="10">
        <v>0.28434221490993777</v>
      </c>
      <c r="Q849" s="8">
        <v>3369.672</v>
      </c>
      <c r="R849" t="s">
        <v>44</v>
      </c>
      <c r="S849" t="s">
        <v>50</v>
      </c>
      <c r="T849" t="s">
        <v>2931</v>
      </c>
      <c r="U849">
        <v>0</v>
      </c>
      <c r="V849" t="str">
        <f>IF(CleanedTable[[#This Row],[Returned]] = 0,"NO","Yes")</f>
        <v>NO</v>
      </c>
      <c r="W849" t="s">
        <v>898</v>
      </c>
      <c r="X849" t="s">
        <v>2356</v>
      </c>
      <c r="Y849" s="10">
        <v>32.94</v>
      </c>
      <c r="Z849" s="3">
        <v>45256</v>
      </c>
      <c r="AA849" s="3">
        <v>45261</v>
      </c>
      <c r="AB849" t="s">
        <v>2924</v>
      </c>
      <c r="AC849">
        <v>5</v>
      </c>
    </row>
    <row r="850" spans="1:29" x14ac:dyDescent="0.3">
      <c r="A850" s="3">
        <v>45767</v>
      </c>
      <c r="B850" s="3" t="str">
        <f>TEXT(CleanedTable[[#This Row],[OrderDate]],"mmm")</f>
        <v>Apr</v>
      </c>
      <c r="C850" s="3" t="str">
        <f>TEXT(CleanedTable[[#This Row],[OrderDate]],"yyyy")</f>
        <v>2025</v>
      </c>
      <c r="D850" s="3" t="str">
        <f>TEXT(CleanedTable[[#This Row],[OrderDate]],"mmm yyyy")</f>
        <v>Apr 2025</v>
      </c>
      <c r="E850" t="s">
        <v>19</v>
      </c>
      <c r="F850" t="s">
        <v>26</v>
      </c>
      <c r="G850" s="12">
        <v>17</v>
      </c>
      <c r="H850" s="8">
        <v>469.25</v>
      </c>
      <c r="I850" t="s">
        <v>31</v>
      </c>
      <c r="J850" t="s">
        <v>35</v>
      </c>
      <c r="K850" s="10">
        <v>0.05</v>
      </c>
      <c r="L850" t="s">
        <v>42</v>
      </c>
      <c r="M850">
        <v>7578.3874999999998</v>
      </c>
      <c r="N850">
        <v>4786.3500000000004</v>
      </c>
      <c r="O850" s="10">
        <v>2746.2774999999992</v>
      </c>
      <c r="P850" s="10">
        <v>0.36238282880098166</v>
      </c>
      <c r="Q850" s="8">
        <v>7578.3874999999998</v>
      </c>
      <c r="R850" t="s">
        <v>45</v>
      </c>
      <c r="T850" t="s">
        <v>2932</v>
      </c>
      <c r="U850">
        <v>0</v>
      </c>
      <c r="V850" t="str">
        <f>IF(CleanedTable[[#This Row],[Returned]] = 0,"NO","Yes")</f>
        <v>NO</v>
      </c>
      <c r="W850" t="s">
        <v>899</v>
      </c>
      <c r="X850" t="s">
        <v>2357</v>
      </c>
      <c r="Y850" s="10">
        <v>45.76</v>
      </c>
      <c r="Z850" s="3">
        <v>45767</v>
      </c>
      <c r="AA850" s="3">
        <v>45773</v>
      </c>
      <c r="AB850" t="s">
        <v>2922</v>
      </c>
      <c r="AC850">
        <v>6</v>
      </c>
    </row>
    <row r="851" spans="1:29" x14ac:dyDescent="0.3">
      <c r="A851" s="3">
        <v>45289</v>
      </c>
      <c r="B851" s="3" t="str">
        <f>TEXT(CleanedTable[[#This Row],[OrderDate]],"mmm")</f>
        <v>Dec</v>
      </c>
      <c r="C851" s="3" t="str">
        <f>TEXT(CleanedTable[[#This Row],[OrderDate]],"yyyy")</f>
        <v>2023</v>
      </c>
      <c r="D851" s="3" t="str">
        <f>TEXT(CleanedTable[[#This Row],[OrderDate]],"mmm yyyy")</f>
        <v>Dec 2023</v>
      </c>
      <c r="E851" t="s">
        <v>20</v>
      </c>
      <c r="F851" t="s">
        <v>27</v>
      </c>
      <c r="G851" s="12">
        <v>18</v>
      </c>
      <c r="H851" s="8">
        <v>491.76</v>
      </c>
      <c r="I851" t="s">
        <v>32</v>
      </c>
      <c r="J851" t="s">
        <v>35</v>
      </c>
      <c r="K851" s="10">
        <v>0.15</v>
      </c>
      <c r="L851" t="s">
        <v>37</v>
      </c>
      <c r="M851">
        <v>7523.9279999999999</v>
      </c>
      <c r="N851">
        <v>5311.0079999999998</v>
      </c>
      <c r="O851" s="10">
        <v>2175.4300000000003</v>
      </c>
      <c r="P851" s="10">
        <v>0.28913487742041127</v>
      </c>
      <c r="Q851" s="8">
        <v>7523.9279999999999</v>
      </c>
      <c r="R851" t="s">
        <v>45</v>
      </c>
      <c r="S851" t="s">
        <v>49</v>
      </c>
      <c r="T851" t="s">
        <v>2931</v>
      </c>
      <c r="U851">
        <v>0</v>
      </c>
      <c r="V851" t="str">
        <f>IF(CleanedTable[[#This Row],[Returned]] = 0,"NO","Yes")</f>
        <v>NO</v>
      </c>
      <c r="W851" t="s">
        <v>900</v>
      </c>
      <c r="X851" t="s">
        <v>2358</v>
      </c>
      <c r="Y851" s="10">
        <v>37.49</v>
      </c>
      <c r="Z851" s="3">
        <v>45289</v>
      </c>
      <c r="AA851" s="3">
        <v>45296</v>
      </c>
      <c r="AB851" t="s">
        <v>2923</v>
      </c>
      <c r="AC851">
        <v>7</v>
      </c>
    </row>
    <row r="852" spans="1:29" x14ac:dyDescent="0.3">
      <c r="A852" s="3">
        <v>45665</v>
      </c>
      <c r="B852" s="3" t="str">
        <f>TEXT(CleanedTable[[#This Row],[OrderDate]],"mmm")</f>
        <v>Jan</v>
      </c>
      <c r="C852" s="3" t="str">
        <f>TEXT(CleanedTable[[#This Row],[OrderDate]],"yyyy")</f>
        <v>2025</v>
      </c>
      <c r="D852" s="3" t="str">
        <f>TEXT(CleanedTable[[#This Row],[OrderDate]],"mmm yyyy")</f>
        <v>Jan 2025</v>
      </c>
      <c r="E852" t="s">
        <v>22</v>
      </c>
      <c r="F852" t="s">
        <v>27</v>
      </c>
      <c r="G852" s="12">
        <v>19</v>
      </c>
      <c r="H852" s="8">
        <v>465.27</v>
      </c>
      <c r="I852" t="s">
        <v>33</v>
      </c>
      <c r="J852" t="s">
        <v>36</v>
      </c>
      <c r="K852" s="10">
        <v>0.05</v>
      </c>
      <c r="L852" t="s">
        <v>41</v>
      </c>
      <c r="M852">
        <v>8398.1234999999997</v>
      </c>
      <c r="N852">
        <v>5304.0779999999995</v>
      </c>
      <c r="O852" s="10">
        <v>3049.0955000000004</v>
      </c>
      <c r="P852" s="10">
        <v>0.36306866647055147</v>
      </c>
      <c r="Q852" s="8">
        <v>8398.1234999999997</v>
      </c>
      <c r="R852" t="s">
        <v>45</v>
      </c>
      <c r="T852" t="s">
        <v>2932</v>
      </c>
      <c r="U852">
        <v>0</v>
      </c>
      <c r="V852" t="str">
        <f>IF(CleanedTable[[#This Row],[Returned]] = 0,"NO","Yes")</f>
        <v>NO</v>
      </c>
      <c r="W852" t="s">
        <v>901</v>
      </c>
      <c r="X852" t="s">
        <v>2359</v>
      </c>
      <c r="Y852" s="10">
        <v>44.95</v>
      </c>
      <c r="Z852" s="3">
        <v>45665</v>
      </c>
      <c r="AA852" s="3">
        <v>45667</v>
      </c>
      <c r="AB852" t="s">
        <v>2925</v>
      </c>
      <c r="AC852">
        <v>2</v>
      </c>
    </row>
    <row r="853" spans="1:29" x14ac:dyDescent="0.3">
      <c r="A853" s="3">
        <v>45418</v>
      </c>
      <c r="B853" s="3" t="str">
        <f>TEXT(CleanedTable[[#This Row],[OrderDate]],"mmm")</f>
        <v>May</v>
      </c>
      <c r="C853" s="3" t="str">
        <f>TEXT(CleanedTable[[#This Row],[OrderDate]],"yyyy")</f>
        <v>2024</v>
      </c>
      <c r="D853" s="3" t="str">
        <f>TEXT(CleanedTable[[#This Row],[OrderDate]],"mmm yyyy")</f>
        <v>May 2024</v>
      </c>
      <c r="E853" t="s">
        <v>19</v>
      </c>
      <c r="F853" t="s">
        <v>27</v>
      </c>
      <c r="G853" s="12">
        <v>18</v>
      </c>
      <c r="H853" s="8">
        <v>343.68</v>
      </c>
      <c r="I853" t="s">
        <v>31</v>
      </c>
      <c r="J853" t="s">
        <v>36</v>
      </c>
      <c r="K853" s="10">
        <v>0</v>
      </c>
      <c r="L853" t="s">
        <v>37</v>
      </c>
      <c r="M853">
        <v>6186.24</v>
      </c>
      <c r="N853">
        <v>3711.7440000000001</v>
      </c>
      <c r="O853" s="10">
        <v>2454.1259999999997</v>
      </c>
      <c r="P853" s="10">
        <v>0.39670720825574174</v>
      </c>
      <c r="Q853" s="8">
        <v>6186.24</v>
      </c>
      <c r="R853" t="s">
        <v>44</v>
      </c>
      <c r="S853" t="s">
        <v>49</v>
      </c>
      <c r="T853" t="s">
        <v>2931</v>
      </c>
      <c r="U853">
        <v>0</v>
      </c>
      <c r="V853" t="str">
        <f>IF(CleanedTable[[#This Row],[Returned]] = 0,"NO","Yes")</f>
        <v>NO</v>
      </c>
      <c r="W853" t="s">
        <v>902</v>
      </c>
      <c r="X853" t="s">
        <v>2360</v>
      </c>
      <c r="Y853" s="10">
        <v>20.37</v>
      </c>
      <c r="Z853" s="3">
        <v>45418</v>
      </c>
      <c r="AA853" s="3">
        <v>45426</v>
      </c>
      <c r="AB853" t="s">
        <v>2922</v>
      </c>
      <c r="AC853">
        <v>8</v>
      </c>
    </row>
    <row r="854" spans="1:29" x14ac:dyDescent="0.3">
      <c r="A854" s="3">
        <v>45550</v>
      </c>
      <c r="B854" s="3" t="str">
        <f>TEXT(CleanedTable[[#This Row],[OrderDate]],"mmm")</f>
        <v>Sep</v>
      </c>
      <c r="C854" s="3" t="str">
        <f>TEXT(CleanedTable[[#This Row],[OrderDate]],"yyyy")</f>
        <v>2024</v>
      </c>
      <c r="D854" s="3" t="str">
        <f>TEXT(CleanedTable[[#This Row],[OrderDate]],"mmm yyyy")</f>
        <v>Sep 2024</v>
      </c>
      <c r="E854" t="s">
        <v>21</v>
      </c>
      <c r="F854" t="s">
        <v>26</v>
      </c>
      <c r="G854" s="12">
        <v>14</v>
      </c>
      <c r="H854" s="8">
        <v>472.51</v>
      </c>
      <c r="I854" t="s">
        <v>34</v>
      </c>
      <c r="J854" t="s">
        <v>35</v>
      </c>
      <c r="K854" s="10">
        <v>0.05</v>
      </c>
      <c r="L854" t="s">
        <v>42</v>
      </c>
      <c r="M854">
        <v>6284.3829999999989</v>
      </c>
      <c r="N854">
        <v>3969.0839999999998</v>
      </c>
      <c r="O854" s="10">
        <v>2301.7589999999991</v>
      </c>
      <c r="P854" s="10">
        <v>0.36626650539917754</v>
      </c>
      <c r="Q854" s="8">
        <v>6284.3829999999989</v>
      </c>
      <c r="R854" t="s">
        <v>44</v>
      </c>
      <c r="T854" t="s">
        <v>2932</v>
      </c>
      <c r="U854">
        <v>0</v>
      </c>
      <c r="V854" t="str">
        <f>IF(CleanedTable[[#This Row],[Returned]] = 0,"NO","Yes")</f>
        <v>NO</v>
      </c>
      <c r="W854" t="s">
        <v>903</v>
      </c>
      <c r="X854" t="s">
        <v>2361</v>
      </c>
      <c r="Y854" s="10">
        <v>13.54</v>
      </c>
      <c r="Z854" s="3">
        <v>45550</v>
      </c>
      <c r="AA854" s="3">
        <v>45555</v>
      </c>
      <c r="AB854" t="s">
        <v>2924</v>
      </c>
      <c r="AC854">
        <v>5</v>
      </c>
    </row>
    <row r="855" spans="1:29" x14ac:dyDescent="0.3">
      <c r="A855" s="3">
        <v>44964</v>
      </c>
      <c r="B855" s="3" t="str">
        <f>TEXT(CleanedTable[[#This Row],[OrderDate]],"mmm")</f>
        <v>Feb</v>
      </c>
      <c r="C855" s="3" t="str">
        <f>TEXT(CleanedTable[[#This Row],[OrderDate]],"yyyy")</f>
        <v>2023</v>
      </c>
      <c r="D855" s="3" t="str">
        <f>TEXT(CleanedTable[[#This Row],[OrderDate]],"mmm yyyy")</f>
        <v>Feb 2023</v>
      </c>
      <c r="E855" t="s">
        <v>23</v>
      </c>
      <c r="F855" t="s">
        <v>24</v>
      </c>
      <c r="G855" s="12">
        <v>20</v>
      </c>
      <c r="H855" s="8">
        <v>142.52000000000001</v>
      </c>
      <c r="I855" t="s">
        <v>32</v>
      </c>
      <c r="J855" t="s">
        <v>36</v>
      </c>
      <c r="K855" s="10">
        <v>0.1</v>
      </c>
      <c r="L855" t="s">
        <v>37</v>
      </c>
      <c r="M855">
        <v>2565.36</v>
      </c>
      <c r="N855">
        <v>1710.24</v>
      </c>
      <c r="O855" s="10">
        <v>824.45000000000016</v>
      </c>
      <c r="P855" s="10">
        <v>0.32137789627966451</v>
      </c>
      <c r="Q855" s="8">
        <v>2565.36</v>
      </c>
      <c r="R855" t="s">
        <v>47</v>
      </c>
      <c r="S855" t="s">
        <v>48</v>
      </c>
      <c r="T855" t="s">
        <v>2931</v>
      </c>
      <c r="U855">
        <v>0</v>
      </c>
      <c r="V855" t="str">
        <f>IF(CleanedTable[[#This Row],[Returned]] = 0,"NO","Yes")</f>
        <v>NO</v>
      </c>
      <c r="W855" t="s">
        <v>904</v>
      </c>
      <c r="X855" t="s">
        <v>2362</v>
      </c>
      <c r="Y855" s="10">
        <v>30.67</v>
      </c>
      <c r="Z855" s="3">
        <v>44964</v>
      </c>
      <c r="AA855" s="3">
        <v>44969</v>
      </c>
      <c r="AB855" t="s">
        <v>2926</v>
      </c>
      <c r="AC855">
        <v>5</v>
      </c>
    </row>
    <row r="856" spans="1:29" x14ac:dyDescent="0.3">
      <c r="A856" s="3">
        <v>44986</v>
      </c>
      <c r="B856" s="3" t="str">
        <f>TEXT(CleanedTable[[#This Row],[OrderDate]],"mmm")</f>
        <v>Mar</v>
      </c>
      <c r="C856" s="3" t="str">
        <f>TEXT(CleanedTable[[#This Row],[OrderDate]],"yyyy")</f>
        <v>2023</v>
      </c>
      <c r="D856" s="3" t="str">
        <f>TEXT(CleanedTable[[#This Row],[OrderDate]],"mmm yyyy")</f>
        <v>Mar 2023</v>
      </c>
      <c r="E856" t="s">
        <v>19</v>
      </c>
      <c r="F856" t="s">
        <v>25</v>
      </c>
      <c r="G856" s="12">
        <v>1</v>
      </c>
      <c r="H856" s="8">
        <v>31.42</v>
      </c>
      <c r="I856" t="s">
        <v>31</v>
      </c>
      <c r="J856" t="s">
        <v>36</v>
      </c>
      <c r="K856" s="10">
        <v>0.05</v>
      </c>
      <c r="L856" t="s">
        <v>42</v>
      </c>
      <c r="M856">
        <v>29.849</v>
      </c>
      <c r="N856">
        <v>18.852</v>
      </c>
      <c r="O856" s="10">
        <v>-0.35299999999999976</v>
      </c>
      <c r="P856" s="10">
        <v>-1.1826191832222176E-2</v>
      </c>
      <c r="Q856" s="8">
        <v>29.849</v>
      </c>
      <c r="R856" t="s">
        <v>45</v>
      </c>
      <c r="S856" t="s">
        <v>49</v>
      </c>
      <c r="T856" t="s">
        <v>2931</v>
      </c>
      <c r="U856">
        <v>0</v>
      </c>
      <c r="V856" t="str">
        <f>IF(CleanedTable[[#This Row],[Returned]] = 0,"NO","Yes")</f>
        <v>NO</v>
      </c>
      <c r="W856" t="s">
        <v>905</v>
      </c>
      <c r="X856" t="s">
        <v>1735</v>
      </c>
      <c r="Y856" s="10">
        <v>11.35</v>
      </c>
      <c r="Z856" s="3">
        <v>44986</v>
      </c>
      <c r="AA856" s="3">
        <v>44994</v>
      </c>
      <c r="AB856" t="s">
        <v>2922</v>
      </c>
      <c r="AC856">
        <v>8</v>
      </c>
    </row>
    <row r="857" spans="1:29" x14ac:dyDescent="0.3">
      <c r="A857" s="3">
        <v>45420</v>
      </c>
      <c r="B857" s="3" t="str">
        <f>TEXT(CleanedTable[[#This Row],[OrderDate]],"mmm")</f>
        <v>May</v>
      </c>
      <c r="C857" s="3" t="str">
        <f>TEXT(CleanedTable[[#This Row],[OrderDate]],"yyyy")</f>
        <v>2024</v>
      </c>
      <c r="D857" s="3" t="str">
        <f>TEXT(CleanedTable[[#This Row],[OrderDate]],"mmm yyyy")</f>
        <v>May 2024</v>
      </c>
      <c r="E857" t="s">
        <v>21</v>
      </c>
      <c r="F857" t="s">
        <v>29</v>
      </c>
      <c r="G857" s="12">
        <v>17</v>
      </c>
      <c r="H857" s="8">
        <v>572.29</v>
      </c>
      <c r="I857" t="s">
        <v>34</v>
      </c>
      <c r="J857" t="s">
        <v>36</v>
      </c>
      <c r="K857" s="10">
        <v>0.15</v>
      </c>
      <c r="L857" t="s">
        <v>37</v>
      </c>
      <c r="M857">
        <v>8269.5905000000002</v>
      </c>
      <c r="N857">
        <v>5837.3579999999993</v>
      </c>
      <c r="O857" s="10">
        <v>2387.2425000000012</v>
      </c>
      <c r="P857" s="10">
        <v>0.28867723256671551</v>
      </c>
      <c r="Q857" s="8">
        <v>8269.5905000000002</v>
      </c>
      <c r="R857" t="s">
        <v>43</v>
      </c>
      <c r="S857" t="s">
        <v>49</v>
      </c>
      <c r="T857" t="s">
        <v>2931</v>
      </c>
      <c r="U857">
        <v>1</v>
      </c>
      <c r="V857" t="str">
        <f>IF(CleanedTable[[#This Row],[Returned]] = 0,"NO","Yes")</f>
        <v>Yes</v>
      </c>
      <c r="W857" t="s">
        <v>906</v>
      </c>
      <c r="X857" t="s">
        <v>2363</v>
      </c>
      <c r="Y857" s="10">
        <v>44.99</v>
      </c>
      <c r="Z857" s="3">
        <v>45420</v>
      </c>
      <c r="AA857" s="3">
        <v>45424</v>
      </c>
      <c r="AB857" t="s">
        <v>2924</v>
      </c>
      <c r="AC857">
        <v>4</v>
      </c>
    </row>
    <row r="858" spans="1:29" x14ac:dyDescent="0.3">
      <c r="A858" s="3">
        <v>45449</v>
      </c>
      <c r="B858" s="3" t="str">
        <f>TEXT(CleanedTable[[#This Row],[OrderDate]],"mmm")</f>
        <v>Jun</v>
      </c>
      <c r="C858" s="3" t="str">
        <f>TEXT(CleanedTable[[#This Row],[OrderDate]],"yyyy")</f>
        <v>2024</v>
      </c>
      <c r="D858" s="3" t="str">
        <f>TEXT(CleanedTable[[#This Row],[OrderDate]],"mmm yyyy")</f>
        <v>Jun 2024</v>
      </c>
      <c r="E858" t="s">
        <v>19</v>
      </c>
      <c r="F858" t="s">
        <v>26</v>
      </c>
      <c r="G858" s="12">
        <v>18</v>
      </c>
      <c r="H858" s="8">
        <v>333.6</v>
      </c>
      <c r="I858" t="s">
        <v>32</v>
      </c>
      <c r="J858" t="s">
        <v>36</v>
      </c>
      <c r="K858" s="10">
        <v>0.1</v>
      </c>
      <c r="L858" t="s">
        <v>40</v>
      </c>
      <c r="M858">
        <v>5404.3200000000006</v>
      </c>
      <c r="N858">
        <v>3602.88</v>
      </c>
      <c r="O858" s="10">
        <v>1767.6500000000005</v>
      </c>
      <c r="P858" s="10">
        <v>0.3270809278503124</v>
      </c>
      <c r="Q858" s="8">
        <v>5404.3200000000006</v>
      </c>
      <c r="R858" t="s">
        <v>46</v>
      </c>
      <c r="S858" t="s">
        <v>48</v>
      </c>
      <c r="T858" t="s">
        <v>2931</v>
      </c>
      <c r="U858">
        <v>1</v>
      </c>
      <c r="V858" t="str">
        <f>IF(CleanedTable[[#This Row],[Returned]] = 0,"NO","Yes")</f>
        <v>Yes</v>
      </c>
      <c r="W858" t="s">
        <v>907</v>
      </c>
      <c r="X858" t="s">
        <v>2364</v>
      </c>
      <c r="Y858" s="10">
        <v>33.79</v>
      </c>
      <c r="Z858" s="3">
        <v>45449</v>
      </c>
      <c r="AA858" s="3">
        <v>45451</v>
      </c>
      <c r="AB858" t="s">
        <v>2922</v>
      </c>
      <c r="AC858">
        <v>2</v>
      </c>
    </row>
    <row r="859" spans="1:29" x14ac:dyDescent="0.3">
      <c r="A859" s="3">
        <v>45045</v>
      </c>
      <c r="B859" s="3" t="str">
        <f>TEXT(CleanedTable[[#This Row],[OrderDate]],"mmm")</f>
        <v>Apr</v>
      </c>
      <c r="C859" s="3" t="str">
        <f>TEXT(CleanedTable[[#This Row],[OrderDate]],"yyyy")</f>
        <v>2023</v>
      </c>
      <c r="D859" s="3" t="str">
        <f>TEXT(CleanedTable[[#This Row],[OrderDate]],"mmm yyyy")</f>
        <v>Apr 2023</v>
      </c>
      <c r="E859" t="s">
        <v>21</v>
      </c>
      <c r="F859" t="s">
        <v>27</v>
      </c>
      <c r="G859" s="12">
        <v>9</v>
      </c>
      <c r="H859" s="8">
        <v>90.87</v>
      </c>
      <c r="I859" t="s">
        <v>34</v>
      </c>
      <c r="J859" t="s">
        <v>36</v>
      </c>
      <c r="K859" s="10">
        <v>0.15</v>
      </c>
      <c r="L859" t="s">
        <v>40</v>
      </c>
      <c r="M859">
        <v>695.15549999999996</v>
      </c>
      <c r="N859">
        <v>490.69799999999998</v>
      </c>
      <c r="O859" s="10">
        <v>177.89749999999998</v>
      </c>
      <c r="P859" s="10">
        <v>0.2559103682557356</v>
      </c>
      <c r="Q859" s="8">
        <v>695.15549999999996</v>
      </c>
      <c r="R859" t="s">
        <v>46</v>
      </c>
      <c r="S859" t="s">
        <v>50</v>
      </c>
      <c r="T859" t="s">
        <v>2931</v>
      </c>
      <c r="U859">
        <v>0</v>
      </c>
      <c r="V859" t="str">
        <f>IF(CleanedTable[[#This Row],[Returned]] = 0,"NO","Yes")</f>
        <v>NO</v>
      </c>
      <c r="W859" t="s">
        <v>908</v>
      </c>
      <c r="X859" t="s">
        <v>2365</v>
      </c>
      <c r="Y859" s="10">
        <v>26.56</v>
      </c>
      <c r="Z859" s="3">
        <v>45045</v>
      </c>
      <c r="AA859" s="3">
        <v>45054</v>
      </c>
      <c r="AB859" t="s">
        <v>2924</v>
      </c>
      <c r="AC859">
        <v>9</v>
      </c>
    </row>
    <row r="860" spans="1:29" x14ac:dyDescent="0.3">
      <c r="A860" s="3">
        <v>45189</v>
      </c>
      <c r="B860" s="3" t="str">
        <f>TEXT(CleanedTable[[#This Row],[OrderDate]],"mmm")</f>
        <v>Sep</v>
      </c>
      <c r="C860" s="3" t="str">
        <f>TEXT(CleanedTable[[#This Row],[OrderDate]],"yyyy")</f>
        <v>2023</v>
      </c>
      <c r="D860" s="3" t="str">
        <f>TEXT(CleanedTable[[#This Row],[OrderDate]],"mmm yyyy")</f>
        <v>Sep 2023</v>
      </c>
      <c r="E860" t="s">
        <v>22</v>
      </c>
      <c r="F860" t="s">
        <v>29</v>
      </c>
      <c r="G860" s="12">
        <v>9</v>
      </c>
      <c r="H860" s="8">
        <v>588.59</v>
      </c>
      <c r="I860" t="s">
        <v>34</v>
      </c>
      <c r="J860" t="s">
        <v>35</v>
      </c>
      <c r="K860" s="10">
        <v>0.05</v>
      </c>
      <c r="L860" t="s">
        <v>41</v>
      </c>
      <c r="M860">
        <v>5032.4445000000005</v>
      </c>
      <c r="N860">
        <v>3178.386</v>
      </c>
      <c r="O860" s="10">
        <v>1811.7585000000006</v>
      </c>
      <c r="P860" s="10">
        <v>0.36001559480685785</v>
      </c>
      <c r="Q860" s="8">
        <v>5032.4445000000014</v>
      </c>
      <c r="R860" t="s">
        <v>43</v>
      </c>
      <c r="T860" t="s">
        <v>2932</v>
      </c>
      <c r="U860">
        <v>0</v>
      </c>
      <c r="V860" t="str">
        <f>IF(CleanedTable[[#This Row],[Returned]] = 0,"NO","Yes")</f>
        <v>NO</v>
      </c>
      <c r="W860" t="s">
        <v>909</v>
      </c>
      <c r="X860" t="s">
        <v>2366</v>
      </c>
      <c r="Y860" s="10">
        <v>42.3</v>
      </c>
      <c r="Z860" s="3">
        <v>45189</v>
      </c>
      <c r="AA860" s="3">
        <v>45191</v>
      </c>
      <c r="AB860" t="s">
        <v>2925</v>
      </c>
      <c r="AC860">
        <v>2</v>
      </c>
    </row>
    <row r="861" spans="1:29" x14ac:dyDescent="0.3">
      <c r="A861" s="3">
        <v>45604</v>
      </c>
      <c r="B861" s="3" t="str">
        <f>TEXT(CleanedTable[[#This Row],[OrderDate]],"mmm")</f>
        <v>Nov</v>
      </c>
      <c r="C861" s="3" t="str">
        <f>TEXT(CleanedTable[[#This Row],[OrderDate]],"yyyy")</f>
        <v>2024</v>
      </c>
      <c r="D861" s="3" t="str">
        <f>TEXT(CleanedTable[[#This Row],[OrderDate]],"mmm yyyy")</f>
        <v>Nov 2024</v>
      </c>
      <c r="E861" t="s">
        <v>20</v>
      </c>
      <c r="F861" t="s">
        <v>27</v>
      </c>
      <c r="G861" s="12">
        <v>18</v>
      </c>
      <c r="H861" s="8">
        <v>153.28</v>
      </c>
      <c r="I861" t="s">
        <v>31</v>
      </c>
      <c r="J861" t="s">
        <v>36</v>
      </c>
      <c r="K861" s="10">
        <v>0.05</v>
      </c>
      <c r="L861" t="s">
        <v>39</v>
      </c>
      <c r="M861">
        <v>2621.0879999999997</v>
      </c>
      <c r="N861">
        <v>1655.424</v>
      </c>
      <c r="O861" s="10">
        <v>931.95399999999972</v>
      </c>
      <c r="P861" s="10">
        <v>0.35555998119864723</v>
      </c>
      <c r="Q861" s="8">
        <v>2621.0880000000002</v>
      </c>
      <c r="R861" t="s">
        <v>43</v>
      </c>
      <c r="S861" t="s">
        <v>50</v>
      </c>
      <c r="T861" t="s">
        <v>2931</v>
      </c>
      <c r="U861">
        <v>1</v>
      </c>
      <c r="V861" t="str">
        <f>IF(CleanedTable[[#This Row],[Returned]] = 0,"NO","Yes")</f>
        <v>Yes</v>
      </c>
      <c r="W861" t="s">
        <v>910</v>
      </c>
      <c r="X861" t="s">
        <v>2367</v>
      </c>
      <c r="Y861" s="10">
        <v>33.71</v>
      </c>
      <c r="Z861" s="3">
        <v>45604</v>
      </c>
      <c r="AA861" s="3">
        <v>45609</v>
      </c>
      <c r="AB861" t="s">
        <v>2923</v>
      </c>
      <c r="AC861">
        <v>5</v>
      </c>
    </row>
    <row r="862" spans="1:29" x14ac:dyDescent="0.3">
      <c r="A862" s="3">
        <v>45007</v>
      </c>
      <c r="B862" s="3" t="str">
        <f>TEXT(CleanedTable[[#This Row],[OrderDate]],"mmm")</f>
        <v>Mar</v>
      </c>
      <c r="C862" s="3" t="str">
        <f>TEXT(CleanedTable[[#This Row],[OrderDate]],"yyyy")</f>
        <v>2023</v>
      </c>
      <c r="D862" s="3" t="str">
        <f>TEXT(CleanedTable[[#This Row],[OrderDate]],"mmm yyyy")</f>
        <v>Mar 2023</v>
      </c>
      <c r="E862" t="s">
        <v>21</v>
      </c>
      <c r="F862" t="s">
        <v>30</v>
      </c>
      <c r="G862" s="12">
        <v>17</v>
      </c>
      <c r="H862" s="8">
        <v>194.97</v>
      </c>
      <c r="I862" t="s">
        <v>32</v>
      </c>
      <c r="J862" t="s">
        <v>36</v>
      </c>
      <c r="K862" s="10">
        <v>0.15</v>
      </c>
      <c r="L862" t="s">
        <v>40</v>
      </c>
      <c r="M862">
        <v>2817.3164999999999</v>
      </c>
      <c r="N862">
        <v>1988.694</v>
      </c>
      <c r="O862" s="10">
        <v>823.03249999999991</v>
      </c>
      <c r="P862" s="10">
        <v>0.29213348943932993</v>
      </c>
      <c r="Q862" s="8">
        <v>2817.3164999999999</v>
      </c>
      <c r="R862" t="s">
        <v>44</v>
      </c>
      <c r="S862" t="s">
        <v>49</v>
      </c>
      <c r="T862" t="s">
        <v>2931</v>
      </c>
      <c r="U862">
        <v>1</v>
      </c>
      <c r="V862" t="str">
        <f>IF(CleanedTable[[#This Row],[Returned]] = 0,"NO","Yes")</f>
        <v>Yes</v>
      </c>
      <c r="W862" t="s">
        <v>911</v>
      </c>
      <c r="X862" t="s">
        <v>2368</v>
      </c>
      <c r="Y862" s="10">
        <v>5.59</v>
      </c>
      <c r="Z862" s="3">
        <v>45007</v>
      </c>
      <c r="AA862" s="3">
        <v>45015</v>
      </c>
      <c r="AB862" t="s">
        <v>2924</v>
      </c>
      <c r="AC862">
        <v>8</v>
      </c>
    </row>
    <row r="863" spans="1:29" x14ac:dyDescent="0.3">
      <c r="A863" s="3">
        <v>45174</v>
      </c>
      <c r="B863" s="3" t="str">
        <f>TEXT(CleanedTable[[#This Row],[OrderDate]],"mmm")</f>
        <v>Sep</v>
      </c>
      <c r="C863" s="3" t="str">
        <f>TEXT(CleanedTable[[#This Row],[OrderDate]],"yyyy")</f>
        <v>2023</v>
      </c>
      <c r="D863" s="3" t="str">
        <f>TEXT(CleanedTable[[#This Row],[OrderDate]],"mmm yyyy")</f>
        <v>Sep 2023</v>
      </c>
      <c r="E863" t="s">
        <v>19</v>
      </c>
      <c r="F863" t="s">
        <v>28</v>
      </c>
      <c r="G863" s="12">
        <v>5</v>
      </c>
      <c r="H863" s="8">
        <v>367.61</v>
      </c>
      <c r="I863" t="s">
        <v>33</v>
      </c>
      <c r="J863" t="s">
        <v>36</v>
      </c>
      <c r="K863" s="10">
        <v>0</v>
      </c>
      <c r="L863" t="s">
        <v>38</v>
      </c>
      <c r="M863">
        <v>1838.0500000000002</v>
      </c>
      <c r="N863">
        <v>1102.83</v>
      </c>
      <c r="O863" s="10">
        <v>715.6700000000003</v>
      </c>
      <c r="P863" s="10">
        <v>0.38936372786376877</v>
      </c>
      <c r="Q863" s="8">
        <v>1838.05</v>
      </c>
      <c r="R863" t="s">
        <v>45</v>
      </c>
      <c r="S863" t="s">
        <v>49</v>
      </c>
      <c r="T863" t="s">
        <v>2931</v>
      </c>
      <c r="U863">
        <v>0</v>
      </c>
      <c r="V863" t="str">
        <f>IF(CleanedTable[[#This Row],[Returned]] = 0,"NO","Yes")</f>
        <v>NO</v>
      </c>
      <c r="W863" t="s">
        <v>912</v>
      </c>
      <c r="X863" t="s">
        <v>2369</v>
      </c>
      <c r="Y863" s="10">
        <v>19.55</v>
      </c>
      <c r="Z863" s="3">
        <v>45174</v>
      </c>
      <c r="AA863" s="3">
        <v>45182</v>
      </c>
      <c r="AB863" t="s">
        <v>2922</v>
      </c>
      <c r="AC863">
        <v>8</v>
      </c>
    </row>
    <row r="864" spans="1:29" x14ac:dyDescent="0.3">
      <c r="A864" s="3">
        <v>44983</v>
      </c>
      <c r="B864" s="3" t="str">
        <f>TEXT(CleanedTable[[#This Row],[OrderDate]],"mmm")</f>
        <v>Feb</v>
      </c>
      <c r="C864" s="3" t="str">
        <f>TEXT(CleanedTable[[#This Row],[OrderDate]],"yyyy")</f>
        <v>2023</v>
      </c>
      <c r="D864" s="3" t="str">
        <f>TEXT(CleanedTable[[#This Row],[OrderDate]],"mmm yyyy")</f>
        <v>Feb 2023</v>
      </c>
      <c r="E864" t="s">
        <v>19</v>
      </c>
      <c r="F864" t="s">
        <v>24</v>
      </c>
      <c r="G864" s="12">
        <v>17</v>
      </c>
      <c r="H864" s="8">
        <v>575.5</v>
      </c>
      <c r="I864" t="s">
        <v>34</v>
      </c>
      <c r="J864" t="s">
        <v>36</v>
      </c>
      <c r="K864" s="10">
        <v>0.05</v>
      </c>
      <c r="L864" t="s">
        <v>38</v>
      </c>
      <c r="M864">
        <v>9294.3249999999989</v>
      </c>
      <c r="N864">
        <v>5870.1</v>
      </c>
      <c r="O864" s="10">
        <v>3410.8049999999985</v>
      </c>
      <c r="P864" s="10">
        <v>0.36697716079435555</v>
      </c>
      <c r="Q864" s="8">
        <v>9294.3249999999989</v>
      </c>
      <c r="R864" t="s">
        <v>46</v>
      </c>
      <c r="S864" t="s">
        <v>48</v>
      </c>
      <c r="T864" t="s">
        <v>2931</v>
      </c>
      <c r="U864">
        <v>0</v>
      </c>
      <c r="V864" t="str">
        <f>IF(CleanedTable[[#This Row],[Returned]] = 0,"NO","Yes")</f>
        <v>NO</v>
      </c>
      <c r="W864" t="s">
        <v>913</v>
      </c>
      <c r="X864" t="s">
        <v>2370</v>
      </c>
      <c r="Y864" s="10">
        <v>13.42</v>
      </c>
      <c r="Z864" s="3">
        <v>44983</v>
      </c>
      <c r="AA864" s="3">
        <v>44990</v>
      </c>
      <c r="AB864" t="s">
        <v>2922</v>
      </c>
      <c r="AC864">
        <v>7</v>
      </c>
    </row>
    <row r="865" spans="1:29" x14ac:dyDescent="0.3">
      <c r="A865" s="3">
        <v>45622</v>
      </c>
      <c r="B865" s="3" t="str">
        <f>TEXT(CleanedTable[[#This Row],[OrderDate]],"mmm")</f>
        <v>Nov</v>
      </c>
      <c r="C865" s="3" t="str">
        <f>TEXT(CleanedTable[[#This Row],[OrderDate]],"yyyy")</f>
        <v>2024</v>
      </c>
      <c r="D865" s="3" t="str">
        <f>TEXT(CleanedTable[[#This Row],[OrderDate]],"mmm yyyy")</f>
        <v>Nov 2024</v>
      </c>
      <c r="E865" t="s">
        <v>23</v>
      </c>
      <c r="F865" t="s">
        <v>27</v>
      </c>
      <c r="G865" s="12">
        <v>3</v>
      </c>
      <c r="H865" s="8">
        <v>229.45</v>
      </c>
      <c r="I865" t="s">
        <v>34</v>
      </c>
      <c r="J865" t="s">
        <v>36</v>
      </c>
      <c r="K865" s="10">
        <v>0.15</v>
      </c>
      <c r="L865" t="s">
        <v>42</v>
      </c>
      <c r="M865">
        <v>585.09749999999985</v>
      </c>
      <c r="N865">
        <v>413.01</v>
      </c>
      <c r="O865" s="10">
        <v>152.27749999999986</v>
      </c>
      <c r="P865" s="10">
        <v>0.26026004212973036</v>
      </c>
      <c r="Q865" s="8">
        <v>585.09749999999985</v>
      </c>
      <c r="R865" t="s">
        <v>46</v>
      </c>
      <c r="S865" t="s">
        <v>50</v>
      </c>
      <c r="T865" t="s">
        <v>2931</v>
      </c>
      <c r="U865">
        <v>1</v>
      </c>
      <c r="V865" t="str">
        <f>IF(CleanedTable[[#This Row],[Returned]] = 0,"NO","Yes")</f>
        <v>Yes</v>
      </c>
      <c r="W865" t="s">
        <v>914</v>
      </c>
      <c r="X865" t="s">
        <v>2371</v>
      </c>
      <c r="Y865" s="10">
        <v>19.809999999999999</v>
      </c>
      <c r="Z865" s="3">
        <v>45622</v>
      </c>
      <c r="AA865" s="3">
        <v>45625</v>
      </c>
      <c r="AB865" t="s">
        <v>2926</v>
      </c>
      <c r="AC865">
        <v>3</v>
      </c>
    </row>
    <row r="866" spans="1:29" x14ac:dyDescent="0.3">
      <c r="A866" s="3">
        <v>45579</v>
      </c>
      <c r="B866" s="3" t="str">
        <f>TEXT(CleanedTable[[#This Row],[OrderDate]],"mmm")</f>
        <v>Oct</v>
      </c>
      <c r="C866" s="3" t="str">
        <f>TEXT(CleanedTable[[#This Row],[OrderDate]],"yyyy")</f>
        <v>2024</v>
      </c>
      <c r="D866" s="3" t="str">
        <f>TEXT(CleanedTable[[#This Row],[OrderDate]],"mmm yyyy")</f>
        <v>Oct 2024</v>
      </c>
      <c r="E866" t="s">
        <v>22</v>
      </c>
      <c r="F866" t="s">
        <v>27</v>
      </c>
      <c r="G866" s="12">
        <v>3</v>
      </c>
      <c r="H866" s="8">
        <v>391.63</v>
      </c>
      <c r="I866" t="s">
        <v>33</v>
      </c>
      <c r="J866" t="s">
        <v>36</v>
      </c>
      <c r="K866" s="10">
        <v>0</v>
      </c>
      <c r="L866" t="s">
        <v>39</v>
      </c>
      <c r="M866">
        <v>1174.8899999999999</v>
      </c>
      <c r="N866">
        <v>704.93399999999997</v>
      </c>
      <c r="O866" s="10">
        <v>444.59599999999989</v>
      </c>
      <c r="P866" s="10">
        <v>0.37841500055324323</v>
      </c>
      <c r="Q866" s="8">
        <v>1174.8900000000001</v>
      </c>
      <c r="R866" t="s">
        <v>46</v>
      </c>
      <c r="T866" t="s">
        <v>2932</v>
      </c>
      <c r="U866">
        <v>1</v>
      </c>
      <c r="V866" t="str">
        <f>IF(CleanedTable[[#This Row],[Returned]] = 0,"NO","Yes")</f>
        <v>Yes</v>
      </c>
      <c r="W866" t="s">
        <v>915</v>
      </c>
      <c r="X866" t="s">
        <v>2372</v>
      </c>
      <c r="Y866" s="10">
        <v>25.36</v>
      </c>
      <c r="Z866" s="3">
        <v>45579</v>
      </c>
      <c r="AA866" s="3">
        <v>45582</v>
      </c>
      <c r="AB866" t="s">
        <v>2925</v>
      </c>
      <c r="AC866">
        <v>3</v>
      </c>
    </row>
    <row r="867" spans="1:29" x14ac:dyDescent="0.3">
      <c r="A867" s="3">
        <v>45075</v>
      </c>
      <c r="B867" s="3" t="str">
        <f>TEXT(CleanedTable[[#This Row],[OrderDate]],"mmm")</f>
        <v>May</v>
      </c>
      <c r="C867" s="3" t="str">
        <f>TEXT(CleanedTable[[#This Row],[OrderDate]],"yyyy")</f>
        <v>2023</v>
      </c>
      <c r="D867" s="3" t="str">
        <f>TEXT(CleanedTable[[#This Row],[OrderDate]],"mmm yyyy")</f>
        <v>May 2023</v>
      </c>
      <c r="E867" t="s">
        <v>22</v>
      </c>
      <c r="F867" t="s">
        <v>24</v>
      </c>
      <c r="G867" s="12">
        <v>15</v>
      </c>
      <c r="H867" s="8">
        <v>67.349999999999994</v>
      </c>
      <c r="I867" t="s">
        <v>34</v>
      </c>
      <c r="J867" t="s">
        <v>35</v>
      </c>
      <c r="K867" s="10">
        <v>0.1</v>
      </c>
      <c r="L867" t="s">
        <v>41</v>
      </c>
      <c r="M867">
        <v>909.22499999999991</v>
      </c>
      <c r="N867">
        <v>606.15</v>
      </c>
      <c r="O867" s="10">
        <v>278.22499999999991</v>
      </c>
      <c r="P867" s="10">
        <v>0.30600236465121389</v>
      </c>
      <c r="Q867" s="8">
        <v>909.22499999999991</v>
      </c>
      <c r="R867" t="s">
        <v>43</v>
      </c>
      <c r="S867" t="s">
        <v>48</v>
      </c>
      <c r="T867" t="s">
        <v>2931</v>
      </c>
      <c r="U867">
        <v>0</v>
      </c>
      <c r="V867" t="str">
        <f>IF(CleanedTable[[#This Row],[Returned]] = 0,"NO","Yes")</f>
        <v>NO</v>
      </c>
      <c r="W867" t="s">
        <v>916</v>
      </c>
      <c r="X867" t="s">
        <v>2373</v>
      </c>
      <c r="Y867" s="10">
        <v>24.85</v>
      </c>
      <c r="Z867" s="3">
        <v>45075</v>
      </c>
      <c r="AA867" s="3">
        <v>45080</v>
      </c>
      <c r="AB867" t="s">
        <v>2925</v>
      </c>
      <c r="AC867">
        <v>5</v>
      </c>
    </row>
    <row r="868" spans="1:29" x14ac:dyDescent="0.3">
      <c r="A868" s="3">
        <v>45373</v>
      </c>
      <c r="B868" s="3" t="str">
        <f>TEXT(CleanedTable[[#This Row],[OrderDate]],"mmm")</f>
        <v>Mar</v>
      </c>
      <c r="C868" s="3" t="str">
        <f>TEXT(CleanedTable[[#This Row],[OrderDate]],"yyyy")</f>
        <v>2024</v>
      </c>
      <c r="D868" s="3" t="str">
        <f>TEXT(CleanedTable[[#This Row],[OrderDate]],"mmm yyyy")</f>
        <v>Mar 2024</v>
      </c>
      <c r="E868" t="s">
        <v>22</v>
      </c>
      <c r="F868" t="s">
        <v>24</v>
      </c>
      <c r="G868" s="12">
        <v>6</v>
      </c>
      <c r="H868" s="8">
        <v>453.86</v>
      </c>
      <c r="I868" t="s">
        <v>31</v>
      </c>
      <c r="J868" t="s">
        <v>36</v>
      </c>
      <c r="K868" s="10">
        <v>0.15</v>
      </c>
      <c r="L868" t="s">
        <v>38</v>
      </c>
      <c r="M868">
        <v>2314.6859999999997</v>
      </c>
      <c r="N868">
        <v>1633.8959999999997</v>
      </c>
      <c r="O868" s="10">
        <v>635.46999999999991</v>
      </c>
      <c r="P868" s="10">
        <v>0.27453831750829272</v>
      </c>
      <c r="Q868" s="8">
        <v>2314.6860000000001</v>
      </c>
      <c r="R868" t="s">
        <v>45</v>
      </c>
      <c r="T868" t="s">
        <v>2932</v>
      </c>
      <c r="U868">
        <v>0</v>
      </c>
      <c r="V868" t="str">
        <f>IF(CleanedTable[[#This Row],[Returned]] = 0,"NO","Yes")</f>
        <v>NO</v>
      </c>
      <c r="W868" t="s">
        <v>917</v>
      </c>
      <c r="X868" t="s">
        <v>2374</v>
      </c>
      <c r="Y868" s="10">
        <v>45.32</v>
      </c>
      <c r="Z868" s="3">
        <v>45373</v>
      </c>
      <c r="AA868" s="3">
        <v>45382</v>
      </c>
      <c r="AB868" t="s">
        <v>2925</v>
      </c>
      <c r="AC868">
        <v>9</v>
      </c>
    </row>
    <row r="869" spans="1:29" x14ac:dyDescent="0.3">
      <c r="A869" s="3">
        <v>45038</v>
      </c>
      <c r="B869" s="3" t="str">
        <f>TEXT(CleanedTable[[#This Row],[OrderDate]],"mmm")</f>
        <v>Apr</v>
      </c>
      <c r="C869" s="3" t="str">
        <f>TEXT(CleanedTable[[#This Row],[OrderDate]],"yyyy")</f>
        <v>2023</v>
      </c>
      <c r="D869" s="3" t="str">
        <f>TEXT(CleanedTable[[#This Row],[OrderDate]],"mmm yyyy")</f>
        <v>Apr 2023</v>
      </c>
      <c r="E869" t="s">
        <v>20</v>
      </c>
      <c r="F869" t="s">
        <v>29</v>
      </c>
      <c r="G869" s="12">
        <v>19</v>
      </c>
      <c r="H869" s="8">
        <v>537.70000000000005</v>
      </c>
      <c r="I869" t="s">
        <v>34</v>
      </c>
      <c r="J869" t="s">
        <v>35</v>
      </c>
      <c r="K869" s="10">
        <v>0</v>
      </c>
      <c r="L869" t="s">
        <v>42</v>
      </c>
      <c r="M869">
        <v>10216.300000000001</v>
      </c>
      <c r="N869">
        <v>6129.78</v>
      </c>
      <c r="O869" s="10">
        <v>4040.6900000000014</v>
      </c>
      <c r="P869" s="10">
        <v>0.39551403149868358</v>
      </c>
      <c r="Q869" s="8">
        <v>10216.299999999999</v>
      </c>
      <c r="R869" t="s">
        <v>43</v>
      </c>
      <c r="S869" t="s">
        <v>49</v>
      </c>
      <c r="T869" t="s">
        <v>2931</v>
      </c>
      <c r="U869">
        <v>0</v>
      </c>
      <c r="V869" t="str">
        <f>IF(CleanedTable[[#This Row],[Returned]] = 0,"NO","Yes")</f>
        <v>NO</v>
      </c>
      <c r="W869" t="s">
        <v>918</v>
      </c>
      <c r="X869" t="s">
        <v>2375</v>
      </c>
      <c r="Y869" s="10">
        <v>45.83</v>
      </c>
      <c r="Z869" s="3">
        <v>45038</v>
      </c>
      <c r="AA869" s="3">
        <v>45048</v>
      </c>
      <c r="AB869" t="s">
        <v>2923</v>
      </c>
      <c r="AC869">
        <v>10</v>
      </c>
    </row>
    <row r="870" spans="1:29" x14ac:dyDescent="0.3">
      <c r="A870" s="3">
        <v>45814</v>
      </c>
      <c r="B870" s="3" t="str">
        <f>TEXT(CleanedTable[[#This Row],[OrderDate]],"mmm")</f>
        <v>Jun</v>
      </c>
      <c r="C870" s="3" t="str">
        <f>TEXT(CleanedTable[[#This Row],[OrderDate]],"yyyy")</f>
        <v>2025</v>
      </c>
      <c r="D870" s="3" t="str">
        <f>TEXT(CleanedTable[[#This Row],[OrderDate]],"mmm yyyy")</f>
        <v>Jun 2025</v>
      </c>
      <c r="E870" t="s">
        <v>21</v>
      </c>
      <c r="F870" t="s">
        <v>25</v>
      </c>
      <c r="G870" s="12">
        <v>5</v>
      </c>
      <c r="H870" s="8">
        <v>32.56</v>
      </c>
      <c r="I870" t="s">
        <v>33</v>
      </c>
      <c r="J870" t="s">
        <v>36</v>
      </c>
      <c r="K870" s="10">
        <v>0.05</v>
      </c>
      <c r="L870" t="s">
        <v>41</v>
      </c>
      <c r="M870">
        <v>154.66</v>
      </c>
      <c r="N870">
        <v>97.68</v>
      </c>
      <c r="O870" s="10">
        <v>10.249999999999993</v>
      </c>
      <c r="P870" s="10">
        <v>6.6274408379671496E-2</v>
      </c>
      <c r="Q870" s="8">
        <v>154.66</v>
      </c>
      <c r="R870" t="s">
        <v>47</v>
      </c>
      <c r="S870" t="s">
        <v>48</v>
      </c>
      <c r="T870" t="s">
        <v>2931</v>
      </c>
      <c r="U870">
        <v>0</v>
      </c>
      <c r="V870" t="str">
        <f>IF(CleanedTable[[#This Row],[Returned]] = 0,"NO","Yes")</f>
        <v>NO</v>
      </c>
      <c r="W870" t="s">
        <v>919</v>
      </c>
      <c r="X870" t="s">
        <v>2376</v>
      </c>
      <c r="Y870" s="10">
        <v>46.73</v>
      </c>
      <c r="Z870" s="3">
        <v>45814</v>
      </c>
      <c r="AA870" s="3">
        <v>45820</v>
      </c>
      <c r="AB870" t="s">
        <v>2924</v>
      </c>
      <c r="AC870">
        <v>6</v>
      </c>
    </row>
    <row r="871" spans="1:29" x14ac:dyDescent="0.3">
      <c r="A871" s="3">
        <v>44951</v>
      </c>
      <c r="B871" s="3" t="str">
        <f>TEXT(CleanedTable[[#This Row],[OrderDate]],"mmm")</f>
        <v>Jan</v>
      </c>
      <c r="C871" s="3" t="str">
        <f>TEXT(CleanedTable[[#This Row],[OrderDate]],"yyyy")</f>
        <v>2023</v>
      </c>
      <c r="D871" s="3" t="str">
        <f>TEXT(CleanedTable[[#This Row],[OrderDate]],"mmm yyyy")</f>
        <v>Jan 2023</v>
      </c>
      <c r="E871" t="s">
        <v>22</v>
      </c>
      <c r="F871" t="s">
        <v>24</v>
      </c>
      <c r="G871" s="12">
        <v>2</v>
      </c>
      <c r="H871" s="8">
        <v>196.7</v>
      </c>
      <c r="I871" t="s">
        <v>32</v>
      </c>
      <c r="J871" t="s">
        <v>36</v>
      </c>
      <c r="K871" s="10">
        <v>0</v>
      </c>
      <c r="L871" t="s">
        <v>39</v>
      </c>
      <c r="M871">
        <v>393.4</v>
      </c>
      <c r="N871">
        <v>236.03999999999996</v>
      </c>
      <c r="O871" s="10">
        <v>121.52000000000001</v>
      </c>
      <c r="P871" s="10">
        <v>0.30889679715302498</v>
      </c>
      <c r="Q871" s="8">
        <v>393.4</v>
      </c>
      <c r="R871" t="s">
        <v>43</v>
      </c>
      <c r="S871" t="s">
        <v>48</v>
      </c>
      <c r="T871" t="s">
        <v>2931</v>
      </c>
      <c r="U871">
        <v>0</v>
      </c>
      <c r="V871" t="str">
        <f>IF(CleanedTable[[#This Row],[Returned]] = 0,"NO","Yes")</f>
        <v>NO</v>
      </c>
      <c r="W871" t="s">
        <v>920</v>
      </c>
      <c r="X871" t="s">
        <v>2377</v>
      </c>
      <c r="Y871" s="10">
        <v>35.840000000000003</v>
      </c>
      <c r="Z871" s="3">
        <v>44951</v>
      </c>
      <c r="AA871" s="3">
        <v>44955</v>
      </c>
      <c r="AB871" t="s">
        <v>2925</v>
      </c>
      <c r="AC871">
        <v>4</v>
      </c>
    </row>
    <row r="872" spans="1:29" x14ac:dyDescent="0.3">
      <c r="A872" s="3">
        <v>45177</v>
      </c>
      <c r="B872" s="3" t="str">
        <f>TEXT(CleanedTable[[#This Row],[OrderDate]],"mmm")</f>
        <v>Sep</v>
      </c>
      <c r="C872" s="3" t="str">
        <f>TEXT(CleanedTable[[#This Row],[OrderDate]],"yyyy")</f>
        <v>2023</v>
      </c>
      <c r="D872" s="3" t="str">
        <f>TEXT(CleanedTable[[#This Row],[OrderDate]],"mmm yyyy")</f>
        <v>Sep 2023</v>
      </c>
      <c r="E872" t="s">
        <v>20</v>
      </c>
      <c r="F872" t="s">
        <v>25</v>
      </c>
      <c r="G872" s="12">
        <v>12</v>
      </c>
      <c r="H872" s="8">
        <v>369.45</v>
      </c>
      <c r="I872" t="s">
        <v>34</v>
      </c>
      <c r="J872" t="s">
        <v>35</v>
      </c>
      <c r="K872" s="10">
        <v>0.1</v>
      </c>
      <c r="L872" t="s">
        <v>39</v>
      </c>
      <c r="M872">
        <v>3990.06</v>
      </c>
      <c r="N872">
        <v>2660.04</v>
      </c>
      <c r="O872" s="10">
        <v>1285.26</v>
      </c>
      <c r="P872" s="10">
        <v>0.32211545691042243</v>
      </c>
      <c r="Q872" s="8">
        <v>3990.06</v>
      </c>
      <c r="R872" t="s">
        <v>45</v>
      </c>
      <c r="S872" t="s">
        <v>50</v>
      </c>
      <c r="T872" t="s">
        <v>2931</v>
      </c>
      <c r="U872">
        <v>1</v>
      </c>
      <c r="V872" t="str">
        <f>IF(CleanedTable[[#This Row],[Returned]] = 0,"NO","Yes")</f>
        <v>Yes</v>
      </c>
      <c r="W872" t="s">
        <v>921</v>
      </c>
      <c r="X872" t="s">
        <v>2078</v>
      </c>
      <c r="Y872" s="10">
        <v>44.76</v>
      </c>
      <c r="Z872" s="3">
        <v>45177</v>
      </c>
      <c r="AA872" s="3">
        <v>45179</v>
      </c>
      <c r="AB872" t="s">
        <v>2923</v>
      </c>
      <c r="AC872">
        <v>2</v>
      </c>
    </row>
    <row r="873" spans="1:29" x14ac:dyDescent="0.3">
      <c r="A873" s="3">
        <v>45569</v>
      </c>
      <c r="B873" s="3" t="str">
        <f>TEXT(CleanedTable[[#This Row],[OrderDate]],"mmm")</f>
        <v>Oct</v>
      </c>
      <c r="C873" s="3" t="str">
        <f>TEXT(CleanedTable[[#This Row],[OrderDate]],"yyyy")</f>
        <v>2024</v>
      </c>
      <c r="D873" s="3" t="str">
        <f>TEXT(CleanedTable[[#This Row],[OrderDate]],"mmm yyyy")</f>
        <v>Oct 2024</v>
      </c>
      <c r="E873" t="s">
        <v>19</v>
      </c>
      <c r="F873" t="s">
        <v>29</v>
      </c>
      <c r="G873" s="12">
        <v>12</v>
      </c>
      <c r="H873" s="8">
        <v>181.96</v>
      </c>
      <c r="I873" t="s">
        <v>34</v>
      </c>
      <c r="J873" t="s">
        <v>36</v>
      </c>
      <c r="K873" s="10">
        <v>0.15</v>
      </c>
      <c r="L873" t="s">
        <v>37</v>
      </c>
      <c r="M873">
        <v>1855.992</v>
      </c>
      <c r="N873">
        <v>1310.1120000000001</v>
      </c>
      <c r="O873" s="10">
        <v>520.81999999999994</v>
      </c>
      <c r="P873" s="10">
        <v>0.28061543368721414</v>
      </c>
      <c r="Q873" s="8">
        <v>1855.992</v>
      </c>
      <c r="R873" t="s">
        <v>44</v>
      </c>
      <c r="S873" t="s">
        <v>50</v>
      </c>
      <c r="T873" t="s">
        <v>2931</v>
      </c>
      <c r="U873">
        <v>0</v>
      </c>
      <c r="V873" t="str">
        <f>IF(CleanedTable[[#This Row],[Returned]] = 0,"NO","Yes")</f>
        <v>NO</v>
      </c>
      <c r="W873" t="s">
        <v>922</v>
      </c>
      <c r="X873" t="s">
        <v>2378</v>
      </c>
      <c r="Y873" s="10">
        <v>25.06</v>
      </c>
      <c r="Z873" s="3">
        <v>45569</v>
      </c>
      <c r="AA873" s="3">
        <v>45576</v>
      </c>
      <c r="AB873" t="s">
        <v>2922</v>
      </c>
      <c r="AC873">
        <v>7</v>
      </c>
    </row>
    <row r="874" spans="1:29" x14ac:dyDescent="0.3">
      <c r="A874" s="3">
        <v>45753</v>
      </c>
      <c r="B874" s="3" t="str">
        <f>TEXT(CleanedTable[[#This Row],[OrderDate]],"mmm")</f>
        <v>Apr</v>
      </c>
      <c r="C874" s="3" t="str">
        <f>TEXT(CleanedTable[[#This Row],[OrderDate]],"yyyy")</f>
        <v>2025</v>
      </c>
      <c r="D874" s="3" t="str">
        <f>TEXT(CleanedTable[[#This Row],[OrderDate]],"mmm yyyy")</f>
        <v>Apr 2025</v>
      </c>
      <c r="E874" t="s">
        <v>19</v>
      </c>
      <c r="F874" t="s">
        <v>26</v>
      </c>
      <c r="G874" s="12">
        <v>3</v>
      </c>
      <c r="H874" s="8">
        <v>32.07</v>
      </c>
      <c r="I874" t="s">
        <v>34</v>
      </c>
      <c r="J874" t="s">
        <v>36</v>
      </c>
      <c r="K874" s="10">
        <v>0.15</v>
      </c>
      <c r="L874" t="s">
        <v>38</v>
      </c>
      <c r="M874">
        <v>81.778500000000008</v>
      </c>
      <c r="N874">
        <v>57.725999999999999</v>
      </c>
      <c r="O874" s="10">
        <v>-19.127499999999991</v>
      </c>
      <c r="P874" s="10">
        <v>-0.23389399414271464</v>
      </c>
      <c r="Q874" s="8">
        <v>81.778500000000008</v>
      </c>
      <c r="R874" t="s">
        <v>43</v>
      </c>
      <c r="S874" t="s">
        <v>50</v>
      </c>
      <c r="T874" t="s">
        <v>2931</v>
      </c>
      <c r="U874">
        <v>1</v>
      </c>
      <c r="V874" t="str">
        <f>IF(CleanedTable[[#This Row],[Returned]] = 0,"NO","Yes")</f>
        <v>Yes</v>
      </c>
      <c r="W874" t="s">
        <v>923</v>
      </c>
      <c r="X874" t="s">
        <v>2379</v>
      </c>
      <c r="Y874" s="10">
        <v>43.18</v>
      </c>
      <c r="Z874" s="3">
        <v>45753</v>
      </c>
      <c r="AA874" s="3">
        <v>45755</v>
      </c>
      <c r="AB874" t="s">
        <v>2922</v>
      </c>
      <c r="AC874">
        <v>2</v>
      </c>
    </row>
    <row r="875" spans="1:29" x14ac:dyDescent="0.3">
      <c r="A875" s="3">
        <v>45529</v>
      </c>
      <c r="B875" s="3" t="str">
        <f>TEXT(CleanedTable[[#This Row],[OrderDate]],"mmm")</f>
        <v>Aug</v>
      </c>
      <c r="C875" s="3" t="str">
        <f>TEXT(CleanedTable[[#This Row],[OrderDate]],"yyyy")</f>
        <v>2024</v>
      </c>
      <c r="D875" s="3" t="str">
        <f>TEXT(CleanedTable[[#This Row],[OrderDate]],"mmm yyyy")</f>
        <v>Aug 2024</v>
      </c>
      <c r="E875" t="s">
        <v>19</v>
      </c>
      <c r="F875" t="s">
        <v>24</v>
      </c>
      <c r="G875" s="12">
        <v>15</v>
      </c>
      <c r="H875" s="8">
        <v>39.93</v>
      </c>
      <c r="I875" t="s">
        <v>32</v>
      </c>
      <c r="J875" t="s">
        <v>36</v>
      </c>
      <c r="K875" s="10">
        <v>0.15</v>
      </c>
      <c r="L875" t="s">
        <v>41</v>
      </c>
      <c r="M875">
        <v>509.10750000000002</v>
      </c>
      <c r="N875">
        <v>359.37</v>
      </c>
      <c r="O875" s="10">
        <v>116.29750000000001</v>
      </c>
      <c r="P875" s="10">
        <v>0.22843407335385946</v>
      </c>
      <c r="Q875" s="8">
        <v>509.10750000000002</v>
      </c>
      <c r="R875" t="s">
        <v>46</v>
      </c>
      <c r="S875" t="s">
        <v>50</v>
      </c>
      <c r="T875" t="s">
        <v>2931</v>
      </c>
      <c r="U875">
        <v>0</v>
      </c>
      <c r="V875" t="str">
        <f>IF(CleanedTable[[#This Row],[Returned]] = 0,"NO","Yes")</f>
        <v>NO</v>
      </c>
      <c r="W875" t="s">
        <v>924</v>
      </c>
      <c r="X875" t="s">
        <v>2380</v>
      </c>
      <c r="Y875" s="10">
        <v>33.44</v>
      </c>
      <c r="Z875" s="3">
        <v>45529</v>
      </c>
      <c r="AA875" s="3">
        <v>45533</v>
      </c>
      <c r="AB875" t="s">
        <v>2922</v>
      </c>
      <c r="AC875">
        <v>4</v>
      </c>
    </row>
    <row r="876" spans="1:29" x14ac:dyDescent="0.3">
      <c r="A876" s="3">
        <v>45357</v>
      </c>
      <c r="B876" s="3" t="str">
        <f>TEXT(CleanedTable[[#This Row],[OrderDate]],"mmm")</f>
        <v>Mar</v>
      </c>
      <c r="C876" s="3" t="str">
        <f>TEXT(CleanedTable[[#This Row],[OrderDate]],"yyyy")</f>
        <v>2024</v>
      </c>
      <c r="D876" s="3" t="str">
        <f>TEXT(CleanedTable[[#This Row],[OrderDate]],"mmm yyyy")</f>
        <v>Mar 2024</v>
      </c>
      <c r="E876" t="s">
        <v>21</v>
      </c>
      <c r="F876" t="s">
        <v>25</v>
      </c>
      <c r="G876" s="12">
        <v>7</v>
      </c>
      <c r="H876" s="8">
        <v>374.43</v>
      </c>
      <c r="I876" t="s">
        <v>32</v>
      </c>
      <c r="J876" t="s">
        <v>36</v>
      </c>
      <c r="K876" s="10">
        <v>0.15</v>
      </c>
      <c r="L876" t="s">
        <v>40</v>
      </c>
      <c r="M876">
        <v>2227.8585000000003</v>
      </c>
      <c r="N876">
        <v>1572.606</v>
      </c>
      <c r="O876" s="10">
        <v>626.28250000000025</v>
      </c>
      <c r="P876" s="10">
        <v>0.28111412820877096</v>
      </c>
      <c r="Q876" s="8">
        <v>2227.8584999999998</v>
      </c>
      <c r="R876" t="s">
        <v>47</v>
      </c>
      <c r="S876" t="s">
        <v>49</v>
      </c>
      <c r="T876" t="s">
        <v>2931</v>
      </c>
      <c r="U876">
        <v>0</v>
      </c>
      <c r="V876" t="str">
        <f>IF(CleanedTable[[#This Row],[Returned]] = 0,"NO","Yes")</f>
        <v>NO</v>
      </c>
      <c r="W876" t="s">
        <v>925</v>
      </c>
      <c r="X876" t="s">
        <v>2381</v>
      </c>
      <c r="Y876" s="10">
        <v>28.97</v>
      </c>
      <c r="Z876" s="3">
        <v>45357</v>
      </c>
      <c r="AA876" s="3">
        <v>45363</v>
      </c>
      <c r="AB876" t="s">
        <v>2924</v>
      </c>
      <c r="AC876">
        <v>6</v>
      </c>
    </row>
    <row r="877" spans="1:29" x14ac:dyDescent="0.3">
      <c r="A877" s="3">
        <v>45008</v>
      </c>
      <c r="B877" s="3" t="str">
        <f>TEXT(CleanedTable[[#This Row],[OrderDate]],"mmm")</f>
        <v>Mar</v>
      </c>
      <c r="C877" s="3" t="str">
        <f>TEXT(CleanedTable[[#This Row],[OrderDate]],"yyyy")</f>
        <v>2023</v>
      </c>
      <c r="D877" s="3" t="str">
        <f>TEXT(CleanedTable[[#This Row],[OrderDate]],"mmm yyyy")</f>
        <v>Mar 2023</v>
      </c>
      <c r="E877" t="s">
        <v>19</v>
      </c>
      <c r="F877" t="s">
        <v>30</v>
      </c>
      <c r="G877" s="12">
        <v>2</v>
      </c>
      <c r="H877" s="8">
        <v>101.87</v>
      </c>
      <c r="I877" t="s">
        <v>33</v>
      </c>
      <c r="J877" t="s">
        <v>35</v>
      </c>
      <c r="K877" s="10">
        <v>0</v>
      </c>
      <c r="L877" t="s">
        <v>41</v>
      </c>
      <c r="M877">
        <v>203.74</v>
      </c>
      <c r="N877">
        <v>122.244</v>
      </c>
      <c r="O877" s="10">
        <v>52.866000000000014</v>
      </c>
      <c r="P877" s="10">
        <v>0.25947776577991566</v>
      </c>
      <c r="Q877" s="8">
        <v>203.74</v>
      </c>
      <c r="R877" t="s">
        <v>47</v>
      </c>
      <c r="S877" t="s">
        <v>48</v>
      </c>
      <c r="T877" t="s">
        <v>2931</v>
      </c>
      <c r="U877">
        <v>0</v>
      </c>
      <c r="V877" t="str">
        <f>IF(CleanedTable[[#This Row],[Returned]] = 0,"NO","Yes")</f>
        <v>NO</v>
      </c>
      <c r="W877" t="s">
        <v>926</v>
      </c>
      <c r="X877" t="s">
        <v>2382</v>
      </c>
      <c r="Y877" s="10">
        <v>28.63</v>
      </c>
      <c r="Z877" s="3">
        <v>45008</v>
      </c>
      <c r="AA877" s="3">
        <v>45011</v>
      </c>
      <c r="AB877" t="s">
        <v>2922</v>
      </c>
      <c r="AC877">
        <v>3</v>
      </c>
    </row>
    <row r="878" spans="1:29" x14ac:dyDescent="0.3">
      <c r="A878" s="3">
        <v>45304</v>
      </c>
      <c r="B878" s="3" t="str">
        <f>TEXT(CleanedTable[[#This Row],[OrderDate]],"mmm")</f>
        <v>Jan</v>
      </c>
      <c r="C878" s="3" t="str">
        <f>TEXT(CleanedTable[[#This Row],[OrderDate]],"yyyy")</f>
        <v>2024</v>
      </c>
      <c r="D878" s="3" t="str">
        <f>TEXT(CleanedTable[[#This Row],[OrderDate]],"mmm yyyy")</f>
        <v>Jan 2024</v>
      </c>
      <c r="E878" t="s">
        <v>22</v>
      </c>
      <c r="F878" t="s">
        <v>29</v>
      </c>
      <c r="G878" s="12">
        <v>13</v>
      </c>
      <c r="H878" s="8">
        <v>343.45</v>
      </c>
      <c r="I878" t="s">
        <v>34</v>
      </c>
      <c r="J878" t="s">
        <v>35</v>
      </c>
      <c r="K878" s="10">
        <v>0.05</v>
      </c>
      <c r="L878" t="s">
        <v>38</v>
      </c>
      <c r="M878">
        <v>4241.6074999999992</v>
      </c>
      <c r="N878">
        <v>2678.91</v>
      </c>
      <c r="O878" s="10">
        <v>1535.4374999999993</v>
      </c>
      <c r="P878" s="10">
        <v>0.36199424392756746</v>
      </c>
      <c r="Q878" s="8">
        <v>4241.6074999999992</v>
      </c>
      <c r="R878" t="s">
        <v>44</v>
      </c>
      <c r="S878" t="s">
        <v>49</v>
      </c>
      <c r="T878" t="s">
        <v>2931</v>
      </c>
      <c r="U878">
        <v>0</v>
      </c>
      <c r="V878" t="str">
        <f>IF(CleanedTable[[#This Row],[Returned]] = 0,"NO","Yes")</f>
        <v>NO</v>
      </c>
      <c r="W878" t="s">
        <v>927</v>
      </c>
      <c r="X878" t="s">
        <v>2383</v>
      </c>
      <c r="Y878" s="10">
        <v>27.26</v>
      </c>
      <c r="Z878" s="3">
        <v>45304</v>
      </c>
      <c r="AA878" s="3">
        <v>45308</v>
      </c>
      <c r="AB878" t="s">
        <v>2925</v>
      </c>
      <c r="AC878">
        <v>4</v>
      </c>
    </row>
    <row r="879" spans="1:29" x14ac:dyDescent="0.3">
      <c r="A879" s="3">
        <v>45125</v>
      </c>
      <c r="B879" s="3" t="str">
        <f>TEXT(CleanedTable[[#This Row],[OrderDate]],"mmm")</f>
        <v>Jul</v>
      </c>
      <c r="C879" s="3" t="str">
        <f>TEXT(CleanedTable[[#This Row],[OrderDate]],"yyyy")</f>
        <v>2023</v>
      </c>
      <c r="D879" s="3" t="str">
        <f>TEXT(CleanedTable[[#This Row],[OrderDate]],"mmm yyyy")</f>
        <v>Jul 2023</v>
      </c>
      <c r="E879" t="s">
        <v>22</v>
      </c>
      <c r="F879" t="s">
        <v>30</v>
      </c>
      <c r="G879" s="12">
        <v>15</v>
      </c>
      <c r="H879" s="8">
        <v>144.11000000000001</v>
      </c>
      <c r="I879" t="s">
        <v>33</v>
      </c>
      <c r="J879" t="s">
        <v>36</v>
      </c>
      <c r="K879" s="10">
        <v>0</v>
      </c>
      <c r="L879" t="s">
        <v>39</v>
      </c>
      <c r="M879">
        <v>2161.65</v>
      </c>
      <c r="N879">
        <v>1296.9900000000002</v>
      </c>
      <c r="O879" s="10">
        <v>836.14999999999986</v>
      </c>
      <c r="P879" s="10">
        <v>0.38681100085582765</v>
      </c>
      <c r="Q879" s="8">
        <v>2161.65</v>
      </c>
      <c r="R879" t="s">
        <v>44</v>
      </c>
      <c r="T879" t="s">
        <v>2932</v>
      </c>
      <c r="U879">
        <v>0</v>
      </c>
      <c r="V879" t="str">
        <f>IF(CleanedTable[[#This Row],[Returned]] = 0,"NO","Yes")</f>
        <v>NO</v>
      </c>
      <c r="W879" t="s">
        <v>928</v>
      </c>
      <c r="X879" t="s">
        <v>2384</v>
      </c>
      <c r="Y879" s="10">
        <v>28.51</v>
      </c>
      <c r="Z879" s="3">
        <v>45125</v>
      </c>
      <c r="AA879" s="3">
        <v>45131</v>
      </c>
      <c r="AB879" t="s">
        <v>2925</v>
      </c>
      <c r="AC879">
        <v>6</v>
      </c>
    </row>
    <row r="880" spans="1:29" x14ac:dyDescent="0.3">
      <c r="A880" s="3">
        <v>45711</v>
      </c>
      <c r="B880" s="3" t="str">
        <f>TEXT(CleanedTable[[#This Row],[OrderDate]],"mmm")</f>
        <v>Feb</v>
      </c>
      <c r="C880" s="3" t="str">
        <f>TEXT(CleanedTable[[#This Row],[OrderDate]],"yyyy")</f>
        <v>2025</v>
      </c>
      <c r="D880" s="3" t="str">
        <f>TEXT(CleanedTable[[#This Row],[OrderDate]],"mmm yyyy")</f>
        <v>Feb 2025</v>
      </c>
      <c r="E880" t="s">
        <v>23</v>
      </c>
      <c r="F880" t="s">
        <v>27</v>
      </c>
      <c r="G880" s="12">
        <v>18</v>
      </c>
      <c r="H880" s="8">
        <v>403.68</v>
      </c>
      <c r="I880" t="s">
        <v>32</v>
      </c>
      <c r="J880" t="s">
        <v>36</v>
      </c>
      <c r="K880" s="10">
        <v>0.15</v>
      </c>
      <c r="L880" t="s">
        <v>40</v>
      </c>
      <c r="M880">
        <v>6176.3040000000001</v>
      </c>
      <c r="N880">
        <v>4359.7439999999997</v>
      </c>
      <c r="O880" s="10">
        <v>1803.4700000000005</v>
      </c>
      <c r="P880" s="10">
        <v>0.29199825656250089</v>
      </c>
      <c r="Q880" s="8">
        <v>6176.3040000000001</v>
      </c>
      <c r="R880" t="s">
        <v>47</v>
      </c>
      <c r="S880" t="s">
        <v>48</v>
      </c>
      <c r="T880" t="s">
        <v>2931</v>
      </c>
      <c r="U880">
        <v>0</v>
      </c>
      <c r="V880" t="str">
        <f>IF(CleanedTable[[#This Row],[Returned]] = 0,"NO","Yes")</f>
        <v>NO</v>
      </c>
      <c r="W880" t="s">
        <v>929</v>
      </c>
      <c r="X880" t="s">
        <v>2385</v>
      </c>
      <c r="Y880" s="10">
        <v>13.09</v>
      </c>
      <c r="Z880" s="3">
        <v>45711</v>
      </c>
      <c r="AA880" s="3">
        <v>45720</v>
      </c>
      <c r="AB880" t="s">
        <v>2926</v>
      </c>
      <c r="AC880">
        <v>9</v>
      </c>
    </row>
    <row r="881" spans="1:29" x14ac:dyDescent="0.3">
      <c r="A881" s="3">
        <v>44979</v>
      </c>
      <c r="B881" s="3" t="str">
        <f>TEXT(CleanedTable[[#This Row],[OrderDate]],"mmm")</f>
        <v>Feb</v>
      </c>
      <c r="C881" s="3" t="str">
        <f>TEXT(CleanedTable[[#This Row],[OrderDate]],"yyyy")</f>
        <v>2023</v>
      </c>
      <c r="D881" s="3" t="str">
        <f>TEXT(CleanedTable[[#This Row],[OrderDate]],"mmm yyyy")</f>
        <v>Feb 2023</v>
      </c>
      <c r="E881" t="s">
        <v>19</v>
      </c>
      <c r="F881" t="s">
        <v>30</v>
      </c>
      <c r="G881" s="12">
        <v>14</v>
      </c>
      <c r="H881" s="8">
        <v>346.57</v>
      </c>
      <c r="I881" t="s">
        <v>31</v>
      </c>
      <c r="J881" t="s">
        <v>36</v>
      </c>
      <c r="K881" s="10">
        <v>0.1</v>
      </c>
      <c r="L881" t="s">
        <v>40</v>
      </c>
      <c r="M881">
        <v>4366.7820000000002</v>
      </c>
      <c r="N881">
        <v>2911.1879999999996</v>
      </c>
      <c r="O881" s="10">
        <v>1418.7640000000006</v>
      </c>
      <c r="P881" s="10">
        <v>0.32489920495229679</v>
      </c>
      <c r="Q881" s="8">
        <v>4366.7820000000002</v>
      </c>
      <c r="R881" t="s">
        <v>46</v>
      </c>
      <c r="S881" t="s">
        <v>48</v>
      </c>
      <c r="T881" t="s">
        <v>2931</v>
      </c>
      <c r="U881">
        <v>0</v>
      </c>
      <c r="V881" t="str">
        <f>IF(CleanedTable[[#This Row],[Returned]] = 0,"NO","Yes")</f>
        <v>NO</v>
      </c>
      <c r="W881" t="s">
        <v>930</v>
      </c>
      <c r="X881" t="s">
        <v>2386</v>
      </c>
      <c r="Y881" s="10">
        <v>36.83</v>
      </c>
      <c r="Z881" s="3">
        <v>44979</v>
      </c>
      <c r="AA881" s="3">
        <v>44987</v>
      </c>
      <c r="AB881" t="s">
        <v>2922</v>
      </c>
      <c r="AC881">
        <v>8</v>
      </c>
    </row>
    <row r="882" spans="1:29" x14ac:dyDescent="0.3">
      <c r="A882" s="3">
        <v>45583</v>
      </c>
      <c r="B882" s="3" t="str">
        <f>TEXT(CleanedTable[[#This Row],[OrderDate]],"mmm")</f>
        <v>Oct</v>
      </c>
      <c r="C882" s="3" t="str">
        <f>TEXT(CleanedTable[[#This Row],[OrderDate]],"yyyy")</f>
        <v>2024</v>
      </c>
      <c r="D882" s="3" t="str">
        <f>TEXT(CleanedTable[[#This Row],[OrderDate]],"mmm yyyy")</f>
        <v>Oct 2024</v>
      </c>
      <c r="E882" t="s">
        <v>21</v>
      </c>
      <c r="F882" t="s">
        <v>30</v>
      </c>
      <c r="G882" s="12">
        <v>7</v>
      </c>
      <c r="H882" s="8">
        <v>392.79</v>
      </c>
      <c r="I882" t="s">
        <v>33</v>
      </c>
      <c r="J882" t="s">
        <v>35</v>
      </c>
      <c r="K882" s="10">
        <v>0</v>
      </c>
      <c r="L882" t="s">
        <v>37</v>
      </c>
      <c r="M882">
        <v>2749.53</v>
      </c>
      <c r="N882">
        <v>1649.7180000000001</v>
      </c>
      <c r="O882" s="10">
        <v>1053.9620000000002</v>
      </c>
      <c r="P882" s="10">
        <v>0.38332442271951939</v>
      </c>
      <c r="Q882" s="8">
        <v>2749.53</v>
      </c>
      <c r="R882" t="s">
        <v>44</v>
      </c>
      <c r="S882" t="s">
        <v>50</v>
      </c>
      <c r="T882" t="s">
        <v>2931</v>
      </c>
      <c r="U882">
        <v>0</v>
      </c>
      <c r="V882" t="str">
        <f>IF(CleanedTable[[#This Row],[Returned]] = 0,"NO","Yes")</f>
        <v>NO</v>
      </c>
      <c r="W882" t="s">
        <v>931</v>
      </c>
      <c r="X882" t="s">
        <v>2387</v>
      </c>
      <c r="Y882" s="10">
        <v>45.85</v>
      </c>
      <c r="Z882" s="3">
        <v>45583</v>
      </c>
      <c r="AA882" s="3">
        <v>45593</v>
      </c>
      <c r="AB882" t="s">
        <v>2924</v>
      </c>
      <c r="AC882">
        <v>10</v>
      </c>
    </row>
    <row r="883" spans="1:29" x14ac:dyDescent="0.3">
      <c r="A883" s="3">
        <v>45225</v>
      </c>
      <c r="B883" s="3" t="str">
        <f>TEXT(CleanedTable[[#This Row],[OrderDate]],"mmm")</f>
        <v>Oct</v>
      </c>
      <c r="C883" s="3" t="str">
        <f>TEXT(CleanedTable[[#This Row],[OrderDate]],"yyyy")</f>
        <v>2023</v>
      </c>
      <c r="D883" s="3" t="str">
        <f>TEXT(CleanedTable[[#This Row],[OrderDate]],"mmm yyyy")</f>
        <v>Oct 2023</v>
      </c>
      <c r="E883" t="s">
        <v>23</v>
      </c>
      <c r="F883" t="s">
        <v>30</v>
      </c>
      <c r="G883" s="12">
        <v>16</v>
      </c>
      <c r="H883" s="8">
        <v>70.83</v>
      </c>
      <c r="I883" t="s">
        <v>31</v>
      </c>
      <c r="J883" t="s">
        <v>35</v>
      </c>
      <c r="K883" s="10">
        <v>0.05</v>
      </c>
      <c r="L883" t="s">
        <v>40</v>
      </c>
      <c r="M883">
        <v>1076.616</v>
      </c>
      <c r="N883">
        <v>679.96799999999996</v>
      </c>
      <c r="O883" s="10">
        <v>391.59800000000001</v>
      </c>
      <c r="P883" s="10">
        <v>0.36373042941958883</v>
      </c>
      <c r="Q883" s="8">
        <v>1076.616</v>
      </c>
      <c r="R883" t="s">
        <v>44</v>
      </c>
      <c r="T883" t="s">
        <v>2932</v>
      </c>
      <c r="U883">
        <v>0</v>
      </c>
      <c r="V883" t="str">
        <f>IF(CleanedTable[[#This Row],[Returned]] = 0,"NO","Yes")</f>
        <v>NO</v>
      </c>
      <c r="W883" t="s">
        <v>932</v>
      </c>
      <c r="X883" t="s">
        <v>2388</v>
      </c>
      <c r="Y883" s="10">
        <v>5.05</v>
      </c>
      <c r="Z883" s="3">
        <v>45225</v>
      </c>
      <c r="AA883" s="3">
        <v>45230</v>
      </c>
      <c r="AB883" t="s">
        <v>2926</v>
      </c>
      <c r="AC883">
        <v>5</v>
      </c>
    </row>
    <row r="884" spans="1:29" x14ac:dyDescent="0.3">
      <c r="A884" s="3">
        <v>44936</v>
      </c>
      <c r="B884" s="3" t="str">
        <f>TEXT(CleanedTable[[#This Row],[OrderDate]],"mmm")</f>
        <v>Jan</v>
      </c>
      <c r="C884" s="3" t="str">
        <f>TEXT(CleanedTable[[#This Row],[OrderDate]],"yyyy")</f>
        <v>2023</v>
      </c>
      <c r="D884" s="3" t="str">
        <f>TEXT(CleanedTable[[#This Row],[OrderDate]],"mmm yyyy")</f>
        <v>Jan 2023</v>
      </c>
      <c r="E884" t="s">
        <v>22</v>
      </c>
      <c r="F884" t="s">
        <v>28</v>
      </c>
      <c r="G884" s="12">
        <v>20</v>
      </c>
      <c r="H884" s="8">
        <v>274.37</v>
      </c>
      <c r="I884" t="s">
        <v>31</v>
      </c>
      <c r="J884" t="s">
        <v>36</v>
      </c>
      <c r="K884" s="10">
        <v>0.1</v>
      </c>
      <c r="L884" t="s">
        <v>37</v>
      </c>
      <c r="M884">
        <v>4938.66</v>
      </c>
      <c r="N884">
        <v>3292.4399999999996</v>
      </c>
      <c r="O884" s="10">
        <v>1633.9400000000003</v>
      </c>
      <c r="P884" s="10">
        <v>0.33084682889690731</v>
      </c>
      <c r="Q884" s="8">
        <v>4938.66</v>
      </c>
      <c r="R884" t="s">
        <v>44</v>
      </c>
      <c r="S884" t="s">
        <v>50</v>
      </c>
      <c r="T884" t="s">
        <v>2931</v>
      </c>
      <c r="U884">
        <v>0</v>
      </c>
      <c r="V884" t="str">
        <f>IF(CleanedTable[[#This Row],[Returned]] = 0,"NO","Yes")</f>
        <v>NO</v>
      </c>
      <c r="W884" t="s">
        <v>933</v>
      </c>
      <c r="X884" t="s">
        <v>1824</v>
      </c>
      <c r="Y884" s="10">
        <v>12.28</v>
      </c>
      <c r="Z884" s="3">
        <v>44936</v>
      </c>
      <c r="AA884" s="3">
        <v>44940</v>
      </c>
      <c r="AB884" t="s">
        <v>2925</v>
      </c>
      <c r="AC884">
        <v>4</v>
      </c>
    </row>
    <row r="885" spans="1:29" x14ac:dyDescent="0.3">
      <c r="A885" s="3">
        <v>45370</v>
      </c>
      <c r="B885" s="3" t="str">
        <f>TEXT(CleanedTable[[#This Row],[OrderDate]],"mmm")</f>
        <v>Mar</v>
      </c>
      <c r="C885" s="3" t="str">
        <f>TEXT(CleanedTable[[#This Row],[OrderDate]],"yyyy")</f>
        <v>2024</v>
      </c>
      <c r="D885" s="3" t="str">
        <f>TEXT(CleanedTable[[#This Row],[OrderDate]],"mmm yyyy")</f>
        <v>Mar 2024</v>
      </c>
      <c r="E885" t="s">
        <v>22</v>
      </c>
      <c r="F885" t="s">
        <v>26</v>
      </c>
      <c r="G885" s="12">
        <v>10</v>
      </c>
      <c r="H885" s="8">
        <v>19.73</v>
      </c>
      <c r="I885" t="s">
        <v>34</v>
      </c>
      <c r="J885" t="s">
        <v>36</v>
      </c>
      <c r="K885" s="10">
        <v>0.1</v>
      </c>
      <c r="L885" t="s">
        <v>40</v>
      </c>
      <c r="M885">
        <v>177.57000000000002</v>
      </c>
      <c r="N885">
        <v>118.38</v>
      </c>
      <c r="O885" s="10">
        <v>43.130000000000024</v>
      </c>
      <c r="P885" s="10">
        <v>0.2428901278369095</v>
      </c>
      <c r="Q885" s="8">
        <v>177.57</v>
      </c>
      <c r="R885" t="s">
        <v>46</v>
      </c>
      <c r="T885" t="s">
        <v>2932</v>
      </c>
      <c r="U885">
        <v>0</v>
      </c>
      <c r="V885" t="str">
        <f>IF(CleanedTable[[#This Row],[Returned]] = 0,"NO","Yes")</f>
        <v>NO</v>
      </c>
      <c r="W885" t="s">
        <v>934</v>
      </c>
      <c r="X885" t="s">
        <v>2389</v>
      </c>
      <c r="Y885" s="10">
        <v>16.059999999999999</v>
      </c>
      <c r="Z885" s="3">
        <v>45370</v>
      </c>
      <c r="AA885" s="3">
        <v>45373</v>
      </c>
      <c r="AB885" t="s">
        <v>2925</v>
      </c>
      <c r="AC885">
        <v>3</v>
      </c>
    </row>
    <row r="886" spans="1:29" x14ac:dyDescent="0.3">
      <c r="A886" s="3">
        <v>45280</v>
      </c>
      <c r="B886" s="3" t="str">
        <f>TEXT(CleanedTable[[#This Row],[OrderDate]],"mmm")</f>
        <v>Dec</v>
      </c>
      <c r="C886" s="3" t="str">
        <f>TEXT(CleanedTable[[#This Row],[OrderDate]],"yyyy")</f>
        <v>2023</v>
      </c>
      <c r="D886" s="3" t="str">
        <f>TEXT(CleanedTable[[#This Row],[OrderDate]],"mmm yyyy")</f>
        <v>Dec 2023</v>
      </c>
      <c r="E886" t="s">
        <v>22</v>
      </c>
      <c r="F886" t="s">
        <v>30</v>
      </c>
      <c r="G886" s="12">
        <v>10</v>
      </c>
      <c r="H886" s="8">
        <v>465.72</v>
      </c>
      <c r="I886" t="s">
        <v>31</v>
      </c>
      <c r="J886" t="s">
        <v>35</v>
      </c>
      <c r="K886" s="10">
        <v>0.05</v>
      </c>
      <c r="L886" t="s">
        <v>38</v>
      </c>
      <c r="M886">
        <v>4424.34</v>
      </c>
      <c r="N886">
        <v>2794.32</v>
      </c>
      <c r="O886" s="10">
        <v>1601.8799999999999</v>
      </c>
      <c r="P886" s="10">
        <v>0.36206078194713787</v>
      </c>
      <c r="Q886" s="8">
        <v>4424.34</v>
      </c>
      <c r="R886" t="s">
        <v>43</v>
      </c>
      <c r="S886" t="s">
        <v>48</v>
      </c>
      <c r="T886" t="s">
        <v>2931</v>
      </c>
      <c r="U886">
        <v>0</v>
      </c>
      <c r="V886" t="str">
        <f>IF(CleanedTable[[#This Row],[Returned]] = 0,"NO","Yes")</f>
        <v>NO</v>
      </c>
      <c r="W886" t="s">
        <v>935</v>
      </c>
      <c r="X886" t="s">
        <v>2390</v>
      </c>
      <c r="Y886" s="10">
        <v>28.14</v>
      </c>
      <c r="Z886" s="3">
        <v>45280</v>
      </c>
      <c r="AA886" s="3">
        <v>45286</v>
      </c>
      <c r="AB886" t="s">
        <v>2925</v>
      </c>
      <c r="AC886">
        <v>6</v>
      </c>
    </row>
    <row r="887" spans="1:29" x14ac:dyDescent="0.3">
      <c r="A887" s="3">
        <v>45635</v>
      </c>
      <c r="B887" s="3" t="str">
        <f>TEXT(CleanedTable[[#This Row],[OrderDate]],"mmm")</f>
        <v>Dec</v>
      </c>
      <c r="C887" s="3" t="str">
        <f>TEXT(CleanedTable[[#This Row],[OrderDate]],"yyyy")</f>
        <v>2024</v>
      </c>
      <c r="D887" s="3" t="str">
        <f>TEXT(CleanedTable[[#This Row],[OrderDate]],"mmm yyyy")</f>
        <v>Dec 2024</v>
      </c>
      <c r="E887" t="s">
        <v>22</v>
      </c>
      <c r="F887" t="s">
        <v>28</v>
      </c>
      <c r="G887" s="12">
        <v>19</v>
      </c>
      <c r="H887" s="8">
        <v>62.07</v>
      </c>
      <c r="I887" t="s">
        <v>34</v>
      </c>
      <c r="J887" t="s">
        <v>36</v>
      </c>
      <c r="K887" s="10">
        <v>0.1</v>
      </c>
      <c r="L887" t="s">
        <v>41</v>
      </c>
      <c r="M887">
        <v>1061.3969999999999</v>
      </c>
      <c r="N887">
        <v>707.59799999999996</v>
      </c>
      <c r="O887" s="10">
        <v>338.94899999999996</v>
      </c>
      <c r="P887" s="10">
        <v>0.31934233844640597</v>
      </c>
      <c r="Q887" s="8">
        <v>1061.3969999999999</v>
      </c>
      <c r="R887" t="s">
        <v>46</v>
      </c>
      <c r="S887" t="s">
        <v>48</v>
      </c>
      <c r="T887" t="s">
        <v>2931</v>
      </c>
      <c r="U887">
        <v>0</v>
      </c>
      <c r="V887" t="str">
        <f>IF(CleanedTable[[#This Row],[Returned]] = 0,"NO","Yes")</f>
        <v>NO</v>
      </c>
      <c r="W887" t="s">
        <v>936</v>
      </c>
      <c r="X887" t="s">
        <v>2391</v>
      </c>
      <c r="Y887" s="10">
        <v>14.85</v>
      </c>
      <c r="Z887" s="3">
        <v>45635</v>
      </c>
      <c r="AA887" s="3">
        <v>45645</v>
      </c>
      <c r="AB887" t="s">
        <v>2925</v>
      </c>
      <c r="AC887">
        <v>10</v>
      </c>
    </row>
    <row r="888" spans="1:29" x14ac:dyDescent="0.3">
      <c r="A888" s="3">
        <v>45056</v>
      </c>
      <c r="B888" s="3" t="str">
        <f>TEXT(CleanedTable[[#This Row],[OrderDate]],"mmm")</f>
        <v>May</v>
      </c>
      <c r="C888" s="3" t="str">
        <f>TEXT(CleanedTable[[#This Row],[OrderDate]],"yyyy")</f>
        <v>2023</v>
      </c>
      <c r="D888" s="3" t="str">
        <f>TEXT(CleanedTable[[#This Row],[OrderDate]],"mmm yyyy")</f>
        <v>May 2023</v>
      </c>
      <c r="E888" t="s">
        <v>22</v>
      </c>
      <c r="F888" t="s">
        <v>29</v>
      </c>
      <c r="G888" s="12">
        <v>11</v>
      </c>
      <c r="H888" s="8">
        <v>529.20000000000005</v>
      </c>
      <c r="I888" t="s">
        <v>32</v>
      </c>
      <c r="J888" t="s">
        <v>35</v>
      </c>
      <c r="K888" s="10">
        <v>0.05</v>
      </c>
      <c r="L888" t="s">
        <v>42</v>
      </c>
      <c r="M888">
        <v>5530.14</v>
      </c>
      <c r="N888">
        <v>3492.7200000000003</v>
      </c>
      <c r="O888" s="10">
        <v>2020.64</v>
      </c>
      <c r="P888" s="10">
        <v>0.36538677140180897</v>
      </c>
      <c r="Q888" s="8">
        <v>5530.14</v>
      </c>
      <c r="R888" t="s">
        <v>45</v>
      </c>
      <c r="T888" t="s">
        <v>2932</v>
      </c>
      <c r="U888">
        <v>1</v>
      </c>
      <c r="V888" t="str">
        <f>IF(CleanedTable[[#This Row],[Returned]] = 0,"NO","Yes")</f>
        <v>Yes</v>
      </c>
      <c r="W888" t="s">
        <v>937</v>
      </c>
      <c r="X888" t="s">
        <v>2392</v>
      </c>
      <c r="Y888" s="10">
        <v>16.78</v>
      </c>
      <c r="Z888" s="3">
        <v>45056</v>
      </c>
      <c r="AA888" s="3">
        <v>45066</v>
      </c>
      <c r="AB888" t="s">
        <v>2925</v>
      </c>
      <c r="AC888">
        <v>10</v>
      </c>
    </row>
    <row r="889" spans="1:29" x14ac:dyDescent="0.3">
      <c r="A889" s="3">
        <v>45217</v>
      </c>
      <c r="B889" s="3" t="str">
        <f>TEXT(CleanedTable[[#This Row],[OrderDate]],"mmm")</f>
        <v>Oct</v>
      </c>
      <c r="C889" s="3" t="str">
        <f>TEXT(CleanedTable[[#This Row],[OrderDate]],"yyyy")</f>
        <v>2023</v>
      </c>
      <c r="D889" s="3" t="str">
        <f>TEXT(CleanedTable[[#This Row],[OrderDate]],"mmm yyyy")</f>
        <v>Oct 2023</v>
      </c>
      <c r="E889" t="s">
        <v>20</v>
      </c>
      <c r="F889" t="s">
        <v>28</v>
      </c>
      <c r="G889" s="12">
        <v>7</v>
      </c>
      <c r="H889" s="8">
        <v>387.31</v>
      </c>
      <c r="I889" t="s">
        <v>32</v>
      </c>
      <c r="J889" t="s">
        <v>36</v>
      </c>
      <c r="K889" s="10">
        <v>0.1</v>
      </c>
      <c r="L889" t="s">
        <v>42</v>
      </c>
      <c r="M889">
        <v>2440.0530000000003</v>
      </c>
      <c r="N889">
        <v>1626.702</v>
      </c>
      <c r="O889" s="10">
        <v>798.59100000000035</v>
      </c>
      <c r="P889" s="10">
        <v>0.32728428439874063</v>
      </c>
      <c r="Q889" s="8">
        <v>2440.0529999999999</v>
      </c>
      <c r="R889" t="s">
        <v>47</v>
      </c>
      <c r="S889" t="s">
        <v>50</v>
      </c>
      <c r="T889" t="s">
        <v>2931</v>
      </c>
      <c r="U889">
        <v>0</v>
      </c>
      <c r="V889" t="str">
        <f>IF(CleanedTable[[#This Row],[Returned]] = 0,"NO","Yes")</f>
        <v>NO</v>
      </c>
      <c r="W889" t="s">
        <v>938</v>
      </c>
      <c r="X889" t="s">
        <v>2393</v>
      </c>
      <c r="Y889" s="10">
        <v>14.76</v>
      </c>
      <c r="Z889" s="3">
        <v>45217</v>
      </c>
      <c r="AA889" s="3">
        <v>45220</v>
      </c>
      <c r="AB889" t="s">
        <v>2923</v>
      </c>
      <c r="AC889">
        <v>3</v>
      </c>
    </row>
    <row r="890" spans="1:29" x14ac:dyDescent="0.3">
      <c r="A890" s="3">
        <v>45629</v>
      </c>
      <c r="B890" s="3" t="str">
        <f>TEXT(CleanedTable[[#This Row],[OrderDate]],"mmm")</f>
        <v>Dec</v>
      </c>
      <c r="C890" s="3" t="str">
        <f>TEXT(CleanedTable[[#This Row],[OrderDate]],"yyyy")</f>
        <v>2024</v>
      </c>
      <c r="D890" s="3" t="str">
        <f>TEXT(CleanedTable[[#This Row],[OrderDate]],"mmm yyyy")</f>
        <v>Dec 2024</v>
      </c>
      <c r="E890" t="s">
        <v>20</v>
      </c>
      <c r="F890" t="s">
        <v>25</v>
      </c>
      <c r="G890" s="12">
        <v>1</v>
      </c>
      <c r="H890" s="8">
        <v>152.75</v>
      </c>
      <c r="I890" t="s">
        <v>32</v>
      </c>
      <c r="J890" t="s">
        <v>35</v>
      </c>
      <c r="K890" s="10">
        <v>0</v>
      </c>
      <c r="L890" t="s">
        <v>42</v>
      </c>
      <c r="M890">
        <v>152.75</v>
      </c>
      <c r="N890">
        <v>91.649999999999991</v>
      </c>
      <c r="O890" s="10">
        <v>51.490000000000009</v>
      </c>
      <c r="P890" s="10">
        <v>0.3370867430441899</v>
      </c>
      <c r="Q890" s="8">
        <v>152.75</v>
      </c>
      <c r="R890" t="s">
        <v>45</v>
      </c>
      <c r="S890" t="s">
        <v>48</v>
      </c>
      <c r="T890" t="s">
        <v>2931</v>
      </c>
      <c r="U890">
        <v>1</v>
      </c>
      <c r="V890" t="str">
        <f>IF(CleanedTable[[#This Row],[Returned]] = 0,"NO","Yes")</f>
        <v>Yes</v>
      </c>
      <c r="W890" t="s">
        <v>939</v>
      </c>
      <c r="X890" t="s">
        <v>2394</v>
      </c>
      <c r="Y890" s="10">
        <v>9.61</v>
      </c>
      <c r="Z890" s="3">
        <v>45629</v>
      </c>
      <c r="AA890" s="3">
        <v>45632</v>
      </c>
      <c r="AB890" t="s">
        <v>2923</v>
      </c>
      <c r="AC890">
        <v>3</v>
      </c>
    </row>
    <row r="891" spans="1:29" x14ac:dyDescent="0.3">
      <c r="A891" s="3">
        <v>45575</v>
      </c>
      <c r="B891" s="3" t="str">
        <f>TEXT(CleanedTable[[#This Row],[OrderDate]],"mmm")</f>
        <v>Oct</v>
      </c>
      <c r="C891" s="3" t="str">
        <f>TEXT(CleanedTable[[#This Row],[OrderDate]],"yyyy")</f>
        <v>2024</v>
      </c>
      <c r="D891" s="3" t="str">
        <f>TEXT(CleanedTable[[#This Row],[OrderDate]],"mmm yyyy")</f>
        <v>Oct 2024</v>
      </c>
      <c r="E891" t="s">
        <v>20</v>
      </c>
      <c r="F891" t="s">
        <v>27</v>
      </c>
      <c r="G891" s="12">
        <v>8</v>
      </c>
      <c r="H891" s="8">
        <v>72.48</v>
      </c>
      <c r="I891" t="s">
        <v>32</v>
      </c>
      <c r="J891" t="s">
        <v>35</v>
      </c>
      <c r="K891" s="10">
        <v>0.1</v>
      </c>
      <c r="L891" t="s">
        <v>40</v>
      </c>
      <c r="M891">
        <v>521.85599999999999</v>
      </c>
      <c r="N891">
        <v>347.904</v>
      </c>
      <c r="O891" s="10">
        <v>147.03199999999998</v>
      </c>
      <c r="P891" s="10">
        <v>0.28174822173166542</v>
      </c>
      <c r="Q891" s="8">
        <v>521.85599999999999</v>
      </c>
      <c r="R891" t="s">
        <v>46</v>
      </c>
      <c r="T891" t="s">
        <v>2932</v>
      </c>
      <c r="U891">
        <v>1</v>
      </c>
      <c r="V891" t="str">
        <f>IF(CleanedTable[[#This Row],[Returned]] = 0,"NO","Yes")</f>
        <v>Yes</v>
      </c>
      <c r="W891" t="s">
        <v>940</v>
      </c>
      <c r="X891" t="s">
        <v>2395</v>
      </c>
      <c r="Y891" s="10">
        <v>26.92</v>
      </c>
      <c r="Z891" s="3">
        <v>45575</v>
      </c>
      <c r="AA891" s="3">
        <v>45582</v>
      </c>
      <c r="AB891" t="s">
        <v>2923</v>
      </c>
      <c r="AC891">
        <v>7</v>
      </c>
    </row>
    <row r="892" spans="1:29" x14ac:dyDescent="0.3">
      <c r="A892" s="3">
        <v>45446</v>
      </c>
      <c r="B892" s="3" t="str">
        <f>TEXT(CleanedTable[[#This Row],[OrderDate]],"mmm")</f>
        <v>Jun</v>
      </c>
      <c r="C892" s="3" t="str">
        <f>TEXT(CleanedTable[[#This Row],[OrderDate]],"yyyy")</f>
        <v>2024</v>
      </c>
      <c r="D892" s="3" t="str">
        <f>TEXT(CleanedTable[[#This Row],[OrderDate]],"mmm yyyy")</f>
        <v>Jun 2024</v>
      </c>
      <c r="E892" t="s">
        <v>19</v>
      </c>
      <c r="F892" t="s">
        <v>25</v>
      </c>
      <c r="G892" s="12">
        <v>4</v>
      </c>
      <c r="H892" s="8">
        <v>194.09</v>
      </c>
      <c r="I892" t="s">
        <v>34</v>
      </c>
      <c r="J892" t="s">
        <v>35</v>
      </c>
      <c r="K892" s="10">
        <v>0.1</v>
      </c>
      <c r="L892" t="s">
        <v>37</v>
      </c>
      <c r="M892">
        <v>698.72400000000005</v>
      </c>
      <c r="N892">
        <v>465.81599999999997</v>
      </c>
      <c r="O892" s="10">
        <v>206.55800000000008</v>
      </c>
      <c r="P892" s="10">
        <v>0.29562173333104352</v>
      </c>
      <c r="Q892" s="8">
        <v>698.72400000000005</v>
      </c>
      <c r="R892" t="s">
        <v>45</v>
      </c>
      <c r="S892" t="s">
        <v>50</v>
      </c>
      <c r="T892" t="s">
        <v>2931</v>
      </c>
      <c r="U892">
        <v>0</v>
      </c>
      <c r="V892" t="str">
        <f>IF(CleanedTable[[#This Row],[Returned]] = 0,"NO","Yes")</f>
        <v>NO</v>
      </c>
      <c r="W892" t="s">
        <v>941</v>
      </c>
      <c r="X892" t="s">
        <v>2396</v>
      </c>
      <c r="Y892" s="10">
        <v>26.35</v>
      </c>
      <c r="Z892" s="3">
        <v>45446</v>
      </c>
      <c r="AA892" s="3">
        <v>45450</v>
      </c>
      <c r="AB892" t="s">
        <v>2922</v>
      </c>
      <c r="AC892">
        <v>4</v>
      </c>
    </row>
    <row r="893" spans="1:29" x14ac:dyDescent="0.3">
      <c r="A893" s="3">
        <v>45742</v>
      </c>
      <c r="B893" s="3" t="str">
        <f>TEXT(CleanedTable[[#This Row],[OrderDate]],"mmm")</f>
        <v>Mar</v>
      </c>
      <c r="C893" s="3" t="str">
        <f>TEXT(CleanedTable[[#This Row],[OrderDate]],"yyyy")</f>
        <v>2025</v>
      </c>
      <c r="D893" s="3" t="str">
        <f>TEXT(CleanedTable[[#This Row],[OrderDate]],"mmm yyyy")</f>
        <v>Mar 2025</v>
      </c>
      <c r="E893" t="s">
        <v>20</v>
      </c>
      <c r="F893" t="s">
        <v>25</v>
      </c>
      <c r="G893" s="12">
        <v>3</v>
      </c>
      <c r="H893" s="8">
        <v>159.30000000000001</v>
      </c>
      <c r="I893" t="s">
        <v>31</v>
      </c>
      <c r="J893" t="s">
        <v>35</v>
      </c>
      <c r="K893" s="10">
        <v>0.05</v>
      </c>
      <c r="L893" t="s">
        <v>37</v>
      </c>
      <c r="M893">
        <v>454.005</v>
      </c>
      <c r="N893">
        <v>286.74</v>
      </c>
      <c r="O893" s="10">
        <v>121.92499999999998</v>
      </c>
      <c r="P893" s="10">
        <v>0.26855431107586919</v>
      </c>
      <c r="Q893" s="8">
        <v>454.005</v>
      </c>
      <c r="R893" t="s">
        <v>45</v>
      </c>
      <c r="S893" t="s">
        <v>49</v>
      </c>
      <c r="T893" t="s">
        <v>2931</v>
      </c>
      <c r="U893">
        <v>1</v>
      </c>
      <c r="V893" t="str">
        <f>IF(CleanedTable[[#This Row],[Returned]] = 0,"NO","Yes")</f>
        <v>Yes</v>
      </c>
      <c r="W893" t="s">
        <v>942</v>
      </c>
      <c r="X893" t="s">
        <v>2397</v>
      </c>
      <c r="Y893" s="10">
        <v>45.34</v>
      </c>
      <c r="Z893" s="3">
        <v>45742</v>
      </c>
      <c r="AA893" s="3">
        <v>45745</v>
      </c>
      <c r="AB893" t="s">
        <v>2923</v>
      </c>
      <c r="AC893">
        <v>3</v>
      </c>
    </row>
    <row r="894" spans="1:29" x14ac:dyDescent="0.3">
      <c r="A894" s="3">
        <v>45408</v>
      </c>
      <c r="B894" s="3" t="str">
        <f>TEXT(CleanedTable[[#This Row],[OrderDate]],"mmm")</f>
        <v>Apr</v>
      </c>
      <c r="C894" s="3" t="str">
        <f>TEXT(CleanedTable[[#This Row],[OrderDate]],"yyyy")</f>
        <v>2024</v>
      </c>
      <c r="D894" s="3" t="str">
        <f>TEXT(CleanedTable[[#This Row],[OrderDate]],"mmm yyyy")</f>
        <v>Apr 2024</v>
      </c>
      <c r="E894" t="s">
        <v>21</v>
      </c>
      <c r="F894" t="s">
        <v>28</v>
      </c>
      <c r="G894" s="12">
        <v>4</v>
      </c>
      <c r="H894" s="8">
        <v>303.37</v>
      </c>
      <c r="I894" t="s">
        <v>32</v>
      </c>
      <c r="J894" t="s">
        <v>36</v>
      </c>
      <c r="K894" s="10">
        <v>0.1</v>
      </c>
      <c r="L894" t="s">
        <v>40</v>
      </c>
      <c r="M894">
        <v>1092.1320000000001</v>
      </c>
      <c r="N894">
        <v>728.08799999999997</v>
      </c>
      <c r="O894" s="10">
        <v>333.8540000000001</v>
      </c>
      <c r="P894" s="10">
        <v>0.30569015466994842</v>
      </c>
      <c r="Q894" s="8">
        <v>1092.1320000000001</v>
      </c>
      <c r="R894" t="s">
        <v>44</v>
      </c>
      <c r="S894" t="s">
        <v>50</v>
      </c>
      <c r="T894" t="s">
        <v>2931</v>
      </c>
      <c r="U894">
        <v>0</v>
      </c>
      <c r="V894" t="str">
        <f>IF(CleanedTable[[#This Row],[Returned]] = 0,"NO","Yes")</f>
        <v>NO</v>
      </c>
      <c r="W894" t="s">
        <v>943</v>
      </c>
      <c r="X894" t="s">
        <v>2398</v>
      </c>
      <c r="Y894" s="10">
        <v>30.19</v>
      </c>
      <c r="Z894" s="3">
        <v>45408</v>
      </c>
      <c r="AA894" s="3">
        <v>45413</v>
      </c>
      <c r="AB894" t="s">
        <v>2924</v>
      </c>
      <c r="AC894">
        <v>5</v>
      </c>
    </row>
    <row r="895" spans="1:29" x14ac:dyDescent="0.3">
      <c r="A895" s="3">
        <v>45051</v>
      </c>
      <c r="B895" s="3" t="str">
        <f>TEXT(CleanedTable[[#This Row],[OrderDate]],"mmm")</f>
        <v>May</v>
      </c>
      <c r="C895" s="3" t="str">
        <f>TEXT(CleanedTable[[#This Row],[OrderDate]],"yyyy")</f>
        <v>2023</v>
      </c>
      <c r="D895" s="3" t="str">
        <f>TEXT(CleanedTable[[#This Row],[OrderDate]],"mmm yyyy")</f>
        <v>May 2023</v>
      </c>
      <c r="E895" t="s">
        <v>23</v>
      </c>
      <c r="F895" t="s">
        <v>27</v>
      </c>
      <c r="G895" s="12">
        <v>16</v>
      </c>
      <c r="H895" s="8">
        <v>541.96</v>
      </c>
      <c r="I895" t="s">
        <v>33</v>
      </c>
      <c r="J895" t="s">
        <v>36</v>
      </c>
      <c r="K895" s="10">
        <v>0.1</v>
      </c>
      <c r="L895" t="s">
        <v>37</v>
      </c>
      <c r="M895">
        <v>7804.2240000000011</v>
      </c>
      <c r="N895">
        <v>5202.8159999999998</v>
      </c>
      <c r="O895" s="10">
        <v>2591.4780000000014</v>
      </c>
      <c r="P895" s="10">
        <v>0.33206094545722947</v>
      </c>
      <c r="Q895" s="8">
        <v>7804.2240000000011</v>
      </c>
      <c r="R895" t="s">
        <v>47</v>
      </c>
      <c r="S895" t="s">
        <v>49</v>
      </c>
      <c r="T895" t="s">
        <v>2931</v>
      </c>
      <c r="U895">
        <v>1</v>
      </c>
      <c r="V895" t="str">
        <f>IF(CleanedTable[[#This Row],[Returned]] = 0,"NO","Yes")</f>
        <v>Yes</v>
      </c>
      <c r="W895" t="s">
        <v>944</v>
      </c>
      <c r="X895" t="s">
        <v>2399</v>
      </c>
      <c r="Y895" s="10">
        <v>9.93</v>
      </c>
      <c r="Z895" s="3">
        <v>45051</v>
      </c>
      <c r="AA895" s="3">
        <v>45059</v>
      </c>
      <c r="AB895" t="s">
        <v>2926</v>
      </c>
      <c r="AC895">
        <v>8</v>
      </c>
    </row>
    <row r="896" spans="1:29" x14ac:dyDescent="0.3">
      <c r="A896" s="3">
        <v>45192</v>
      </c>
      <c r="B896" s="3" t="str">
        <f>TEXT(CleanedTable[[#This Row],[OrderDate]],"mmm")</f>
        <v>Sep</v>
      </c>
      <c r="C896" s="3" t="str">
        <f>TEXT(CleanedTable[[#This Row],[OrderDate]],"yyyy")</f>
        <v>2023</v>
      </c>
      <c r="D896" s="3" t="str">
        <f>TEXT(CleanedTable[[#This Row],[OrderDate]],"mmm yyyy")</f>
        <v>Sep 2023</v>
      </c>
      <c r="E896" t="s">
        <v>23</v>
      </c>
      <c r="F896" t="s">
        <v>26</v>
      </c>
      <c r="G896" s="12">
        <v>7</v>
      </c>
      <c r="H896" s="8">
        <v>41.57</v>
      </c>
      <c r="I896" t="s">
        <v>34</v>
      </c>
      <c r="J896" t="s">
        <v>36</v>
      </c>
      <c r="K896" s="10">
        <v>0</v>
      </c>
      <c r="L896" t="s">
        <v>40</v>
      </c>
      <c r="M896">
        <v>290.99</v>
      </c>
      <c r="N896">
        <v>174.59399999999999</v>
      </c>
      <c r="O896" s="10">
        <v>99.806000000000012</v>
      </c>
      <c r="P896" s="10">
        <v>0.34298773153716627</v>
      </c>
      <c r="Q896" s="8">
        <v>290.99</v>
      </c>
      <c r="R896" t="s">
        <v>43</v>
      </c>
      <c r="T896" t="s">
        <v>2932</v>
      </c>
      <c r="U896">
        <v>0</v>
      </c>
      <c r="V896" t="str">
        <f>IF(CleanedTable[[#This Row],[Returned]] = 0,"NO","Yes")</f>
        <v>NO</v>
      </c>
      <c r="W896" t="s">
        <v>945</v>
      </c>
      <c r="X896" t="s">
        <v>2400</v>
      </c>
      <c r="Y896" s="10">
        <v>16.59</v>
      </c>
      <c r="Z896" s="3">
        <v>45192</v>
      </c>
      <c r="AA896" s="3">
        <v>45198</v>
      </c>
      <c r="AB896" t="s">
        <v>2926</v>
      </c>
      <c r="AC896">
        <v>6</v>
      </c>
    </row>
    <row r="897" spans="1:29" x14ac:dyDescent="0.3">
      <c r="A897" s="3">
        <v>45724</v>
      </c>
      <c r="B897" s="3" t="str">
        <f>TEXT(CleanedTable[[#This Row],[OrderDate]],"mmm")</f>
        <v>Mar</v>
      </c>
      <c r="C897" s="3" t="str">
        <f>TEXT(CleanedTable[[#This Row],[OrderDate]],"yyyy")</f>
        <v>2025</v>
      </c>
      <c r="D897" s="3" t="str">
        <f>TEXT(CleanedTable[[#This Row],[OrderDate]],"mmm yyyy")</f>
        <v>Mar 2025</v>
      </c>
      <c r="E897" t="s">
        <v>20</v>
      </c>
      <c r="F897" t="s">
        <v>28</v>
      </c>
      <c r="G897" s="12">
        <v>16</v>
      </c>
      <c r="H897" s="8">
        <v>217.74</v>
      </c>
      <c r="I897" t="s">
        <v>32</v>
      </c>
      <c r="J897" t="s">
        <v>35</v>
      </c>
      <c r="K897" s="10">
        <v>0.15</v>
      </c>
      <c r="L897" t="s">
        <v>39</v>
      </c>
      <c r="M897">
        <v>2961.2640000000001</v>
      </c>
      <c r="N897">
        <v>2090.3040000000001</v>
      </c>
      <c r="O897" s="10">
        <v>845.85</v>
      </c>
      <c r="P897" s="10">
        <v>0.28563815992089864</v>
      </c>
      <c r="Q897" s="8">
        <v>2961.2640000000001</v>
      </c>
      <c r="R897" t="s">
        <v>47</v>
      </c>
      <c r="S897" t="s">
        <v>48</v>
      </c>
      <c r="T897" t="s">
        <v>2931</v>
      </c>
      <c r="U897">
        <v>1</v>
      </c>
      <c r="V897" t="str">
        <f>IF(CleanedTable[[#This Row],[Returned]] = 0,"NO","Yes")</f>
        <v>Yes</v>
      </c>
      <c r="W897" t="s">
        <v>946</v>
      </c>
      <c r="X897" t="s">
        <v>2401</v>
      </c>
      <c r="Y897" s="10">
        <v>25.11</v>
      </c>
      <c r="Z897" s="3">
        <v>45724</v>
      </c>
      <c r="AA897" s="3">
        <v>45731</v>
      </c>
      <c r="AB897" t="s">
        <v>2923</v>
      </c>
      <c r="AC897">
        <v>7</v>
      </c>
    </row>
    <row r="898" spans="1:29" x14ac:dyDescent="0.3">
      <c r="A898" s="3">
        <v>44943</v>
      </c>
      <c r="B898" s="3" t="str">
        <f>TEXT(CleanedTable[[#This Row],[OrderDate]],"mmm")</f>
        <v>Jan</v>
      </c>
      <c r="C898" s="3" t="str">
        <f>TEXT(CleanedTable[[#This Row],[OrderDate]],"yyyy")</f>
        <v>2023</v>
      </c>
      <c r="D898" s="3" t="str">
        <f>TEXT(CleanedTable[[#This Row],[OrderDate]],"mmm yyyy")</f>
        <v>Jan 2023</v>
      </c>
      <c r="E898" t="s">
        <v>21</v>
      </c>
      <c r="F898" t="s">
        <v>30</v>
      </c>
      <c r="G898" s="12">
        <v>15</v>
      </c>
      <c r="H898" s="8">
        <v>19.170000000000002</v>
      </c>
      <c r="I898" t="s">
        <v>32</v>
      </c>
      <c r="J898" t="s">
        <v>35</v>
      </c>
      <c r="K898" s="10">
        <v>0</v>
      </c>
      <c r="L898" t="s">
        <v>40</v>
      </c>
      <c r="M898">
        <v>287.55</v>
      </c>
      <c r="N898">
        <v>172.53</v>
      </c>
      <c r="O898" s="10">
        <v>66.09</v>
      </c>
      <c r="P898" s="10">
        <v>0.22983828899321856</v>
      </c>
      <c r="Q898" s="8">
        <v>287.55</v>
      </c>
      <c r="R898" t="s">
        <v>44</v>
      </c>
      <c r="S898" t="s">
        <v>48</v>
      </c>
      <c r="T898" t="s">
        <v>2931</v>
      </c>
      <c r="U898">
        <v>1</v>
      </c>
      <c r="V898" t="str">
        <f>IF(CleanedTable[[#This Row],[Returned]] = 0,"NO","Yes")</f>
        <v>Yes</v>
      </c>
      <c r="W898" t="s">
        <v>947</v>
      </c>
      <c r="X898" t="s">
        <v>2402</v>
      </c>
      <c r="Y898" s="10">
        <v>48.93</v>
      </c>
      <c r="Z898" s="3">
        <v>44943</v>
      </c>
      <c r="AA898" s="3">
        <v>44953</v>
      </c>
      <c r="AB898" t="s">
        <v>2924</v>
      </c>
      <c r="AC898">
        <v>10</v>
      </c>
    </row>
    <row r="899" spans="1:29" x14ac:dyDescent="0.3">
      <c r="A899" s="3">
        <v>45045</v>
      </c>
      <c r="B899" s="3" t="str">
        <f>TEXT(CleanedTable[[#This Row],[OrderDate]],"mmm")</f>
        <v>Apr</v>
      </c>
      <c r="C899" s="3" t="str">
        <f>TEXT(CleanedTable[[#This Row],[OrderDate]],"yyyy")</f>
        <v>2023</v>
      </c>
      <c r="D899" s="3" t="str">
        <f>TEXT(CleanedTable[[#This Row],[OrderDate]],"mmm yyyy")</f>
        <v>Apr 2023</v>
      </c>
      <c r="E899" t="s">
        <v>22</v>
      </c>
      <c r="F899" t="s">
        <v>28</v>
      </c>
      <c r="G899" s="12">
        <v>15</v>
      </c>
      <c r="H899" s="8">
        <v>293.33999999999997</v>
      </c>
      <c r="I899" t="s">
        <v>34</v>
      </c>
      <c r="J899" t="s">
        <v>36</v>
      </c>
      <c r="K899" s="10">
        <v>0.1</v>
      </c>
      <c r="L899" t="s">
        <v>37</v>
      </c>
      <c r="M899">
        <v>3960.0899999999997</v>
      </c>
      <c r="N899">
        <v>2640.06</v>
      </c>
      <c r="O899" s="10">
        <v>1298.9999999999998</v>
      </c>
      <c r="P899" s="10">
        <v>0.32802284796557651</v>
      </c>
      <c r="Q899" s="8">
        <v>3960.09</v>
      </c>
      <c r="R899" t="s">
        <v>45</v>
      </c>
      <c r="S899" t="s">
        <v>50</v>
      </c>
      <c r="T899" t="s">
        <v>2931</v>
      </c>
      <c r="U899">
        <v>0</v>
      </c>
      <c r="V899" t="str">
        <f>IF(CleanedTable[[#This Row],[Returned]] = 0,"NO","Yes")</f>
        <v>NO</v>
      </c>
      <c r="W899" t="s">
        <v>948</v>
      </c>
      <c r="X899" t="s">
        <v>2403</v>
      </c>
      <c r="Y899" s="10">
        <v>21.03</v>
      </c>
      <c r="Z899" s="3">
        <v>45045</v>
      </c>
      <c r="AA899" s="3">
        <v>45047</v>
      </c>
      <c r="AB899" t="s">
        <v>2925</v>
      </c>
      <c r="AC899">
        <v>2</v>
      </c>
    </row>
    <row r="900" spans="1:29" x14ac:dyDescent="0.3">
      <c r="A900" s="3">
        <v>45704</v>
      </c>
      <c r="B900" s="3" t="str">
        <f>TEXT(CleanedTable[[#This Row],[OrderDate]],"mmm")</f>
        <v>Feb</v>
      </c>
      <c r="C900" s="3" t="str">
        <f>TEXT(CleanedTable[[#This Row],[OrderDate]],"yyyy")</f>
        <v>2025</v>
      </c>
      <c r="D900" s="3" t="str">
        <f>TEXT(CleanedTable[[#This Row],[OrderDate]],"mmm yyyy")</f>
        <v>Feb 2025</v>
      </c>
      <c r="E900" t="s">
        <v>20</v>
      </c>
      <c r="F900" t="s">
        <v>30</v>
      </c>
      <c r="G900" s="12">
        <v>18</v>
      </c>
      <c r="H900" s="8">
        <v>204.58</v>
      </c>
      <c r="I900" t="s">
        <v>33</v>
      </c>
      <c r="J900" t="s">
        <v>36</v>
      </c>
      <c r="K900" s="10">
        <v>0.1</v>
      </c>
      <c r="L900" t="s">
        <v>41</v>
      </c>
      <c r="M900">
        <v>3314.1959999999999</v>
      </c>
      <c r="N900">
        <v>2209.4639999999999</v>
      </c>
      <c r="O900" s="10">
        <v>1088.692</v>
      </c>
      <c r="P900" s="10">
        <v>0.32849354715291434</v>
      </c>
      <c r="Q900" s="8">
        <v>3314.1959999999999</v>
      </c>
      <c r="R900" t="s">
        <v>47</v>
      </c>
      <c r="T900" t="s">
        <v>2932</v>
      </c>
      <c r="U900">
        <v>0</v>
      </c>
      <c r="V900" t="str">
        <f>IF(CleanedTable[[#This Row],[Returned]] = 0,"NO","Yes")</f>
        <v>NO</v>
      </c>
      <c r="W900" t="s">
        <v>949</v>
      </c>
      <c r="X900" t="s">
        <v>2404</v>
      </c>
      <c r="Y900" s="10">
        <v>16.04</v>
      </c>
      <c r="Z900" s="3">
        <v>45704</v>
      </c>
      <c r="AA900" s="3">
        <v>45710</v>
      </c>
      <c r="AB900" t="s">
        <v>2923</v>
      </c>
      <c r="AC900">
        <v>6</v>
      </c>
    </row>
    <row r="901" spans="1:29" x14ac:dyDescent="0.3">
      <c r="A901" s="3">
        <v>45082</v>
      </c>
      <c r="B901" s="3" t="str">
        <f>TEXT(CleanedTable[[#This Row],[OrderDate]],"mmm")</f>
        <v>Jun</v>
      </c>
      <c r="C901" s="3" t="str">
        <f>TEXT(CleanedTable[[#This Row],[OrderDate]],"yyyy")</f>
        <v>2023</v>
      </c>
      <c r="D901" s="3" t="str">
        <f>TEXT(CleanedTable[[#This Row],[OrderDate]],"mmm yyyy")</f>
        <v>Jun 2023</v>
      </c>
      <c r="E901" t="s">
        <v>19</v>
      </c>
      <c r="F901" t="s">
        <v>30</v>
      </c>
      <c r="G901" s="12">
        <v>15</v>
      </c>
      <c r="H901" s="8">
        <v>324.58</v>
      </c>
      <c r="I901" t="s">
        <v>32</v>
      </c>
      <c r="J901" t="s">
        <v>36</v>
      </c>
      <c r="K901" s="10">
        <v>0.15</v>
      </c>
      <c r="L901" t="s">
        <v>41</v>
      </c>
      <c r="M901">
        <v>4138.3949999999995</v>
      </c>
      <c r="N901">
        <v>2921.22</v>
      </c>
      <c r="O901" s="10">
        <v>1192.6049999999998</v>
      </c>
      <c r="P901" s="10">
        <v>0.28818056275440113</v>
      </c>
      <c r="Q901" s="8">
        <v>4138.3950000000004</v>
      </c>
      <c r="R901" t="s">
        <v>46</v>
      </c>
      <c r="T901" t="s">
        <v>2932</v>
      </c>
      <c r="U901">
        <v>0</v>
      </c>
      <c r="V901" t="str">
        <f>IF(CleanedTable[[#This Row],[Returned]] = 0,"NO","Yes")</f>
        <v>NO</v>
      </c>
      <c r="W901" t="s">
        <v>950</v>
      </c>
      <c r="X901" t="s">
        <v>2405</v>
      </c>
      <c r="Y901" s="10">
        <v>24.57</v>
      </c>
      <c r="Z901" s="3">
        <v>45082</v>
      </c>
      <c r="AA901" s="3">
        <v>45086</v>
      </c>
      <c r="AB901" t="s">
        <v>2922</v>
      </c>
      <c r="AC901">
        <v>4</v>
      </c>
    </row>
    <row r="902" spans="1:29" x14ac:dyDescent="0.3">
      <c r="A902" s="3">
        <v>45166</v>
      </c>
      <c r="B902" s="3" t="str">
        <f>TEXT(CleanedTable[[#This Row],[OrderDate]],"mmm")</f>
        <v>Aug</v>
      </c>
      <c r="C902" s="3" t="str">
        <f>TEXT(CleanedTable[[#This Row],[OrderDate]],"yyyy")</f>
        <v>2023</v>
      </c>
      <c r="D902" s="3" t="str">
        <f>TEXT(CleanedTable[[#This Row],[OrderDate]],"mmm yyyy")</f>
        <v>Aug 2023</v>
      </c>
      <c r="E902" t="s">
        <v>20</v>
      </c>
      <c r="F902" t="s">
        <v>25</v>
      </c>
      <c r="G902" s="12">
        <v>11</v>
      </c>
      <c r="H902" s="8">
        <v>393.61</v>
      </c>
      <c r="I902" t="s">
        <v>34</v>
      </c>
      <c r="J902" t="s">
        <v>35</v>
      </c>
      <c r="K902" s="10">
        <v>0.05</v>
      </c>
      <c r="L902" t="s">
        <v>39</v>
      </c>
      <c r="M902">
        <v>4113.2245000000003</v>
      </c>
      <c r="N902">
        <v>2597.826</v>
      </c>
      <c r="O902" s="10">
        <v>1482.8285000000003</v>
      </c>
      <c r="P902" s="10">
        <v>0.36050269077216673</v>
      </c>
      <c r="Q902" s="8">
        <v>4113.2245000000003</v>
      </c>
      <c r="R902" t="s">
        <v>46</v>
      </c>
      <c r="S902" t="s">
        <v>50</v>
      </c>
      <c r="T902" t="s">
        <v>2931</v>
      </c>
      <c r="U902">
        <v>0</v>
      </c>
      <c r="V902" t="str">
        <f>IF(CleanedTable[[#This Row],[Returned]] = 0,"NO","Yes")</f>
        <v>NO</v>
      </c>
      <c r="W902" t="s">
        <v>951</v>
      </c>
      <c r="X902" t="s">
        <v>2406</v>
      </c>
      <c r="Y902" s="10">
        <v>32.57</v>
      </c>
      <c r="Z902" s="3">
        <v>45166</v>
      </c>
      <c r="AA902" s="3">
        <v>45175</v>
      </c>
      <c r="AB902" t="s">
        <v>2923</v>
      </c>
      <c r="AC902">
        <v>9</v>
      </c>
    </row>
    <row r="903" spans="1:29" x14ac:dyDescent="0.3">
      <c r="A903" s="3">
        <v>45139</v>
      </c>
      <c r="B903" s="3" t="str">
        <f>TEXT(CleanedTable[[#This Row],[OrderDate]],"mmm")</f>
        <v>Aug</v>
      </c>
      <c r="C903" s="3" t="str">
        <f>TEXT(CleanedTable[[#This Row],[OrderDate]],"yyyy")</f>
        <v>2023</v>
      </c>
      <c r="D903" s="3" t="str">
        <f>TEXT(CleanedTable[[#This Row],[OrderDate]],"mmm yyyy")</f>
        <v>Aug 2023</v>
      </c>
      <c r="E903" t="s">
        <v>21</v>
      </c>
      <c r="F903" t="s">
        <v>30</v>
      </c>
      <c r="G903" s="12">
        <v>8</v>
      </c>
      <c r="H903" s="8">
        <v>141.28</v>
      </c>
      <c r="I903" t="s">
        <v>34</v>
      </c>
      <c r="J903" t="s">
        <v>35</v>
      </c>
      <c r="K903" s="10">
        <v>0.05</v>
      </c>
      <c r="L903" t="s">
        <v>39</v>
      </c>
      <c r="M903">
        <v>1073.7280000000001</v>
      </c>
      <c r="N903">
        <v>678.14400000000001</v>
      </c>
      <c r="O903" s="10">
        <v>366.89400000000006</v>
      </c>
      <c r="P903" s="10">
        <v>0.34170106395660732</v>
      </c>
      <c r="Q903" s="8">
        <v>1073.7280000000001</v>
      </c>
      <c r="R903" t="s">
        <v>43</v>
      </c>
      <c r="S903" t="s">
        <v>48</v>
      </c>
      <c r="T903" t="s">
        <v>2931</v>
      </c>
      <c r="U903">
        <v>0</v>
      </c>
      <c r="V903" t="str">
        <f>IF(CleanedTable[[#This Row],[Returned]] = 0,"NO","Yes")</f>
        <v>NO</v>
      </c>
      <c r="W903" t="s">
        <v>952</v>
      </c>
      <c r="X903" t="s">
        <v>2253</v>
      </c>
      <c r="Y903" s="10">
        <v>28.69</v>
      </c>
      <c r="Z903" s="3">
        <v>45139</v>
      </c>
      <c r="AA903" s="3">
        <v>45148</v>
      </c>
      <c r="AB903" t="s">
        <v>2924</v>
      </c>
      <c r="AC903">
        <v>9</v>
      </c>
    </row>
    <row r="904" spans="1:29" x14ac:dyDescent="0.3">
      <c r="A904" s="3">
        <v>45700</v>
      </c>
      <c r="B904" s="3" t="str">
        <f>TEXT(CleanedTable[[#This Row],[OrderDate]],"mmm")</f>
        <v>Feb</v>
      </c>
      <c r="C904" s="3" t="str">
        <f>TEXT(CleanedTable[[#This Row],[OrderDate]],"yyyy")</f>
        <v>2025</v>
      </c>
      <c r="D904" s="3" t="str">
        <f>TEXT(CleanedTable[[#This Row],[OrderDate]],"mmm yyyy")</f>
        <v>Feb 2025</v>
      </c>
      <c r="E904" t="s">
        <v>23</v>
      </c>
      <c r="F904" t="s">
        <v>25</v>
      </c>
      <c r="G904" s="12">
        <v>13</v>
      </c>
      <c r="H904" s="8">
        <v>227.64</v>
      </c>
      <c r="I904" t="s">
        <v>33</v>
      </c>
      <c r="J904" t="s">
        <v>36</v>
      </c>
      <c r="K904" s="10">
        <v>0.15</v>
      </c>
      <c r="L904" t="s">
        <v>39</v>
      </c>
      <c r="M904">
        <v>2515.4219999999996</v>
      </c>
      <c r="N904">
        <v>1775.5919999999996</v>
      </c>
      <c r="O904" s="10">
        <v>693.16</v>
      </c>
      <c r="P904" s="10">
        <v>0.27556410017881694</v>
      </c>
      <c r="Q904" s="8">
        <v>2515.422</v>
      </c>
      <c r="R904" t="s">
        <v>47</v>
      </c>
      <c r="S904" t="s">
        <v>48</v>
      </c>
      <c r="T904" t="s">
        <v>2931</v>
      </c>
      <c r="U904">
        <v>1</v>
      </c>
      <c r="V904" t="str">
        <f>IF(CleanedTable[[#This Row],[Returned]] = 0,"NO","Yes")</f>
        <v>Yes</v>
      </c>
      <c r="W904" t="s">
        <v>953</v>
      </c>
      <c r="X904" t="s">
        <v>2407</v>
      </c>
      <c r="Y904" s="10">
        <v>46.67</v>
      </c>
      <c r="Z904" s="3">
        <v>45700</v>
      </c>
      <c r="AA904" s="3">
        <v>45708</v>
      </c>
      <c r="AB904" t="s">
        <v>2926</v>
      </c>
      <c r="AC904">
        <v>8</v>
      </c>
    </row>
    <row r="905" spans="1:29" x14ac:dyDescent="0.3">
      <c r="A905" s="3">
        <v>45110</v>
      </c>
      <c r="B905" s="3" t="str">
        <f>TEXT(CleanedTable[[#This Row],[OrderDate]],"mmm")</f>
        <v>Jul</v>
      </c>
      <c r="C905" s="3" t="str">
        <f>TEXT(CleanedTable[[#This Row],[OrderDate]],"yyyy")</f>
        <v>2023</v>
      </c>
      <c r="D905" s="3" t="str">
        <f>TEXT(CleanedTable[[#This Row],[OrderDate]],"mmm yyyy")</f>
        <v>Jul 2023</v>
      </c>
      <c r="E905" t="s">
        <v>22</v>
      </c>
      <c r="F905" t="s">
        <v>24</v>
      </c>
      <c r="G905" s="12">
        <v>19</v>
      </c>
      <c r="H905" s="8">
        <v>341.07</v>
      </c>
      <c r="I905" t="s">
        <v>33</v>
      </c>
      <c r="J905" t="s">
        <v>36</v>
      </c>
      <c r="K905" s="10">
        <v>0.1</v>
      </c>
      <c r="L905" t="s">
        <v>40</v>
      </c>
      <c r="M905">
        <v>5832.2970000000005</v>
      </c>
      <c r="N905">
        <v>3888.1979999999999</v>
      </c>
      <c r="O905" s="10">
        <v>1896.3490000000006</v>
      </c>
      <c r="P905" s="10">
        <v>0.32514616453860296</v>
      </c>
      <c r="Q905" s="8">
        <v>5832.2969999999996</v>
      </c>
      <c r="R905" t="s">
        <v>47</v>
      </c>
      <c r="S905" t="s">
        <v>50</v>
      </c>
      <c r="T905" t="s">
        <v>2931</v>
      </c>
      <c r="U905">
        <v>0</v>
      </c>
      <c r="V905" t="str">
        <f>IF(CleanedTable[[#This Row],[Returned]] = 0,"NO","Yes")</f>
        <v>NO</v>
      </c>
      <c r="W905" t="s">
        <v>954</v>
      </c>
      <c r="X905" t="s">
        <v>2408</v>
      </c>
      <c r="Y905" s="10">
        <v>47.75</v>
      </c>
      <c r="Z905" s="3">
        <v>45110</v>
      </c>
      <c r="AA905" s="3">
        <v>45113</v>
      </c>
      <c r="AB905" t="s">
        <v>2925</v>
      </c>
      <c r="AC905">
        <v>3</v>
      </c>
    </row>
    <row r="906" spans="1:29" x14ac:dyDescent="0.3">
      <c r="A906" s="3">
        <v>45786</v>
      </c>
      <c r="B906" s="3" t="str">
        <f>TEXT(CleanedTable[[#This Row],[OrderDate]],"mmm")</f>
        <v>May</v>
      </c>
      <c r="C906" s="3" t="str">
        <f>TEXT(CleanedTable[[#This Row],[OrderDate]],"yyyy")</f>
        <v>2025</v>
      </c>
      <c r="D906" s="3" t="str">
        <f>TEXT(CleanedTable[[#This Row],[OrderDate]],"mmm yyyy")</f>
        <v>May 2025</v>
      </c>
      <c r="E906" t="s">
        <v>22</v>
      </c>
      <c r="F906" t="s">
        <v>25</v>
      </c>
      <c r="G906" s="12">
        <v>20</v>
      </c>
      <c r="H906" s="8">
        <v>324.55</v>
      </c>
      <c r="I906" t="s">
        <v>31</v>
      </c>
      <c r="J906" t="s">
        <v>35</v>
      </c>
      <c r="K906" s="10">
        <v>0.05</v>
      </c>
      <c r="L906" t="s">
        <v>37</v>
      </c>
      <c r="M906">
        <v>6166.45</v>
      </c>
      <c r="N906">
        <v>3894.6</v>
      </c>
      <c r="O906" s="10">
        <v>2250.64</v>
      </c>
      <c r="P906" s="10">
        <v>0.36498147232200051</v>
      </c>
      <c r="Q906" s="8">
        <v>6166.45</v>
      </c>
      <c r="R906" t="s">
        <v>45</v>
      </c>
      <c r="S906" t="s">
        <v>50</v>
      </c>
      <c r="T906" t="s">
        <v>2931</v>
      </c>
      <c r="U906">
        <v>1</v>
      </c>
      <c r="V906" t="str">
        <f>IF(CleanedTable[[#This Row],[Returned]] = 0,"NO","Yes")</f>
        <v>Yes</v>
      </c>
      <c r="W906" t="s">
        <v>955</v>
      </c>
      <c r="X906" t="s">
        <v>2409</v>
      </c>
      <c r="Y906" s="10">
        <v>21.21</v>
      </c>
      <c r="Z906" s="3">
        <v>45786</v>
      </c>
      <c r="AA906" s="3">
        <v>45790</v>
      </c>
      <c r="AB906" t="s">
        <v>2925</v>
      </c>
      <c r="AC906">
        <v>4</v>
      </c>
    </row>
    <row r="907" spans="1:29" x14ac:dyDescent="0.3">
      <c r="A907" s="3">
        <v>45417</v>
      </c>
      <c r="B907" s="3" t="str">
        <f>TEXT(CleanedTable[[#This Row],[OrderDate]],"mmm")</f>
        <v>May</v>
      </c>
      <c r="C907" s="3" t="str">
        <f>TEXT(CleanedTable[[#This Row],[OrderDate]],"yyyy")</f>
        <v>2024</v>
      </c>
      <c r="D907" s="3" t="str">
        <f>TEXT(CleanedTable[[#This Row],[OrderDate]],"mmm yyyy")</f>
        <v>May 2024</v>
      </c>
      <c r="E907" t="s">
        <v>23</v>
      </c>
      <c r="F907" t="s">
        <v>26</v>
      </c>
      <c r="G907" s="12">
        <v>16</v>
      </c>
      <c r="H907" s="8">
        <v>301.07</v>
      </c>
      <c r="I907" t="s">
        <v>31</v>
      </c>
      <c r="J907" t="s">
        <v>36</v>
      </c>
      <c r="K907" s="10">
        <v>0.1</v>
      </c>
      <c r="L907" t="s">
        <v>40</v>
      </c>
      <c r="M907">
        <v>4335.4080000000004</v>
      </c>
      <c r="N907">
        <v>2890.2719999999999</v>
      </c>
      <c r="O907" s="10">
        <v>1439.5560000000005</v>
      </c>
      <c r="P907" s="10">
        <v>0.33204625723807318</v>
      </c>
      <c r="Q907" s="8">
        <v>4335.4080000000004</v>
      </c>
      <c r="R907" t="s">
        <v>44</v>
      </c>
      <c r="S907" t="s">
        <v>50</v>
      </c>
      <c r="T907" t="s">
        <v>2931</v>
      </c>
      <c r="U907">
        <v>0</v>
      </c>
      <c r="V907" t="str">
        <f>IF(CleanedTable[[#This Row],[Returned]] = 0,"NO","Yes")</f>
        <v>NO</v>
      </c>
      <c r="W907" t="s">
        <v>956</v>
      </c>
      <c r="X907" t="s">
        <v>2410</v>
      </c>
      <c r="Y907" s="10">
        <v>5.58</v>
      </c>
      <c r="Z907" s="3">
        <v>45417</v>
      </c>
      <c r="AA907" s="3">
        <v>45426</v>
      </c>
      <c r="AB907" t="s">
        <v>2926</v>
      </c>
      <c r="AC907">
        <v>9</v>
      </c>
    </row>
    <row r="908" spans="1:29" x14ac:dyDescent="0.3">
      <c r="A908" s="3">
        <v>45299</v>
      </c>
      <c r="B908" s="3" t="str">
        <f>TEXT(CleanedTable[[#This Row],[OrderDate]],"mmm")</f>
        <v>Jan</v>
      </c>
      <c r="C908" s="3" t="str">
        <f>TEXT(CleanedTable[[#This Row],[OrderDate]],"yyyy")</f>
        <v>2024</v>
      </c>
      <c r="D908" s="3" t="str">
        <f>TEXT(CleanedTable[[#This Row],[OrderDate]],"mmm yyyy")</f>
        <v>Jan 2024</v>
      </c>
      <c r="E908" t="s">
        <v>20</v>
      </c>
      <c r="F908" t="s">
        <v>28</v>
      </c>
      <c r="G908" s="12">
        <v>13</v>
      </c>
      <c r="H908" s="8">
        <v>285.27999999999997</v>
      </c>
      <c r="I908" t="s">
        <v>34</v>
      </c>
      <c r="J908" t="s">
        <v>36</v>
      </c>
      <c r="K908" s="10">
        <v>0</v>
      </c>
      <c r="L908" t="s">
        <v>37</v>
      </c>
      <c r="M908">
        <v>3708.6399999999994</v>
      </c>
      <c r="N908">
        <v>2225.1839999999997</v>
      </c>
      <c r="O908" s="10">
        <v>1452.2559999999996</v>
      </c>
      <c r="P908" s="10">
        <v>0.39158721256309587</v>
      </c>
      <c r="Q908" s="8">
        <v>3708.639999999999</v>
      </c>
      <c r="R908" t="s">
        <v>44</v>
      </c>
      <c r="S908" t="s">
        <v>49</v>
      </c>
      <c r="T908" t="s">
        <v>2931</v>
      </c>
      <c r="U908">
        <v>0</v>
      </c>
      <c r="V908" t="str">
        <f>IF(CleanedTable[[#This Row],[Returned]] = 0,"NO","Yes")</f>
        <v>NO</v>
      </c>
      <c r="W908" t="s">
        <v>957</v>
      </c>
      <c r="X908" t="s">
        <v>2411</v>
      </c>
      <c r="Y908" s="10">
        <v>31.2</v>
      </c>
      <c r="Z908" s="3">
        <v>45299</v>
      </c>
      <c r="AA908" s="3">
        <v>45306</v>
      </c>
      <c r="AB908" t="s">
        <v>2923</v>
      </c>
      <c r="AC908">
        <v>7</v>
      </c>
    </row>
    <row r="909" spans="1:29" x14ac:dyDescent="0.3">
      <c r="A909" s="3">
        <v>45670</v>
      </c>
      <c r="B909" s="3" t="str">
        <f>TEXT(CleanedTable[[#This Row],[OrderDate]],"mmm")</f>
        <v>Jan</v>
      </c>
      <c r="C909" s="3" t="str">
        <f>TEXT(CleanedTable[[#This Row],[OrderDate]],"yyyy")</f>
        <v>2025</v>
      </c>
      <c r="D909" s="3" t="str">
        <f>TEXT(CleanedTable[[#This Row],[OrderDate]],"mmm yyyy")</f>
        <v>Jan 2025</v>
      </c>
      <c r="E909" t="s">
        <v>20</v>
      </c>
      <c r="F909" t="s">
        <v>25</v>
      </c>
      <c r="G909" s="12">
        <v>15</v>
      </c>
      <c r="H909" s="8">
        <v>18.04</v>
      </c>
      <c r="I909" t="s">
        <v>33</v>
      </c>
      <c r="J909" t="s">
        <v>35</v>
      </c>
      <c r="K909" s="10">
        <v>0</v>
      </c>
      <c r="L909" t="s">
        <v>37</v>
      </c>
      <c r="M909">
        <v>270.59999999999997</v>
      </c>
      <c r="N909">
        <v>162.35999999999999</v>
      </c>
      <c r="O909" s="10">
        <v>93.889999999999986</v>
      </c>
      <c r="P909" s="10">
        <v>0.34696969696969698</v>
      </c>
      <c r="Q909" s="8">
        <v>270.60000000000002</v>
      </c>
      <c r="R909" t="s">
        <v>45</v>
      </c>
      <c r="S909" t="s">
        <v>49</v>
      </c>
      <c r="T909" t="s">
        <v>2931</v>
      </c>
      <c r="U909">
        <v>1</v>
      </c>
      <c r="V909" t="str">
        <f>IF(CleanedTable[[#This Row],[Returned]] = 0,"NO","Yes")</f>
        <v>Yes</v>
      </c>
      <c r="W909" t="s">
        <v>958</v>
      </c>
      <c r="X909" t="s">
        <v>2412</v>
      </c>
      <c r="Y909" s="10">
        <v>14.35</v>
      </c>
      <c r="Z909" s="3">
        <v>45670</v>
      </c>
      <c r="AA909" s="3">
        <v>45674</v>
      </c>
      <c r="AB909" t="s">
        <v>2923</v>
      </c>
      <c r="AC909">
        <v>4</v>
      </c>
    </row>
    <row r="910" spans="1:29" x14ac:dyDescent="0.3">
      <c r="A910" s="3">
        <v>45820</v>
      </c>
      <c r="B910" s="3" t="str">
        <f>TEXT(CleanedTable[[#This Row],[OrderDate]],"mmm")</f>
        <v>Jun</v>
      </c>
      <c r="C910" s="3" t="str">
        <f>TEXT(CleanedTable[[#This Row],[OrderDate]],"yyyy")</f>
        <v>2025</v>
      </c>
      <c r="D910" s="3" t="str">
        <f>TEXT(CleanedTable[[#This Row],[OrderDate]],"mmm yyyy")</f>
        <v>Jun 2025</v>
      </c>
      <c r="E910" t="s">
        <v>19</v>
      </c>
      <c r="F910" t="s">
        <v>30</v>
      </c>
      <c r="G910" s="12">
        <v>11</v>
      </c>
      <c r="H910" s="8">
        <v>495.44</v>
      </c>
      <c r="I910" t="s">
        <v>32</v>
      </c>
      <c r="J910" t="s">
        <v>35</v>
      </c>
      <c r="K910" s="10">
        <v>0</v>
      </c>
      <c r="L910" t="s">
        <v>42</v>
      </c>
      <c r="M910">
        <v>5449.84</v>
      </c>
      <c r="N910">
        <v>3269.904</v>
      </c>
      <c r="O910" s="10">
        <v>2135.1660000000002</v>
      </c>
      <c r="P910" s="10">
        <v>0.39178507992895206</v>
      </c>
      <c r="Q910" s="8">
        <v>5449.84</v>
      </c>
      <c r="R910" t="s">
        <v>44</v>
      </c>
      <c r="S910" t="s">
        <v>48</v>
      </c>
      <c r="T910" t="s">
        <v>2931</v>
      </c>
      <c r="U910">
        <v>0</v>
      </c>
      <c r="V910" t="str">
        <f>IF(CleanedTable[[#This Row],[Returned]] = 0,"NO","Yes")</f>
        <v>NO</v>
      </c>
      <c r="W910" t="s">
        <v>959</v>
      </c>
      <c r="X910" t="s">
        <v>2413</v>
      </c>
      <c r="Y910" s="10">
        <v>44.77</v>
      </c>
      <c r="Z910" s="3">
        <v>45820</v>
      </c>
      <c r="AA910" s="3">
        <v>45826</v>
      </c>
      <c r="AB910" t="s">
        <v>2922</v>
      </c>
      <c r="AC910">
        <v>6</v>
      </c>
    </row>
    <row r="911" spans="1:29" x14ac:dyDescent="0.3">
      <c r="A911" s="3">
        <v>45750</v>
      </c>
      <c r="B911" s="3" t="str">
        <f>TEXT(CleanedTable[[#This Row],[OrderDate]],"mmm")</f>
        <v>Apr</v>
      </c>
      <c r="C911" s="3" t="str">
        <f>TEXT(CleanedTable[[#This Row],[OrderDate]],"yyyy")</f>
        <v>2025</v>
      </c>
      <c r="D911" s="3" t="str">
        <f>TEXT(CleanedTable[[#This Row],[OrderDate]],"mmm yyyy")</f>
        <v>Apr 2025</v>
      </c>
      <c r="E911" t="s">
        <v>21</v>
      </c>
      <c r="F911" t="s">
        <v>24</v>
      </c>
      <c r="G911" s="12">
        <v>12</v>
      </c>
      <c r="H911" s="8">
        <v>276.42</v>
      </c>
      <c r="I911" t="s">
        <v>33</v>
      </c>
      <c r="J911" t="s">
        <v>36</v>
      </c>
      <c r="K911" s="10">
        <v>0.15</v>
      </c>
      <c r="L911" t="s">
        <v>40</v>
      </c>
      <c r="M911">
        <v>2819.4839999999999</v>
      </c>
      <c r="N911">
        <v>1990.2240000000002</v>
      </c>
      <c r="O911" s="10">
        <v>798.68999999999971</v>
      </c>
      <c r="P911" s="10">
        <v>0.28327523759666651</v>
      </c>
      <c r="Q911" s="8">
        <v>2819.4839999999999</v>
      </c>
      <c r="R911" t="s">
        <v>43</v>
      </c>
      <c r="T911" t="s">
        <v>2932</v>
      </c>
      <c r="U911">
        <v>0</v>
      </c>
      <c r="V911" t="str">
        <f>IF(CleanedTable[[#This Row],[Returned]] = 0,"NO","Yes")</f>
        <v>NO</v>
      </c>
      <c r="W911" t="s">
        <v>960</v>
      </c>
      <c r="X911" t="s">
        <v>2414</v>
      </c>
      <c r="Y911" s="10">
        <v>30.57</v>
      </c>
      <c r="Z911" s="3">
        <v>45750</v>
      </c>
      <c r="AA911" s="3">
        <v>45759</v>
      </c>
      <c r="AB911" t="s">
        <v>2924</v>
      </c>
      <c r="AC911">
        <v>9</v>
      </c>
    </row>
    <row r="912" spans="1:29" x14ac:dyDescent="0.3">
      <c r="A912" s="3">
        <v>44952</v>
      </c>
      <c r="B912" s="3" t="str">
        <f>TEXT(CleanedTable[[#This Row],[OrderDate]],"mmm")</f>
        <v>Jan</v>
      </c>
      <c r="C912" s="3" t="str">
        <f>TEXT(CleanedTable[[#This Row],[OrderDate]],"yyyy")</f>
        <v>2023</v>
      </c>
      <c r="D912" s="3" t="str">
        <f>TEXT(CleanedTable[[#This Row],[OrderDate]],"mmm yyyy")</f>
        <v>Jan 2023</v>
      </c>
      <c r="E912" t="s">
        <v>22</v>
      </c>
      <c r="F912" t="s">
        <v>26</v>
      </c>
      <c r="G912" s="12">
        <v>7</v>
      </c>
      <c r="H912" s="8">
        <v>228.32</v>
      </c>
      <c r="I912" t="s">
        <v>33</v>
      </c>
      <c r="J912" t="s">
        <v>35</v>
      </c>
      <c r="K912" s="10">
        <v>0.15</v>
      </c>
      <c r="L912" t="s">
        <v>37</v>
      </c>
      <c r="M912">
        <v>1358.5039999999999</v>
      </c>
      <c r="N912">
        <v>958.94399999999996</v>
      </c>
      <c r="O912" s="10">
        <v>377.39999999999992</v>
      </c>
      <c r="P912" s="10">
        <v>0.2778055861447592</v>
      </c>
      <c r="Q912" s="8">
        <v>1358.5039999999999</v>
      </c>
      <c r="R912" t="s">
        <v>46</v>
      </c>
      <c r="S912" t="s">
        <v>48</v>
      </c>
      <c r="T912" t="s">
        <v>2931</v>
      </c>
      <c r="U912">
        <v>0</v>
      </c>
      <c r="V912" t="str">
        <f>IF(CleanedTable[[#This Row],[Returned]] = 0,"NO","Yes")</f>
        <v>NO</v>
      </c>
      <c r="W912" t="s">
        <v>961</v>
      </c>
      <c r="X912" t="s">
        <v>2415</v>
      </c>
      <c r="Y912" s="10">
        <v>22.16</v>
      </c>
      <c r="Z912" s="3">
        <v>44952</v>
      </c>
      <c r="AA912" s="3">
        <v>44956</v>
      </c>
      <c r="AB912" t="s">
        <v>2925</v>
      </c>
      <c r="AC912">
        <v>4</v>
      </c>
    </row>
    <row r="913" spans="1:29" x14ac:dyDescent="0.3">
      <c r="A913" s="3">
        <v>44933</v>
      </c>
      <c r="B913" s="3" t="str">
        <f>TEXT(CleanedTable[[#This Row],[OrderDate]],"mmm")</f>
        <v>Jan</v>
      </c>
      <c r="C913" s="3" t="str">
        <f>TEXT(CleanedTable[[#This Row],[OrderDate]],"yyyy")</f>
        <v>2023</v>
      </c>
      <c r="D913" s="3" t="str">
        <f>TEXT(CleanedTable[[#This Row],[OrderDate]],"mmm yyyy")</f>
        <v>Jan 2023</v>
      </c>
      <c r="E913" t="s">
        <v>22</v>
      </c>
      <c r="F913" t="s">
        <v>28</v>
      </c>
      <c r="G913" s="12">
        <v>1</v>
      </c>
      <c r="H913" s="8">
        <v>498.19</v>
      </c>
      <c r="I913" t="s">
        <v>32</v>
      </c>
      <c r="J913" t="s">
        <v>35</v>
      </c>
      <c r="K913" s="10">
        <v>0.1</v>
      </c>
      <c r="L913" t="s">
        <v>42</v>
      </c>
      <c r="M913">
        <v>448.37099999999998</v>
      </c>
      <c r="N913">
        <v>298.91399999999999</v>
      </c>
      <c r="O913" s="10">
        <v>123.907</v>
      </c>
      <c r="P913" s="10">
        <v>0.27634927325808317</v>
      </c>
      <c r="Q913" s="8">
        <v>448.37099999999998</v>
      </c>
      <c r="R913" t="s">
        <v>44</v>
      </c>
      <c r="S913" t="s">
        <v>49</v>
      </c>
      <c r="T913" t="s">
        <v>2931</v>
      </c>
      <c r="U913">
        <v>0</v>
      </c>
      <c r="V913" t="str">
        <f>IF(CleanedTable[[#This Row],[Returned]] = 0,"NO","Yes")</f>
        <v>NO</v>
      </c>
      <c r="W913" t="s">
        <v>962</v>
      </c>
      <c r="X913" t="s">
        <v>2416</v>
      </c>
      <c r="Y913" s="10">
        <v>25.55</v>
      </c>
      <c r="Z913" s="3">
        <v>44933</v>
      </c>
      <c r="AA913" s="3">
        <v>44937</v>
      </c>
      <c r="AB913" t="s">
        <v>2925</v>
      </c>
      <c r="AC913">
        <v>4</v>
      </c>
    </row>
    <row r="914" spans="1:29" x14ac:dyDescent="0.3">
      <c r="A914" s="3">
        <v>45672</v>
      </c>
      <c r="B914" s="3" t="str">
        <f>TEXT(CleanedTable[[#This Row],[OrderDate]],"mmm")</f>
        <v>Jan</v>
      </c>
      <c r="C914" s="3" t="str">
        <f>TEXT(CleanedTable[[#This Row],[OrderDate]],"yyyy")</f>
        <v>2025</v>
      </c>
      <c r="D914" s="3" t="str">
        <f>TEXT(CleanedTable[[#This Row],[OrderDate]],"mmm yyyy")</f>
        <v>Jan 2025</v>
      </c>
      <c r="E914" t="s">
        <v>21</v>
      </c>
      <c r="F914" t="s">
        <v>26</v>
      </c>
      <c r="G914" s="12">
        <v>18</v>
      </c>
      <c r="H914" s="8">
        <v>375.83</v>
      </c>
      <c r="I914" t="s">
        <v>33</v>
      </c>
      <c r="J914" t="s">
        <v>36</v>
      </c>
      <c r="K914" s="10">
        <v>0.1</v>
      </c>
      <c r="L914" t="s">
        <v>40</v>
      </c>
      <c r="M914">
        <v>6088.4459999999999</v>
      </c>
      <c r="N914">
        <v>4058.9639999999999</v>
      </c>
      <c r="O914" s="10">
        <v>2014.3519999999999</v>
      </c>
      <c r="P914" s="10">
        <v>0.33084829856419845</v>
      </c>
      <c r="Q914" s="8">
        <v>6088.4459999999999</v>
      </c>
      <c r="R914" t="s">
        <v>44</v>
      </c>
      <c r="T914" t="s">
        <v>2932</v>
      </c>
      <c r="U914">
        <v>0</v>
      </c>
      <c r="V914" t="str">
        <f>IF(CleanedTable[[#This Row],[Returned]] = 0,"NO","Yes")</f>
        <v>NO</v>
      </c>
      <c r="W914" t="s">
        <v>963</v>
      </c>
      <c r="X914" t="s">
        <v>2417</v>
      </c>
      <c r="Y914" s="10">
        <v>15.13</v>
      </c>
      <c r="Z914" s="3">
        <v>45672</v>
      </c>
      <c r="AA914" s="3">
        <v>45680</v>
      </c>
      <c r="AB914" t="s">
        <v>2924</v>
      </c>
      <c r="AC914">
        <v>8</v>
      </c>
    </row>
    <row r="915" spans="1:29" x14ac:dyDescent="0.3">
      <c r="A915" s="3">
        <v>45626</v>
      </c>
      <c r="B915" s="3" t="str">
        <f>TEXT(CleanedTable[[#This Row],[OrderDate]],"mmm")</f>
        <v>Nov</v>
      </c>
      <c r="C915" s="3" t="str">
        <f>TEXT(CleanedTable[[#This Row],[OrderDate]],"yyyy")</f>
        <v>2024</v>
      </c>
      <c r="D915" s="3" t="str">
        <f>TEXT(CleanedTable[[#This Row],[OrderDate]],"mmm yyyy")</f>
        <v>Nov 2024</v>
      </c>
      <c r="E915" t="s">
        <v>19</v>
      </c>
      <c r="F915" t="s">
        <v>27</v>
      </c>
      <c r="G915" s="12">
        <v>18</v>
      </c>
      <c r="H915" s="8">
        <v>130.36000000000001</v>
      </c>
      <c r="I915" t="s">
        <v>31</v>
      </c>
      <c r="J915" t="s">
        <v>35</v>
      </c>
      <c r="K915" s="10">
        <v>0</v>
      </c>
      <c r="L915" t="s">
        <v>41</v>
      </c>
      <c r="M915">
        <v>2346.4800000000005</v>
      </c>
      <c r="N915">
        <v>1407.8880000000001</v>
      </c>
      <c r="O915" s="10">
        <v>903.9920000000003</v>
      </c>
      <c r="P915" s="10">
        <v>0.38525450888138835</v>
      </c>
      <c r="Q915" s="8">
        <v>2346.48</v>
      </c>
      <c r="R915" t="s">
        <v>46</v>
      </c>
      <c r="S915" t="s">
        <v>49</v>
      </c>
      <c r="T915" t="s">
        <v>2931</v>
      </c>
      <c r="U915">
        <v>0</v>
      </c>
      <c r="V915" t="str">
        <f>IF(CleanedTable[[#This Row],[Returned]] = 0,"NO","Yes")</f>
        <v>NO</v>
      </c>
      <c r="W915" t="s">
        <v>964</v>
      </c>
      <c r="X915" t="s">
        <v>2418</v>
      </c>
      <c r="Y915" s="10">
        <v>34.6</v>
      </c>
      <c r="Z915" s="3">
        <v>45626</v>
      </c>
      <c r="AA915" s="3">
        <v>45631</v>
      </c>
      <c r="AB915" t="s">
        <v>2922</v>
      </c>
      <c r="AC915">
        <v>5</v>
      </c>
    </row>
    <row r="916" spans="1:29" x14ac:dyDescent="0.3">
      <c r="A916" s="3">
        <v>45348</v>
      </c>
      <c r="B916" s="3" t="str">
        <f>TEXT(CleanedTable[[#This Row],[OrderDate]],"mmm")</f>
        <v>Feb</v>
      </c>
      <c r="C916" s="3" t="str">
        <f>TEXT(CleanedTable[[#This Row],[OrderDate]],"yyyy")</f>
        <v>2024</v>
      </c>
      <c r="D916" s="3" t="str">
        <f>TEXT(CleanedTable[[#This Row],[OrderDate]],"mmm yyyy")</f>
        <v>Feb 2024</v>
      </c>
      <c r="E916" t="s">
        <v>19</v>
      </c>
      <c r="F916" t="s">
        <v>28</v>
      </c>
      <c r="G916" s="12">
        <v>13</v>
      </c>
      <c r="H916" s="8">
        <v>585.88</v>
      </c>
      <c r="I916" t="s">
        <v>31</v>
      </c>
      <c r="J916" t="s">
        <v>36</v>
      </c>
      <c r="K916" s="10">
        <v>0.15</v>
      </c>
      <c r="L916" t="s">
        <v>40</v>
      </c>
      <c r="M916">
        <v>6473.9739999999993</v>
      </c>
      <c r="N916">
        <v>4569.8639999999996</v>
      </c>
      <c r="O916" s="10">
        <v>1861.9299999999996</v>
      </c>
      <c r="P916" s="10">
        <v>0.28760232895590865</v>
      </c>
      <c r="Q916" s="8">
        <v>6473.9739999999993</v>
      </c>
      <c r="R916" t="s">
        <v>45</v>
      </c>
      <c r="S916" t="s">
        <v>50</v>
      </c>
      <c r="T916" t="s">
        <v>2931</v>
      </c>
      <c r="U916">
        <v>0</v>
      </c>
      <c r="V916" t="str">
        <f>IF(CleanedTable[[#This Row],[Returned]] = 0,"NO","Yes")</f>
        <v>NO</v>
      </c>
      <c r="W916" t="s">
        <v>965</v>
      </c>
      <c r="X916" t="s">
        <v>2419</v>
      </c>
      <c r="Y916" s="10">
        <v>42.18</v>
      </c>
      <c r="Z916" s="3">
        <v>45348</v>
      </c>
      <c r="AA916" s="3">
        <v>45358</v>
      </c>
      <c r="AB916" t="s">
        <v>2922</v>
      </c>
      <c r="AC916">
        <v>10</v>
      </c>
    </row>
    <row r="917" spans="1:29" x14ac:dyDescent="0.3">
      <c r="A917" s="3">
        <v>45819</v>
      </c>
      <c r="B917" s="3" t="str">
        <f>TEXT(CleanedTable[[#This Row],[OrderDate]],"mmm")</f>
        <v>Jun</v>
      </c>
      <c r="C917" s="3" t="str">
        <f>TEXT(CleanedTable[[#This Row],[OrderDate]],"yyyy")</f>
        <v>2025</v>
      </c>
      <c r="D917" s="3" t="str">
        <f>TEXT(CleanedTable[[#This Row],[OrderDate]],"mmm yyyy")</f>
        <v>Jun 2025</v>
      </c>
      <c r="E917" t="s">
        <v>21</v>
      </c>
      <c r="F917" t="s">
        <v>26</v>
      </c>
      <c r="G917" s="12">
        <v>19</v>
      </c>
      <c r="H917" s="8">
        <v>278.04000000000002</v>
      </c>
      <c r="I917" t="s">
        <v>31</v>
      </c>
      <c r="J917" t="s">
        <v>36</v>
      </c>
      <c r="K917" s="10">
        <v>0.05</v>
      </c>
      <c r="L917" t="s">
        <v>42</v>
      </c>
      <c r="M917">
        <v>5018.6220000000003</v>
      </c>
      <c r="N917">
        <v>3169.6560000000004</v>
      </c>
      <c r="O917" s="10">
        <v>1832.5659999999998</v>
      </c>
      <c r="P917" s="10">
        <v>0.36515322333501105</v>
      </c>
      <c r="Q917" s="8">
        <v>5018.6220000000003</v>
      </c>
      <c r="R917" t="s">
        <v>45</v>
      </c>
      <c r="S917" t="s">
        <v>49</v>
      </c>
      <c r="T917" t="s">
        <v>2931</v>
      </c>
      <c r="U917">
        <v>0</v>
      </c>
      <c r="V917" t="str">
        <f>IF(CleanedTable[[#This Row],[Returned]] = 0,"NO","Yes")</f>
        <v>NO</v>
      </c>
      <c r="W917" t="s">
        <v>966</v>
      </c>
      <c r="X917" t="s">
        <v>2420</v>
      </c>
      <c r="Y917" s="10">
        <v>16.399999999999999</v>
      </c>
      <c r="Z917" s="3">
        <v>45819</v>
      </c>
      <c r="AA917" s="3">
        <v>45823</v>
      </c>
      <c r="AB917" t="s">
        <v>2924</v>
      </c>
      <c r="AC917">
        <v>4</v>
      </c>
    </row>
    <row r="918" spans="1:29" x14ac:dyDescent="0.3">
      <c r="A918" s="3">
        <v>45259</v>
      </c>
      <c r="B918" s="3" t="str">
        <f>TEXT(CleanedTable[[#This Row],[OrderDate]],"mmm")</f>
        <v>Nov</v>
      </c>
      <c r="C918" s="3" t="str">
        <f>TEXT(CleanedTable[[#This Row],[OrderDate]],"yyyy")</f>
        <v>2023</v>
      </c>
      <c r="D918" s="3" t="str">
        <f>TEXT(CleanedTable[[#This Row],[OrderDate]],"mmm yyyy")</f>
        <v>Nov 2023</v>
      </c>
      <c r="E918" t="s">
        <v>22</v>
      </c>
      <c r="F918" t="s">
        <v>25</v>
      </c>
      <c r="G918" s="12">
        <v>11</v>
      </c>
      <c r="H918" s="8">
        <v>267.91000000000003</v>
      </c>
      <c r="I918" t="s">
        <v>31</v>
      </c>
      <c r="J918" t="s">
        <v>36</v>
      </c>
      <c r="K918" s="10">
        <v>0</v>
      </c>
      <c r="L918" t="s">
        <v>37</v>
      </c>
      <c r="M918">
        <v>2947.01</v>
      </c>
      <c r="N918">
        <v>1768.2060000000001</v>
      </c>
      <c r="O918" s="10">
        <v>1166.7540000000001</v>
      </c>
      <c r="P918" s="10">
        <v>0.3959111099046152</v>
      </c>
      <c r="Q918" s="8">
        <v>2947.01</v>
      </c>
      <c r="R918" t="s">
        <v>46</v>
      </c>
      <c r="T918" t="s">
        <v>2932</v>
      </c>
      <c r="U918">
        <v>0</v>
      </c>
      <c r="V918" t="str">
        <f>IF(CleanedTable[[#This Row],[Returned]] = 0,"NO","Yes")</f>
        <v>NO</v>
      </c>
      <c r="W918" t="s">
        <v>967</v>
      </c>
      <c r="X918" t="s">
        <v>2421</v>
      </c>
      <c r="Y918" s="10">
        <v>12.05</v>
      </c>
      <c r="Z918" s="3">
        <v>45259</v>
      </c>
      <c r="AA918" s="3">
        <v>45264</v>
      </c>
      <c r="AB918" t="s">
        <v>2925</v>
      </c>
      <c r="AC918">
        <v>5</v>
      </c>
    </row>
    <row r="919" spans="1:29" x14ac:dyDescent="0.3">
      <c r="A919" s="3">
        <v>45470</v>
      </c>
      <c r="B919" s="3" t="str">
        <f>TEXT(CleanedTable[[#This Row],[OrderDate]],"mmm")</f>
        <v>Jun</v>
      </c>
      <c r="C919" s="3" t="str">
        <f>TEXT(CleanedTable[[#This Row],[OrderDate]],"yyyy")</f>
        <v>2024</v>
      </c>
      <c r="D919" s="3" t="str">
        <f>TEXT(CleanedTable[[#This Row],[OrderDate]],"mmm yyyy")</f>
        <v>Jun 2024</v>
      </c>
      <c r="E919" t="s">
        <v>20</v>
      </c>
      <c r="F919" t="s">
        <v>27</v>
      </c>
      <c r="G919" s="12">
        <v>12</v>
      </c>
      <c r="H919" s="8">
        <v>369.54</v>
      </c>
      <c r="I919" t="s">
        <v>31</v>
      </c>
      <c r="J919" t="s">
        <v>36</v>
      </c>
      <c r="K919" s="10">
        <v>0.05</v>
      </c>
      <c r="L919" t="s">
        <v>41</v>
      </c>
      <c r="M919">
        <v>4212.7560000000003</v>
      </c>
      <c r="N919">
        <v>2660.6880000000001</v>
      </c>
      <c r="O919" s="10">
        <v>1512.9080000000001</v>
      </c>
      <c r="P919" s="10">
        <v>0.35912547510465831</v>
      </c>
      <c r="Q919" s="8">
        <v>4212.7560000000003</v>
      </c>
      <c r="R919" t="s">
        <v>46</v>
      </c>
      <c r="S919" t="s">
        <v>50</v>
      </c>
      <c r="T919" t="s">
        <v>2931</v>
      </c>
      <c r="U919">
        <v>1</v>
      </c>
      <c r="V919" t="str">
        <f>IF(CleanedTable[[#This Row],[Returned]] = 0,"NO","Yes")</f>
        <v>Yes</v>
      </c>
      <c r="W919" t="s">
        <v>968</v>
      </c>
      <c r="X919" t="s">
        <v>2422</v>
      </c>
      <c r="Y919" s="10">
        <v>39.159999999999997</v>
      </c>
      <c r="Z919" s="3">
        <v>45470</v>
      </c>
      <c r="AA919" s="3">
        <v>45478</v>
      </c>
      <c r="AB919" t="s">
        <v>2923</v>
      </c>
      <c r="AC919">
        <v>8</v>
      </c>
    </row>
    <row r="920" spans="1:29" x14ac:dyDescent="0.3">
      <c r="A920" s="3">
        <v>45432</v>
      </c>
      <c r="B920" s="3" t="str">
        <f>TEXT(CleanedTable[[#This Row],[OrderDate]],"mmm")</f>
        <v>May</v>
      </c>
      <c r="C920" s="3" t="str">
        <f>TEXT(CleanedTable[[#This Row],[OrderDate]],"yyyy")</f>
        <v>2024</v>
      </c>
      <c r="D920" s="3" t="str">
        <f>TEXT(CleanedTable[[#This Row],[OrderDate]],"mmm yyyy")</f>
        <v>May 2024</v>
      </c>
      <c r="E920" t="s">
        <v>20</v>
      </c>
      <c r="F920" t="s">
        <v>28</v>
      </c>
      <c r="G920" s="12">
        <v>13</v>
      </c>
      <c r="H920" s="8">
        <v>284.3</v>
      </c>
      <c r="I920" t="s">
        <v>32</v>
      </c>
      <c r="J920" t="s">
        <v>35</v>
      </c>
      <c r="K920" s="10">
        <v>0.05</v>
      </c>
      <c r="L920" t="s">
        <v>42</v>
      </c>
      <c r="M920">
        <v>3511.105</v>
      </c>
      <c r="N920">
        <v>2217.54</v>
      </c>
      <c r="O920" s="10">
        <v>1244.835</v>
      </c>
      <c r="P920" s="10">
        <v>0.35454223100704763</v>
      </c>
      <c r="Q920" s="8">
        <v>3511.105</v>
      </c>
      <c r="R920" t="s">
        <v>43</v>
      </c>
      <c r="S920" t="s">
        <v>50</v>
      </c>
      <c r="T920" t="s">
        <v>2931</v>
      </c>
      <c r="U920">
        <v>0</v>
      </c>
      <c r="V920" t="str">
        <f>IF(CleanedTable[[#This Row],[Returned]] = 0,"NO","Yes")</f>
        <v>NO</v>
      </c>
      <c r="W920" t="s">
        <v>969</v>
      </c>
      <c r="X920" t="s">
        <v>2423</v>
      </c>
      <c r="Y920" s="10">
        <v>48.73</v>
      </c>
      <c r="Z920" s="3">
        <v>45432</v>
      </c>
      <c r="AA920" s="3">
        <v>45439</v>
      </c>
      <c r="AB920" t="s">
        <v>2923</v>
      </c>
      <c r="AC920">
        <v>7</v>
      </c>
    </row>
    <row r="921" spans="1:29" x14ac:dyDescent="0.3">
      <c r="A921" s="3">
        <v>45094</v>
      </c>
      <c r="B921" s="3" t="str">
        <f>TEXT(CleanedTable[[#This Row],[OrderDate]],"mmm")</f>
        <v>Jun</v>
      </c>
      <c r="C921" s="3" t="str">
        <f>TEXT(CleanedTable[[#This Row],[OrderDate]],"yyyy")</f>
        <v>2023</v>
      </c>
      <c r="D921" s="3" t="str">
        <f>TEXT(CleanedTable[[#This Row],[OrderDate]],"mmm yyyy")</f>
        <v>Jun 2023</v>
      </c>
      <c r="E921" t="s">
        <v>23</v>
      </c>
      <c r="F921" t="s">
        <v>27</v>
      </c>
      <c r="G921" s="12">
        <v>12</v>
      </c>
      <c r="H921" s="8">
        <v>427.1</v>
      </c>
      <c r="I921" t="s">
        <v>33</v>
      </c>
      <c r="J921" t="s">
        <v>36</v>
      </c>
      <c r="K921" s="10">
        <v>0</v>
      </c>
      <c r="L921" t="s">
        <v>40</v>
      </c>
      <c r="M921">
        <v>5125.2000000000007</v>
      </c>
      <c r="N921">
        <v>3075.12</v>
      </c>
      <c r="O921" s="10">
        <v>2041.9700000000009</v>
      </c>
      <c r="P921" s="10">
        <v>0.39841762272691811</v>
      </c>
      <c r="Q921" s="8">
        <v>5125.2000000000007</v>
      </c>
      <c r="R921" t="s">
        <v>44</v>
      </c>
      <c r="S921" t="s">
        <v>50</v>
      </c>
      <c r="T921" t="s">
        <v>2931</v>
      </c>
      <c r="U921">
        <v>1</v>
      </c>
      <c r="V921" t="str">
        <f>IF(CleanedTable[[#This Row],[Returned]] = 0,"NO","Yes")</f>
        <v>Yes</v>
      </c>
      <c r="W921" t="s">
        <v>970</v>
      </c>
      <c r="X921" t="s">
        <v>2424</v>
      </c>
      <c r="Y921" s="10">
        <v>8.11</v>
      </c>
      <c r="Z921" s="3">
        <v>45094</v>
      </c>
      <c r="AA921" s="3">
        <v>45099</v>
      </c>
      <c r="AB921" t="s">
        <v>2926</v>
      </c>
      <c r="AC921">
        <v>5</v>
      </c>
    </row>
    <row r="922" spans="1:29" x14ac:dyDescent="0.3">
      <c r="A922" s="3">
        <v>45602</v>
      </c>
      <c r="B922" s="3" t="str">
        <f>TEXT(CleanedTable[[#This Row],[OrderDate]],"mmm")</f>
        <v>Nov</v>
      </c>
      <c r="C922" s="3" t="str">
        <f>TEXT(CleanedTable[[#This Row],[OrderDate]],"yyyy")</f>
        <v>2024</v>
      </c>
      <c r="D922" s="3" t="str">
        <f>TEXT(CleanedTable[[#This Row],[OrderDate]],"mmm yyyy")</f>
        <v>Nov 2024</v>
      </c>
      <c r="E922" t="s">
        <v>19</v>
      </c>
      <c r="F922" t="s">
        <v>28</v>
      </c>
      <c r="G922" s="12">
        <v>11</v>
      </c>
      <c r="H922" s="8">
        <v>200.3</v>
      </c>
      <c r="I922" t="s">
        <v>34</v>
      </c>
      <c r="J922" t="s">
        <v>36</v>
      </c>
      <c r="K922" s="10">
        <v>0.1</v>
      </c>
      <c r="L922" t="s">
        <v>37</v>
      </c>
      <c r="M922">
        <v>1982.9700000000003</v>
      </c>
      <c r="N922">
        <v>1321.98</v>
      </c>
      <c r="O922" s="10">
        <v>612.72000000000025</v>
      </c>
      <c r="P922" s="10">
        <v>0.30899105886624617</v>
      </c>
      <c r="Q922" s="8">
        <v>1982.97</v>
      </c>
      <c r="R922" t="s">
        <v>46</v>
      </c>
      <c r="S922" t="s">
        <v>50</v>
      </c>
      <c r="T922" t="s">
        <v>2931</v>
      </c>
      <c r="U922">
        <v>1</v>
      </c>
      <c r="V922" t="str">
        <f>IF(CleanedTable[[#This Row],[Returned]] = 0,"NO","Yes")</f>
        <v>Yes</v>
      </c>
      <c r="W922" t="s">
        <v>971</v>
      </c>
      <c r="X922" t="s">
        <v>2425</v>
      </c>
      <c r="Y922" s="10">
        <v>48.27</v>
      </c>
      <c r="Z922" s="3">
        <v>45602</v>
      </c>
      <c r="AA922" s="3">
        <v>45609</v>
      </c>
      <c r="AB922" t="s">
        <v>2922</v>
      </c>
      <c r="AC922">
        <v>7</v>
      </c>
    </row>
    <row r="923" spans="1:29" x14ac:dyDescent="0.3">
      <c r="A923" s="3">
        <v>45700</v>
      </c>
      <c r="B923" s="3" t="str">
        <f>TEXT(CleanedTable[[#This Row],[OrderDate]],"mmm")</f>
        <v>Feb</v>
      </c>
      <c r="C923" s="3" t="str">
        <f>TEXT(CleanedTable[[#This Row],[OrderDate]],"yyyy")</f>
        <v>2025</v>
      </c>
      <c r="D923" s="3" t="str">
        <f>TEXT(CleanedTable[[#This Row],[OrderDate]],"mmm yyyy")</f>
        <v>Feb 2025</v>
      </c>
      <c r="E923" t="s">
        <v>21</v>
      </c>
      <c r="F923" t="s">
        <v>30</v>
      </c>
      <c r="G923" s="12">
        <v>4</v>
      </c>
      <c r="H923" s="8">
        <v>75.8</v>
      </c>
      <c r="I923" t="s">
        <v>33</v>
      </c>
      <c r="J923" t="s">
        <v>36</v>
      </c>
      <c r="K923" s="10">
        <v>0.15</v>
      </c>
      <c r="L923" t="s">
        <v>40</v>
      </c>
      <c r="M923">
        <v>257.71999999999997</v>
      </c>
      <c r="N923">
        <v>181.92</v>
      </c>
      <c r="O923" s="10">
        <v>63.579999999999984</v>
      </c>
      <c r="P923" s="10">
        <v>0.24670184696569916</v>
      </c>
      <c r="Q923" s="8">
        <v>257.72000000000003</v>
      </c>
      <c r="R923" t="s">
        <v>45</v>
      </c>
      <c r="S923" t="s">
        <v>49</v>
      </c>
      <c r="T923" t="s">
        <v>2931</v>
      </c>
      <c r="U923">
        <v>0</v>
      </c>
      <c r="V923" t="str">
        <f>IF(CleanedTable[[#This Row],[Returned]] = 0,"NO","Yes")</f>
        <v>NO</v>
      </c>
      <c r="W923" t="s">
        <v>972</v>
      </c>
      <c r="X923" t="s">
        <v>2426</v>
      </c>
      <c r="Y923" s="10">
        <v>12.22</v>
      </c>
      <c r="Z923" s="3">
        <v>45700</v>
      </c>
      <c r="AA923" s="3">
        <v>45708</v>
      </c>
      <c r="AB923" t="s">
        <v>2924</v>
      </c>
      <c r="AC923">
        <v>8</v>
      </c>
    </row>
    <row r="924" spans="1:29" x14ac:dyDescent="0.3">
      <c r="A924" s="3">
        <v>45756</v>
      </c>
      <c r="B924" s="3" t="str">
        <f>TEXT(CleanedTable[[#This Row],[OrderDate]],"mmm")</f>
        <v>Apr</v>
      </c>
      <c r="C924" s="3" t="str">
        <f>TEXT(CleanedTable[[#This Row],[OrderDate]],"yyyy")</f>
        <v>2025</v>
      </c>
      <c r="D924" s="3" t="str">
        <f>TEXT(CleanedTable[[#This Row],[OrderDate]],"mmm yyyy")</f>
        <v>Apr 2025</v>
      </c>
      <c r="E924" t="s">
        <v>21</v>
      </c>
      <c r="F924" t="s">
        <v>28</v>
      </c>
      <c r="G924" s="12">
        <v>4</v>
      </c>
      <c r="H924" s="8">
        <v>518.42999999999995</v>
      </c>
      <c r="I924" t="s">
        <v>32</v>
      </c>
      <c r="J924" t="s">
        <v>35</v>
      </c>
      <c r="K924" s="10">
        <v>0</v>
      </c>
      <c r="L924" t="s">
        <v>38</v>
      </c>
      <c r="M924">
        <v>2073.7199999999998</v>
      </c>
      <c r="N924">
        <v>1244.2319999999997</v>
      </c>
      <c r="O924" s="10">
        <v>798.62800000000004</v>
      </c>
      <c r="P924" s="10">
        <v>0.38511853094921211</v>
      </c>
      <c r="Q924" s="8">
        <v>2073.7199999999998</v>
      </c>
      <c r="R924" t="s">
        <v>43</v>
      </c>
      <c r="S924" t="s">
        <v>49</v>
      </c>
      <c r="T924" t="s">
        <v>2931</v>
      </c>
      <c r="U924">
        <v>0</v>
      </c>
      <c r="V924" t="str">
        <f>IF(CleanedTable[[#This Row],[Returned]] = 0,"NO","Yes")</f>
        <v>NO</v>
      </c>
      <c r="W924" t="s">
        <v>973</v>
      </c>
      <c r="X924" t="s">
        <v>2131</v>
      </c>
      <c r="Y924" s="10">
        <v>30.86</v>
      </c>
      <c r="Z924" s="3">
        <v>45756</v>
      </c>
      <c r="AA924" s="3">
        <v>45761</v>
      </c>
      <c r="AB924" t="s">
        <v>2924</v>
      </c>
      <c r="AC924">
        <v>5</v>
      </c>
    </row>
    <row r="925" spans="1:29" x14ac:dyDescent="0.3">
      <c r="A925" s="3">
        <v>45522</v>
      </c>
      <c r="B925" s="3" t="str">
        <f>TEXT(CleanedTable[[#This Row],[OrderDate]],"mmm")</f>
        <v>Aug</v>
      </c>
      <c r="C925" s="3" t="str">
        <f>TEXT(CleanedTable[[#This Row],[OrderDate]],"yyyy")</f>
        <v>2024</v>
      </c>
      <c r="D925" s="3" t="str">
        <f>TEXT(CleanedTable[[#This Row],[OrderDate]],"mmm yyyy")</f>
        <v>Aug 2024</v>
      </c>
      <c r="E925" t="s">
        <v>21</v>
      </c>
      <c r="F925" t="s">
        <v>29</v>
      </c>
      <c r="G925" s="12">
        <v>19</v>
      </c>
      <c r="H925" s="8">
        <v>181.18</v>
      </c>
      <c r="I925" t="s">
        <v>32</v>
      </c>
      <c r="J925" t="s">
        <v>35</v>
      </c>
      <c r="K925" s="10">
        <v>0.05</v>
      </c>
      <c r="L925" t="s">
        <v>40</v>
      </c>
      <c r="M925">
        <v>3270.299</v>
      </c>
      <c r="N925">
        <v>2065.4519999999998</v>
      </c>
      <c r="O925" s="10">
        <v>1192.8070000000002</v>
      </c>
      <c r="P925" s="10">
        <v>0.36473943208250997</v>
      </c>
      <c r="Q925" s="8">
        <v>3270.299</v>
      </c>
      <c r="R925" t="s">
        <v>45</v>
      </c>
      <c r="S925" t="s">
        <v>48</v>
      </c>
      <c r="T925" t="s">
        <v>2931</v>
      </c>
      <c r="U925">
        <v>0</v>
      </c>
      <c r="V925" t="str">
        <f>IF(CleanedTable[[#This Row],[Returned]] = 0,"NO","Yes")</f>
        <v>NO</v>
      </c>
      <c r="W925" t="s">
        <v>974</v>
      </c>
      <c r="X925" t="s">
        <v>2427</v>
      </c>
      <c r="Y925" s="10">
        <v>12.04</v>
      </c>
      <c r="Z925" s="3">
        <v>45522</v>
      </c>
      <c r="AA925" s="3">
        <v>45530</v>
      </c>
      <c r="AB925" t="s">
        <v>2924</v>
      </c>
      <c r="AC925">
        <v>8</v>
      </c>
    </row>
    <row r="926" spans="1:29" x14ac:dyDescent="0.3">
      <c r="A926" s="3">
        <v>44977</v>
      </c>
      <c r="B926" s="3" t="str">
        <f>TEXT(CleanedTable[[#This Row],[OrderDate]],"mmm")</f>
        <v>Feb</v>
      </c>
      <c r="C926" s="3" t="str">
        <f>TEXT(CleanedTable[[#This Row],[OrderDate]],"yyyy")</f>
        <v>2023</v>
      </c>
      <c r="D926" s="3" t="str">
        <f>TEXT(CleanedTable[[#This Row],[OrderDate]],"mmm yyyy")</f>
        <v>Feb 2023</v>
      </c>
      <c r="E926" t="s">
        <v>22</v>
      </c>
      <c r="F926" t="s">
        <v>24</v>
      </c>
      <c r="G926" s="12">
        <v>3</v>
      </c>
      <c r="H926" s="8">
        <v>197.17</v>
      </c>
      <c r="I926" t="s">
        <v>32</v>
      </c>
      <c r="J926" t="s">
        <v>35</v>
      </c>
      <c r="K926" s="10">
        <v>0.05</v>
      </c>
      <c r="L926" t="s">
        <v>39</v>
      </c>
      <c r="M926">
        <v>561.93449999999996</v>
      </c>
      <c r="N926">
        <v>354.90599999999995</v>
      </c>
      <c r="O926" s="10">
        <v>176.73850000000002</v>
      </c>
      <c r="P926" s="10">
        <v>0.31451797318014829</v>
      </c>
      <c r="Q926" s="8">
        <v>561.93449999999996</v>
      </c>
      <c r="R926" t="s">
        <v>44</v>
      </c>
      <c r="S926" t="s">
        <v>48</v>
      </c>
      <c r="T926" t="s">
        <v>2931</v>
      </c>
      <c r="U926">
        <v>1</v>
      </c>
      <c r="V926" t="str">
        <f>IF(CleanedTable[[#This Row],[Returned]] = 0,"NO","Yes")</f>
        <v>Yes</v>
      </c>
      <c r="W926" t="s">
        <v>975</v>
      </c>
      <c r="X926" t="s">
        <v>2113</v>
      </c>
      <c r="Y926" s="10">
        <v>30.29</v>
      </c>
      <c r="Z926" s="3">
        <v>44977</v>
      </c>
      <c r="AA926" s="3">
        <v>44980</v>
      </c>
      <c r="AB926" t="s">
        <v>2925</v>
      </c>
      <c r="AC926">
        <v>3</v>
      </c>
    </row>
    <row r="927" spans="1:29" x14ac:dyDescent="0.3">
      <c r="A927" s="3">
        <v>45775</v>
      </c>
      <c r="B927" s="3" t="str">
        <f>TEXT(CleanedTable[[#This Row],[OrderDate]],"mmm")</f>
        <v>Apr</v>
      </c>
      <c r="C927" s="3" t="str">
        <f>TEXT(CleanedTable[[#This Row],[OrderDate]],"yyyy")</f>
        <v>2025</v>
      </c>
      <c r="D927" s="3" t="str">
        <f>TEXT(CleanedTable[[#This Row],[OrderDate]],"mmm yyyy")</f>
        <v>Apr 2025</v>
      </c>
      <c r="E927" t="s">
        <v>21</v>
      </c>
      <c r="F927" t="s">
        <v>24</v>
      </c>
      <c r="G927" s="12">
        <v>6</v>
      </c>
      <c r="H927" s="8">
        <v>81.96</v>
      </c>
      <c r="I927" t="s">
        <v>34</v>
      </c>
      <c r="J927" t="s">
        <v>35</v>
      </c>
      <c r="K927" s="10">
        <v>0.05</v>
      </c>
      <c r="L927" t="s">
        <v>41</v>
      </c>
      <c r="M927">
        <v>467.17199999999997</v>
      </c>
      <c r="N927">
        <v>295.05599999999998</v>
      </c>
      <c r="O927" s="10">
        <v>145.68599999999998</v>
      </c>
      <c r="P927" s="10">
        <v>0.3118466003955716</v>
      </c>
      <c r="Q927" s="8">
        <v>467.17200000000003</v>
      </c>
      <c r="R927" t="s">
        <v>45</v>
      </c>
      <c r="S927" t="s">
        <v>50</v>
      </c>
      <c r="T927" t="s">
        <v>2931</v>
      </c>
      <c r="U927">
        <v>0</v>
      </c>
      <c r="V927" t="str">
        <f>IF(CleanedTable[[#This Row],[Returned]] = 0,"NO","Yes")</f>
        <v>NO</v>
      </c>
      <c r="W927" t="s">
        <v>976</v>
      </c>
      <c r="X927" t="s">
        <v>2428</v>
      </c>
      <c r="Y927" s="10">
        <v>26.43</v>
      </c>
      <c r="Z927" s="3">
        <v>45775</v>
      </c>
      <c r="AA927" s="3">
        <v>45785</v>
      </c>
      <c r="AB927" t="s">
        <v>2924</v>
      </c>
      <c r="AC927">
        <v>10</v>
      </c>
    </row>
    <row r="928" spans="1:29" x14ac:dyDescent="0.3">
      <c r="A928" s="3">
        <v>45148</v>
      </c>
      <c r="B928" s="3" t="str">
        <f>TEXT(CleanedTable[[#This Row],[OrderDate]],"mmm")</f>
        <v>Aug</v>
      </c>
      <c r="C928" s="3" t="str">
        <f>TEXT(CleanedTable[[#This Row],[OrderDate]],"yyyy")</f>
        <v>2023</v>
      </c>
      <c r="D928" s="3" t="str">
        <f>TEXT(CleanedTable[[#This Row],[OrderDate]],"mmm yyyy")</f>
        <v>Aug 2023</v>
      </c>
      <c r="E928" t="s">
        <v>22</v>
      </c>
      <c r="F928" t="s">
        <v>30</v>
      </c>
      <c r="G928" s="12">
        <v>3</v>
      </c>
      <c r="H928" s="8">
        <v>59.78</v>
      </c>
      <c r="I928" t="s">
        <v>33</v>
      </c>
      <c r="J928" t="s">
        <v>36</v>
      </c>
      <c r="K928" s="10">
        <v>0</v>
      </c>
      <c r="L928" t="s">
        <v>37</v>
      </c>
      <c r="M928">
        <v>179.34</v>
      </c>
      <c r="N928">
        <v>107.60400000000001</v>
      </c>
      <c r="O928" s="10">
        <v>24.755999999999993</v>
      </c>
      <c r="P928" s="10">
        <v>0.13803947808631645</v>
      </c>
      <c r="Q928" s="8">
        <v>179.34</v>
      </c>
      <c r="R928" t="s">
        <v>43</v>
      </c>
      <c r="S928" t="s">
        <v>49</v>
      </c>
      <c r="T928" t="s">
        <v>2931</v>
      </c>
      <c r="U928">
        <v>0</v>
      </c>
      <c r="V928" t="str">
        <f>IF(CleanedTable[[#This Row],[Returned]] = 0,"NO","Yes")</f>
        <v>NO</v>
      </c>
      <c r="W928" t="s">
        <v>977</v>
      </c>
      <c r="X928" t="s">
        <v>2429</v>
      </c>
      <c r="Y928" s="10">
        <v>46.98</v>
      </c>
      <c r="Z928" s="3">
        <v>45148</v>
      </c>
      <c r="AA928" s="3">
        <v>45151</v>
      </c>
      <c r="AB928" t="s">
        <v>2925</v>
      </c>
      <c r="AC928">
        <v>3</v>
      </c>
    </row>
    <row r="929" spans="1:29" x14ac:dyDescent="0.3">
      <c r="A929" s="3">
        <v>45467</v>
      </c>
      <c r="B929" s="3" t="str">
        <f>TEXT(CleanedTable[[#This Row],[OrderDate]],"mmm")</f>
        <v>Jun</v>
      </c>
      <c r="C929" s="3" t="str">
        <f>TEXT(CleanedTable[[#This Row],[OrderDate]],"yyyy")</f>
        <v>2024</v>
      </c>
      <c r="D929" s="3" t="str">
        <f>TEXT(CleanedTable[[#This Row],[OrderDate]],"mmm yyyy")</f>
        <v>Jun 2024</v>
      </c>
      <c r="E929" t="s">
        <v>21</v>
      </c>
      <c r="F929" t="s">
        <v>29</v>
      </c>
      <c r="G929" s="12">
        <v>12</v>
      </c>
      <c r="H929" s="8">
        <v>211.66</v>
      </c>
      <c r="I929" t="s">
        <v>32</v>
      </c>
      <c r="J929" t="s">
        <v>35</v>
      </c>
      <c r="K929" s="10">
        <v>0.1</v>
      </c>
      <c r="L929" t="s">
        <v>40</v>
      </c>
      <c r="M929">
        <v>2285.9280000000003</v>
      </c>
      <c r="N929">
        <v>1523.952</v>
      </c>
      <c r="O929" s="10">
        <v>751.61600000000033</v>
      </c>
      <c r="P929" s="10">
        <v>0.32880125708246288</v>
      </c>
      <c r="Q929" s="8">
        <v>2285.9279999999999</v>
      </c>
      <c r="R929" t="s">
        <v>45</v>
      </c>
      <c r="S929" t="s">
        <v>49</v>
      </c>
      <c r="T929" t="s">
        <v>2931</v>
      </c>
      <c r="U929">
        <v>0</v>
      </c>
      <c r="V929" t="str">
        <f>IF(CleanedTable[[#This Row],[Returned]] = 0,"NO","Yes")</f>
        <v>NO</v>
      </c>
      <c r="W929" t="s">
        <v>978</v>
      </c>
      <c r="X929" t="s">
        <v>2430</v>
      </c>
      <c r="Y929" s="10">
        <v>10.36</v>
      </c>
      <c r="Z929" s="3">
        <v>45467</v>
      </c>
      <c r="AA929" s="3">
        <v>45472</v>
      </c>
      <c r="AB929" t="s">
        <v>2924</v>
      </c>
      <c r="AC929">
        <v>5</v>
      </c>
    </row>
    <row r="930" spans="1:29" x14ac:dyDescent="0.3">
      <c r="A930" s="3">
        <v>45144</v>
      </c>
      <c r="B930" s="3" t="str">
        <f>TEXT(CleanedTable[[#This Row],[OrderDate]],"mmm")</f>
        <v>Aug</v>
      </c>
      <c r="C930" s="3" t="str">
        <f>TEXT(CleanedTable[[#This Row],[OrderDate]],"yyyy")</f>
        <v>2023</v>
      </c>
      <c r="D930" s="3" t="str">
        <f>TEXT(CleanedTable[[#This Row],[OrderDate]],"mmm yyyy")</f>
        <v>Aug 2023</v>
      </c>
      <c r="E930" t="s">
        <v>22</v>
      </c>
      <c r="F930" t="s">
        <v>30</v>
      </c>
      <c r="G930" s="12">
        <v>13</v>
      </c>
      <c r="H930" s="8">
        <v>69.97</v>
      </c>
      <c r="I930" t="s">
        <v>32</v>
      </c>
      <c r="J930" t="s">
        <v>35</v>
      </c>
      <c r="K930" s="10">
        <v>0.05</v>
      </c>
      <c r="L930" t="s">
        <v>38</v>
      </c>
      <c r="M930">
        <v>864.12950000000001</v>
      </c>
      <c r="N930">
        <v>545.76599999999996</v>
      </c>
      <c r="O930" s="10">
        <v>290.70350000000002</v>
      </c>
      <c r="P930" s="10">
        <v>0.33641196140161866</v>
      </c>
      <c r="Q930" s="8">
        <v>864.12950000000001</v>
      </c>
      <c r="R930" t="s">
        <v>46</v>
      </c>
      <c r="T930" t="s">
        <v>2932</v>
      </c>
      <c r="U930">
        <v>0</v>
      </c>
      <c r="V930" t="str">
        <f>IF(CleanedTable[[#This Row],[Returned]] = 0,"NO","Yes")</f>
        <v>NO</v>
      </c>
      <c r="W930" t="s">
        <v>979</v>
      </c>
      <c r="X930" t="s">
        <v>2431</v>
      </c>
      <c r="Y930" s="10">
        <v>27.66</v>
      </c>
      <c r="Z930" s="3">
        <v>45144</v>
      </c>
      <c r="AA930" s="3">
        <v>45150</v>
      </c>
      <c r="AB930" t="s">
        <v>2925</v>
      </c>
      <c r="AC930">
        <v>6</v>
      </c>
    </row>
    <row r="931" spans="1:29" x14ac:dyDescent="0.3">
      <c r="A931" s="3">
        <v>45622</v>
      </c>
      <c r="B931" s="3" t="str">
        <f>TEXT(CleanedTable[[#This Row],[OrderDate]],"mmm")</f>
        <v>Nov</v>
      </c>
      <c r="C931" s="3" t="str">
        <f>TEXT(CleanedTable[[#This Row],[OrderDate]],"yyyy")</f>
        <v>2024</v>
      </c>
      <c r="D931" s="3" t="str">
        <f>TEXT(CleanedTable[[#This Row],[OrderDate]],"mmm yyyy")</f>
        <v>Nov 2024</v>
      </c>
      <c r="E931" t="s">
        <v>19</v>
      </c>
      <c r="F931" t="s">
        <v>29</v>
      </c>
      <c r="G931" s="12">
        <v>7</v>
      </c>
      <c r="H931" s="8">
        <v>438.33</v>
      </c>
      <c r="I931" t="s">
        <v>33</v>
      </c>
      <c r="J931" t="s">
        <v>36</v>
      </c>
      <c r="K931" s="10">
        <v>0.1</v>
      </c>
      <c r="L931" t="s">
        <v>39</v>
      </c>
      <c r="M931">
        <v>2761.4789999999998</v>
      </c>
      <c r="N931">
        <v>1840.9859999999999</v>
      </c>
      <c r="O931" s="10">
        <v>908.92299999999989</v>
      </c>
      <c r="P931" s="10">
        <v>0.32914354952545355</v>
      </c>
      <c r="Q931" s="8">
        <v>2761.4789999999998</v>
      </c>
      <c r="R931" t="s">
        <v>47</v>
      </c>
      <c r="T931" t="s">
        <v>2932</v>
      </c>
      <c r="U931">
        <v>1</v>
      </c>
      <c r="V931" t="str">
        <f>IF(CleanedTable[[#This Row],[Returned]] = 0,"NO","Yes")</f>
        <v>Yes</v>
      </c>
      <c r="W931" t="s">
        <v>980</v>
      </c>
      <c r="X931" t="s">
        <v>2100</v>
      </c>
      <c r="Y931" s="10">
        <v>11.57</v>
      </c>
      <c r="Z931" s="3">
        <v>45622</v>
      </c>
      <c r="AA931" s="3">
        <v>45626</v>
      </c>
      <c r="AB931" t="s">
        <v>2922</v>
      </c>
      <c r="AC931">
        <v>4</v>
      </c>
    </row>
    <row r="932" spans="1:29" x14ac:dyDescent="0.3">
      <c r="A932" s="3">
        <v>45694</v>
      </c>
      <c r="B932" s="3" t="str">
        <f>TEXT(CleanedTable[[#This Row],[OrderDate]],"mmm")</f>
        <v>Feb</v>
      </c>
      <c r="C932" s="3" t="str">
        <f>TEXT(CleanedTable[[#This Row],[OrderDate]],"yyyy")</f>
        <v>2025</v>
      </c>
      <c r="D932" s="3" t="str">
        <f>TEXT(CleanedTable[[#This Row],[OrderDate]],"mmm yyyy")</f>
        <v>Feb 2025</v>
      </c>
      <c r="E932" t="s">
        <v>19</v>
      </c>
      <c r="F932" t="s">
        <v>24</v>
      </c>
      <c r="G932" s="12">
        <v>7</v>
      </c>
      <c r="H932" s="8">
        <v>241.81</v>
      </c>
      <c r="I932" t="s">
        <v>33</v>
      </c>
      <c r="J932" t="s">
        <v>35</v>
      </c>
      <c r="K932" s="10">
        <v>0.1</v>
      </c>
      <c r="L932" t="s">
        <v>38</v>
      </c>
      <c r="M932">
        <v>1523.403</v>
      </c>
      <c r="N932">
        <v>1015.6019999999999</v>
      </c>
      <c r="O932" s="10">
        <v>474.86100000000016</v>
      </c>
      <c r="P932" s="10">
        <v>0.31171068981746797</v>
      </c>
      <c r="Q932" s="8">
        <v>1523.403</v>
      </c>
      <c r="R932" t="s">
        <v>46</v>
      </c>
      <c r="S932" t="s">
        <v>48</v>
      </c>
      <c r="T932" t="s">
        <v>2931</v>
      </c>
      <c r="U932">
        <v>0</v>
      </c>
      <c r="V932" t="str">
        <f>IF(CleanedTable[[#This Row],[Returned]] = 0,"NO","Yes")</f>
        <v>NO</v>
      </c>
      <c r="W932" t="s">
        <v>981</v>
      </c>
      <c r="X932" t="s">
        <v>2432</v>
      </c>
      <c r="Y932" s="10">
        <v>32.94</v>
      </c>
      <c r="Z932" s="3">
        <v>45694</v>
      </c>
      <c r="AA932" s="3">
        <v>45698</v>
      </c>
      <c r="AB932" t="s">
        <v>2922</v>
      </c>
      <c r="AC932">
        <v>4</v>
      </c>
    </row>
    <row r="933" spans="1:29" x14ac:dyDescent="0.3">
      <c r="A933" s="3">
        <v>45736</v>
      </c>
      <c r="B933" s="3" t="str">
        <f>TEXT(CleanedTable[[#This Row],[OrderDate]],"mmm")</f>
        <v>Mar</v>
      </c>
      <c r="C933" s="3" t="str">
        <f>TEXT(CleanedTable[[#This Row],[OrderDate]],"yyyy")</f>
        <v>2025</v>
      </c>
      <c r="D933" s="3" t="str">
        <f>TEXT(CleanedTable[[#This Row],[OrderDate]],"mmm yyyy")</f>
        <v>Mar 2025</v>
      </c>
      <c r="E933" t="s">
        <v>19</v>
      </c>
      <c r="F933" t="s">
        <v>26</v>
      </c>
      <c r="G933" s="12">
        <v>3</v>
      </c>
      <c r="H933" s="8">
        <v>466.64</v>
      </c>
      <c r="I933" t="s">
        <v>32</v>
      </c>
      <c r="J933" t="s">
        <v>36</v>
      </c>
      <c r="K933" s="10">
        <v>0.15</v>
      </c>
      <c r="L933" t="s">
        <v>42</v>
      </c>
      <c r="M933">
        <v>1189.932</v>
      </c>
      <c r="N933">
        <v>839.952</v>
      </c>
      <c r="O933" s="10">
        <v>319.65000000000003</v>
      </c>
      <c r="P933" s="10">
        <v>0.26862879559504244</v>
      </c>
      <c r="Q933" s="8">
        <v>1189.932</v>
      </c>
      <c r="R933" t="s">
        <v>43</v>
      </c>
      <c r="S933" t="s">
        <v>48</v>
      </c>
      <c r="T933" t="s">
        <v>2931</v>
      </c>
      <c r="U933">
        <v>0</v>
      </c>
      <c r="V933" t="str">
        <f>IF(CleanedTable[[#This Row],[Returned]] = 0,"NO","Yes")</f>
        <v>NO</v>
      </c>
      <c r="W933" t="s">
        <v>982</v>
      </c>
      <c r="X933" t="s">
        <v>2433</v>
      </c>
      <c r="Y933" s="10">
        <v>30.33</v>
      </c>
      <c r="Z933" s="3">
        <v>45736</v>
      </c>
      <c r="AA933" s="3">
        <v>45742</v>
      </c>
      <c r="AB933" t="s">
        <v>2922</v>
      </c>
      <c r="AC933">
        <v>6</v>
      </c>
    </row>
    <row r="934" spans="1:29" x14ac:dyDescent="0.3">
      <c r="A934" s="3">
        <v>45545</v>
      </c>
      <c r="B934" s="3" t="str">
        <f>TEXT(CleanedTable[[#This Row],[OrderDate]],"mmm")</f>
        <v>Sep</v>
      </c>
      <c r="C934" s="3" t="str">
        <f>TEXT(CleanedTable[[#This Row],[OrderDate]],"yyyy")</f>
        <v>2024</v>
      </c>
      <c r="D934" s="3" t="str">
        <f>TEXT(CleanedTable[[#This Row],[OrderDate]],"mmm yyyy")</f>
        <v>Sep 2024</v>
      </c>
      <c r="E934" t="s">
        <v>20</v>
      </c>
      <c r="F934" t="s">
        <v>28</v>
      </c>
      <c r="G934" s="12">
        <v>9</v>
      </c>
      <c r="H934" s="8">
        <v>472.84</v>
      </c>
      <c r="I934" t="s">
        <v>34</v>
      </c>
      <c r="J934" t="s">
        <v>36</v>
      </c>
      <c r="K934" s="10">
        <v>0.05</v>
      </c>
      <c r="L934" t="s">
        <v>38</v>
      </c>
      <c r="M934">
        <v>4042.7819999999992</v>
      </c>
      <c r="N934">
        <v>2553.3359999999993</v>
      </c>
      <c r="O934" s="10">
        <v>1441.3159999999998</v>
      </c>
      <c r="P934" s="10">
        <v>0.35651588435884002</v>
      </c>
      <c r="Q934" s="8">
        <v>4042.7819999999988</v>
      </c>
      <c r="R934" t="s">
        <v>45</v>
      </c>
      <c r="S934" t="s">
        <v>50</v>
      </c>
      <c r="T934" t="s">
        <v>2931</v>
      </c>
      <c r="U934">
        <v>0</v>
      </c>
      <c r="V934" t="str">
        <f>IF(CleanedTable[[#This Row],[Returned]] = 0,"NO","Yes")</f>
        <v>NO</v>
      </c>
      <c r="W934" t="s">
        <v>983</v>
      </c>
      <c r="X934" t="s">
        <v>2434</v>
      </c>
      <c r="Y934" s="10">
        <v>48.13</v>
      </c>
      <c r="Z934" s="3">
        <v>45545</v>
      </c>
      <c r="AA934" s="3">
        <v>45547</v>
      </c>
      <c r="AB934" t="s">
        <v>2923</v>
      </c>
      <c r="AC934">
        <v>2</v>
      </c>
    </row>
    <row r="935" spans="1:29" x14ac:dyDescent="0.3">
      <c r="A935" s="3">
        <v>45708</v>
      </c>
      <c r="B935" s="3" t="str">
        <f>TEXT(CleanedTable[[#This Row],[OrderDate]],"mmm")</f>
        <v>Feb</v>
      </c>
      <c r="C935" s="3" t="str">
        <f>TEXT(CleanedTable[[#This Row],[OrderDate]],"yyyy")</f>
        <v>2025</v>
      </c>
      <c r="D935" s="3" t="str">
        <f>TEXT(CleanedTable[[#This Row],[OrderDate]],"mmm yyyy")</f>
        <v>Feb 2025</v>
      </c>
      <c r="E935" t="s">
        <v>20</v>
      </c>
      <c r="F935" t="s">
        <v>27</v>
      </c>
      <c r="G935" s="12">
        <v>19</v>
      </c>
      <c r="H935" s="8">
        <v>586.49</v>
      </c>
      <c r="I935" t="s">
        <v>32</v>
      </c>
      <c r="J935" t="s">
        <v>35</v>
      </c>
      <c r="K935" s="10">
        <v>0.1</v>
      </c>
      <c r="L935" t="s">
        <v>37</v>
      </c>
      <c r="M935">
        <v>10028.978999999999</v>
      </c>
      <c r="N935">
        <v>6685.9859999999999</v>
      </c>
      <c r="O935" s="10">
        <v>3323.1429999999996</v>
      </c>
      <c r="P935" s="10">
        <v>0.33135406904331932</v>
      </c>
      <c r="Q935" s="8">
        <v>10028.978999999999</v>
      </c>
      <c r="R935" t="s">
        <v>47</v>
      </c>
      <c r="S935" t="s">
        <v>49</v>
      </c>
      <c r="T935" t="s">
        <v>2931</v>
      </c>
      <c r="U935">
        <v>0</v>
      </c>
      <c r="V935" t="str">
        <f>IF(CleanedTable[[#This Row],[Returned]] = 0,"NO","Yes")</f>
        <v>NO</v>
      </c>
      <c r="W935" t="s">
        <v>984</v>
      </c>
      <c r="X935" t="s">
        <v>2435</v>
      </c>
      <c r="Y935" s="10">
        <v>19.850000000000001</v>
      </c>
      <c r="Z935" s="3">
        <v>45708</v>
      </c>
      <c r="AA935" s="3">
        <v>45718</v>
      </c>
      <c r="AB935" t="s">
        <v>2923</v>
      </c>
      <c r="AC935">
        <v>10</v>
      </c>
    </row>
    <row r="936" spans="1:29" x14ac:dyDescent="0.3">
      <c r="A936" s="3">
        <v>44946</v>
      </c>
      <c r="B936" s="3" t="str">
        <f>TEXT(CleanedTable[[#This Row],[OrderDate]],"mmm")</f>
        <v>Jan</v>
      </c>
      <c r="C936" s="3" t="str">
        <f>TEXT(CleanedTable[[#This Row],[OrderDate]],"yyyy")</f>
        <v>2023</v>
      </c>
      <c r="D936" s="3" t="str">
        <f>TEXT(CleanedTable[[#This Row],[OrderDate]],"mmm yyyy")</f>
        <v>Jan 2023</v>
      </c>
      <c r="E936" t="s">
        <v>19</v>
      </c>
      <c r="F936" t="s">
        <v>27</v>
      </c>
      <c r="G936" s="12">
        <v>15</v>
      </c>
      <c r="H936" s="8">
        <v>462.85</v>
      </c>
      <c r="I936" t="s">
        <v>32</v>
      </c>
      <c r="J936" t="s">
        <v>36</v>
      </c>
      <c r="K936" s="10">
        <v>0.15</v>
      </c>
      <c r="L936" t="s">
        <v>41</v>
      </c>
      <c r="M936">
        <v>5901.3374999999996</v>
      </c>
      <c r="N936">
        <v>4165.6499999999996</v>
      </c>
      <c r="O936" s="10">
        <v>1689.5675000000001</v>
      </c>
      <c r="P936" s="10">
        <v>0.28630246956728034</v>
      </c>
      <c r="Q936" s="8">
        <v>5901.3374999999996</v>
      </c>
      <c r="R936" t="s">
        <v>45</v>
      </c>
      <c r="T936" t="s">
        <v>2932</v>
      </c>
      <c r="U936">
        <v>0</v>
      </c>
      <c r="V936" t="str">
        <f>IF(CleanedTable[[#This Row],[Returned]] = 0,"NO","Yes")</f>
        <v>NO</v>
      </c>
      <c r="W936" t="s">
        <v>985</v>
      </c>
      <c r="X936" t="s">
        <v>2436</v>
      </c>
      <c r="Y936" s="10">
        <v>46.12</v>
      </c>
      <c r="Z936" s="3">
        <v>44946</v>
      </c>
      <c r="AA936" s="3">
        <v>44952</v>
      </c>
      <c r="AB936" t="s">
        <v>2922</v>
      </c>
      <c r="AC936">
        <v>6</v>
      </c>
    </row>
    <row r="937" spans="1:29" x14ac:dyDescent="0.3">
      <c r="A937" s="3">
        <v>45354</v>
      </c>
      <c r="B937" s="3" t="str">
        <f>TEXT(CleanedTable[[#This Row],[OrderDate]],"mmm")</f>
        <v>Mar</v>
      </c>
      <c r="C937" s="3" t="str">
        <f>TEXT(CleanedTable[[#This Row],[OrderDate]],"yyyy")</f>
        <v>2024</v>
      </c>
      <c r="D937" s="3" t="str">
        <f>TEXT(CleanedTable[[#This Row],[OrderDate]],"mmm yyyy")</f>
        <v>Mar 2024</v>
      </c>
      <c r="E937" t="s">
        <v>19</v>
      </c>
      <c r="F937" t="s">
        <v>24</v>
      </c>
      <c r="G937" s="12">
        <v>1</v>
      </c>
      <c r="H937" s="8">
        <v>176.17</v>
      </c>
      <c r="I937" t="s">
        <v>33</v>
      </c>
      <c r="J937" t="s">
        <v>36</v>
      </c>
      <c r="K937" s="10">
        <v>0.05</v>
      </c>
      <c r="L937" t="s">
        <v>38</v>
      </c>
      <c r="M937">
        <v>167.36149999999998</v>
      </c>
      <c r="N937">
        <v>105.70199999999998</v>
      </c>
      <c r="O937" s="10">
        <v>25.889499999999991</v>
      </c>
      <c r="P937" s="10">
        <v>0.15469208868228351</v>
      </c>
      <c r="Q937" s="8">
        <v>167.36150000000001</v>
      </c>
      <c r="R937" t="s">
        <v>46</v>
      </c>
      <c r="T937" t="s">
        <v>2932</v>
      </c>
      <c r="U937">
        <v>1</v>
      </c>
      <c r="V937" t="str">
        <f>IF(CleanedTable[[#This Row],[Returned]] = 0,"NO","Yes")</f>
        <v>Yes</v>
      </c>
      <c r="W937" t="s">
        <v>986</v>
      </c>
      <c r="X937" t="s">
        <v>2437</v>
      </c>
      <c r="Y937" s="10">
        <v>35.770000000000003</v>
      </c>
      <c r="Z937" s="3">
        <v>45354</v>
      </c>
      <c r="AA937" s="3">
        <v>45357</v>
      </c>
      <c r="AB937" t="s">
        <v>2922</v>
      </c>
      <c r="AC937">
        <v>3</v>
      </c>
    </row>
    <row r="938" spans="1:29" x14ac:dyDescent="0.3">
      <c r="A938" s="3">
        <v>45257</v>
      </c>
      <c r="B938" s="3" t="str">
        <f>TEXT(CleanedTable[[#This Row],[OrderDate]],"mmm")</f>
        <v>Nov</v>
      </c>
      <c r="C938" s="3" t="str">
        <f>TEXT(CleanedTable[[#This Row],[OrderDate]],"yyyy")</f>
        <v>2023</v>
      </c>
      <c r="D938" s="3" t="str">
        <f>TEXT(CleanedTable[[#This Row],[OrderDate]],"mmm yyyy")</f>
        <v>Nov 2023</v>
      </c>
      <c r="E938" t="s">
        <v>23</v>
      </c>
      <c r="F938" t="s">
        <v>30</v>
      </c>
      <c r="G938" s="12">
        <v>1</v>
      </c>
      <c r="H938" s="8">
        <v>71.239999999999995</v>
      </c>
      <c r="I938" t="s">
        <v>32</v>
      </c>
      <c r="J938" t="s">
        <v>36</v>
      </c>
      <c r="K938" s="10">
        <v>0.1</v>
      </c>
      <c r="L938" t="s">
        <v>40</v>
      </c>
      <c r="M938">
        <v>64.116</v>
      </c>
      <c r="N938">
        <v>42.743999999999993</v>
      </c>
      <c r="O938" s="10">
        <v>-22.317999999999991</v>
      </c>
      <c r="P938" s="10">
        <v>-0.34808784078857058</v>
      </c>
      <c r="Q938" s="8">
        <v>64.116</v>
      </c>
      <c r="R938" t="s">
        <v>46</v>
      </c>
      <c r="T938" t="s">
        <v>2932</v>
      </c>
      <c r="U938">
        <v>1</v>
      </c>
      <c r="V938" t="str">
        <f>IF(CleanedTable[[#This Row],[Returned]] = 0,"NO","Yes")</f>
        <v>Yes</v>
      </c>
      <c r="W938" t="s">
        <v>987</v>
      </c>
      <c r="X938" t="s">
        <v>2438</v>
      </c>
      <c r="Y938" s="10">
        <v>43.69</v>
      </c>
      <c r="Z938" s="3">
        <v>45257</v>
      </c>
      <c r="AA938" s="3">
        <v>45263</v>
      </c>
      <c r="AB938" t="s">
        <v>2926</v>
      </c>
      <c r="AC938">
        <v>6</v>
      </c>
    </row>
    <row r="939" spans="1:29" x14ac:dyDescent="0.3">
      <c r="A939" s="3">
        <v>45606</v>
      </c>
      <c r="B939" s="3" t="str">
        <f>TEXT(CleanedTable[[#This Row],[OrderDate]],"mmm")</f>
        <v>Nov</v>
      </c>
      <c r="C939" s="3" t="str">
        <f>TEXT(CleanedTable[[#This Row],[OrderDate]],"yyyy")</f>
        <v>2024</v>
      </c>
      <c r="D939" s="3" t="str">
        <f>TEXT(CleanedTable[[#This Row],[OrderDate]],"mmm yyyy")</f>
        <v>Nov 2024</v>
      </c>
      <c r="E939" t="s">
        <v>19</v>
      </c>
      <c r="F939" t="s">
        <v>24</v>
      </c>
      <c r="G939" s="12">
        <v>6</v>
      </c>
      <c r="H939" s="8">
        <v>62.43</v>
      </c>
      <c r="I939" t="s">
        <v>32</v>
      </c>
      <c r="J939" t="s">
        <v>35</v>
      </c>
      <c r="K939" s="10">
        <v>0</v>
      </c>
      <c r="L939" t="s">
        <v>41</v>
      </c>
      <c r="M939">
        <v>374.58</v>
      </c>
      <c r="N939">
        <v>224.74799999999999</v>
      </c>
      <c r="O939" s="10">
        <v>131.982</v>
      </c>
      <c r="P939" s="10">
        <v>0.35234662822361046</v>
      </c>
      <c r="Q939" s="8">
        <v>374.58</v>
      </c>
      <c r="R939" t="s">
        <v>44</v>
      </c>
      <c r="S939" t="s">
        <v>50</v>
      </c>
      <c r="T939" t="s">
        <v>2931</v>
      </c>
      <c r="U939">
        <v>0</v>
      </c>
      <c r="V939" t="str">
        <f>IF(CleanedTable[[#This Row],[Returned]] = 0,"NO","Yes")</f>
        <v>NO</v>
      </c>
      <c r="W939" t="s">
        <v>988</v>
      </c>
      <c r="X939" t="s">
        <v>2439</v>
      </c>
      <c r="Y939" s="10">
        <v>17.850000000000001</v>
      </c>
      <c r="Z939" s="3">
        <v>45606</v>
      </c>
      <c r="AA939" s="3">
        <v>45614</v>
      </c>
      <c r="AB939" t="s">
        <v>2922</v>
      </c>
      <c r="AC939">
        <v>8</v>
      </c>
    </row>
    <row r="940" spans="1:29" x14ac:dyDescent="0.3">
      <c r="A940" s="3">
        <v>45692</v>
      </c>
      <c r="B940" s="3" t="str">
        <f>TEXT(CleanedTable[[#This Row],[OrderDate]],"mmm")</f>
        <v>Feb</v>
      </c>
      <c r="C940" s="3" t="str">
        <f>TEXT(CleanedTable[[#This Row],[OrderDate]],"yyyy")</f>
        <v>2025</v>
      </c>
      <c r="D940" s="3" t="str">
        <f>TEXT(CleanedTable[[#This Row],[OrderDate]],"mmm yyyy")</f>
        <v>Feb 2025</v>
      </c>
      <c r="E940" t="s">
        <v>22</v>
      </c>
      <c r="F940" t="s">
        <v>29</v>
      </c>
      <c r="G940" s="12">
        <v>7</v>
      </c>
      <c r="H940" s="8">
        <v>569.89</v>
      </c>
      <c r="I940" t="s">
        <v>34</v>
      </c>
      <c r="J940" t="s">
        <v>35</v>
      </c>
      <c r="K940" s="10">
        <v>0.1</v>
      </c>
      <c r="L940" t="s">
        <v>38</v>
      </c>
      <c r="M940">
        <v>3590.3070000000002</v>
      </c>
      <c r="N940">
        <v>2393.5379999999996</v>
      </c>
      <c r="O940" s="10">
        <v>1169.9590000000007</v>
      </c>
      <c r="P940" s="10">
        <v>0.32586600533046356</v>
      </c>
      <c r="Q940" s="8">
        <v>3590.3069999999998</v>
      </c>
      <c r="R940" t="s">
        <v>47</v>
      </c>
      <c r="S940" t="s">
        <v>49</v>
      </c>
      <c r="T940" t="s">
        <v>2931</v>
      </c>
      <c r="U940">
        <v>0</v>
      </c>
      <c r="V940" t="str">
        <f>IF(CleanedTable[[#This Row],[Returned]] = 0,"NO","Yes")</f>
        <v>NO</v>
      </c>
      <c r="W940" t="s">
        <v>989</v>
      </c>
      <c r="X940" t="s">
        <v>2440</v>
      </c>
      <c r="Y940" s="10">
        <v>26.81</v>
      </c>
      <c r="Z940" s="3">
        <v>45692</v>
      </c>
      <c r="AA940" s="3">
        <v>45696</v>
      </c>
      <c r="AB940" t="s">
        <v>2925</v>
      </c>
      <c r="AC940">
        <v>4</v>
      </c>
    </row>
    <row r="941" spans="1:29" x14ac:dyDescent="0.3">
      <c r="A941" s="3">
        <v>45343</v>
      </c>
      <c r="B941" s="3" t="str">
        <f>TEXT(CleanedTable[[#This Row],[OrderDate]],"mmm")</f>
        <v>Feb</v>
      </c>
      <c r="C941" s="3" t="str">
        <f>TEXT(CleanedTable[[#This Row],[OrderDate]],"yyyy")</f>
        <v>2024</v>
      </c>
      <c r="D941" s="3" t="str">
        <f>TEXT(CleanedTable[[#This Row],[OrderDate]],"mmm yyyy")</f>
        <v>Feb 2024</v>
      </c>
      <c r="E941" t="s">
        <v>19</v>
      </c>
      <c r="F941" t="s">
        <v>26</v>
      </c>
      <c r="G941" s="12">
        <v>5</v>
      </c>
      <c r="H941" s="8">
        <v>34.06</v>
      </c>
      <c r="I941" t="s">
        <v>34</v>
      </c>
      <c r="J941" t="s">
        <v>35</v>
      </c>
      <c r="K941" s="10">
        <v>0.05</v>
      </c>
      <c r="L941" t="s">
        <v>41</v>
      </c>
      <c r="M941">
        <v>161.785</v>
      </c>
      <c r="N941">
        <v>102.18</v>
      </c>
      <c r="O941" s="10">
        <v>39.884999999999991</v>
      </c>
      <c r="P941" s="10">
        <v>0.24653088976110266</v>
      </c>
      <c r="Q941" s="8">
        <v>161.785</v>
      </c>
      <c r="R941" t="s">
        <v>44</v>
      </c>
      <c r="T941" t="s">
        <v>2932</v>
      </c>
      <c r="U941">
        <v>0</v>
      </c>
      <c r="V941" t="str">
        <f>IF(CleanedTable[[#This Row],[Returned]] = 0,"NO","Yes")</f>
        <v>NO</v>
      </c>
      <c r="W941" t="s">
        <v>990</v>
      </c>
      <c r="X941" t="s">
        <v>2441</v>
      </c>
      <c r="Y941" s="10">
        <v>19.72</v>
      </c>
      <c r="Z941" s="3">
        <v>45343</v>
      </c>
      <c r="AA941" s="3">
        <v>45353</v>
      </c>
      <c r="AB941" t="s">
        <v>2922</v>
      </c>
      <c r="AC941">
        <v>10</v>
      </c>
    </row>
    <row r="942" spans="1:29" x14ac:dyDescent="0.3">
      <c r="A942" s="3">
        <v>45009</v>
      </c>
      <c r="B942" s="3" t="str">
        <f>TEXT(CleanedTable[[#This Row],[OrderDate]],"mmm")</f>
        <v>Mar</v>
      </c>
      <c r="C942" s="3" t="str">
        <f>TEXT(CleanedTable[[#This Row],[OrderDate]],"yyyy")</f>
        <v>2023</v>
      </c>
      <c r="D942" s="3" t="str">
        <f>TEXT(CleanedTable[[#This Row],[OrderDate]],"mmm yyyy")</f>
        <v>Mar 2023</v>
      </c>
      <c r="E942" t="s">
        <v>19</v>
      </c>
      <c r="F942" t="s">
        <v>26</v>
      </c>
      <c r="G942" s="12">
        <v>17</v>
      </c>
      <c r="H942" s="8">
        <v>502.6</v>
      </c>
      <c r="I942" t="s">
        <v>32</v>
      </c>
      <c r="J942" t="s">
        <v>35</v>
      </c>
      <c r="K942" s="10">
        <v>0.1</v>
      </c>
      <c r="L942" t="s">
        <v>39</v>
      </c>
      <c r="M942">
        <v>7689.7800000000007</v>
      </c>
      <c r="N942">
        <v>5126.5200000000004</v>
      </c>
      <c r="O942" s="10">
        <v>2547.88</v>
      </c>
      <c r="P942" s="10">
        <v>0.33133327611453123</v>
      </c>
      <c r="Q942" s="8">
        <v>7689.7800000000007</v>
      </c>
      <c r="R942" t="s">
        <v>47</v>
      </c>
      <c r="T942" t="s">
        <v>2932</v>
      </c>
      <c r="U942">
        <v>0</v>
      </c>
      <c r="V942" t="str">
        <f>IF(CleanedTable[[#This Row],[Returned]] = 0,"NO","Yes")</f>
        <v>NO</v>
      </c>
      <c r="W942" t="s">
        <v>991</v>
      </c>
      <c r="X942" t="s">
        <v>2442</v>
      </c>
      <c r="Y942" s="10">
        <v>15.38</v>
      </c>
      <c r="Z942" s="3">
        <v>45009</v>
      </c>
      <c r="AA942" s="3">
        <v>45014</v>
      </c>
      <c r="AB942" t="s">
        <v>2922</v>
      </c>
      <c r="AC942">
        <v>5</v>
      </c>
    </row>
    <row r="943" spans="1:29" x14ac:dyDescent="0.3">
      <c r="A943" s="3">
        <v>45417</v>
      </c>
      <c r="B943" s="3" t="str">
        <f>TEXT(CleanedTable[[#This Row],[OrderDate]],"mmm")</f>
        <v>May</v>
      </c>
      <c r="C943" s="3" t="str">
        <f>TEXT(CleanedTable[[#This Row],[OrderDate]],"yyyy")</f>
        <v>2024</v>
      </c>
      <c r="D943" s="3" t="str">
        <f>TEXT(CleanedTable[[#This Row],[OrderDate]],"mmm yyyy")</f>
        <v>May 2024</v>
      </c>
      <c r="E943" t="s">
        <v>20</v>
      </c>
      <c r="F943" t="s">
        <v>30</v>
      </c>
      <c r="G943" s="12">
        <v>3</v>
      </c>
      <c r="H943" s="8">
        <v>89.72</v>
      </c>
      <c r="I943" t="s">
        <v>34</v>
      </c>
      <c r="J943" t="s">
        <v>35</v>
      </c>
      <c r="K943" s="10">
        <v>0.1</v>
      </c>
      <c r="L943" t="s">
        <v>38</v>
      </c>
      <c r="M943">
        <v>242.24399999999997</v>
      </c>
      <c r="N943">
        <v>161.49600000000001</v>
      </c>
      <c r="O943" s="10">
        <v>48.07799999999996</v>
      </c>
      <c r="P943" s="10">
        <v>0.19846931193342235</v>
      </c>
      <c r="Q943" s="8">
        <v>242.244</v>
      </c>
      <c r="R943" t="s">
        <v>44</v>
      </c>
      <c r="S943" t="s">
        <v>50</v>
      </c>
      <c r="T943" t="s">
        <v>2931</v>
      </c>
      <c r="U943">
        <v>0</v>
      </c>
      <c r="V943" t="str">
        <f>IF(CleanedTable[[#This Row],[Returned]] = 0,"NO","Yes")</f>
        <v>NO</v>
      </c>
      <c r="W943" t="s">
        <v>992</v>
      </c>
      <c r="X943" t="s">
        <v>2443</v>
      </c>
      <c r="Y943" s="10">
        <v>32.67</v>
      </c>
      <c r="Z943" s="3">
        <v>45417</v>
      </c>
      <c r="AA943" s="3">
        <v>45425</v>
      </c>
      <c r="AB943" t="s">
        <v>2923</v>
      </c>
      <c r="AC943">
        <v>8</v>
      </c>
    </row>
    <row r="944" spans="1:29" x14ac:dyDescent="0.3">
      <c r="A944" s="3">
        <v>45569</v>
      </c>
      <c r="B944" s="3" t="str">
        <f>TEXT(CleanedTable[[#This Row],[OrderDate]],"mmm")</f>
        <v>Oct</v>
      </c>
      <c r="C944" s="3" t="str">
        <f>TEXT(CleanedTable[[#This Row],[OrderDate]],"yyyy")</f>
        <v>2024</v>
      </c>
      <c r="D944" s="3" t="str">
        <f>TEXT(CleanedTable[[#This Row],[OrderDate]],"mmm yyyy")</f>
        <v>Oct 2024</v>
      </c>
      <c r="E944" t="s">
        <v>20</v>
      </c>
      <c r="F944" t="s">
        <v>24</v>
      </c>
      <c r="G944" s="12">
        <v>18</v>
      </c>
      <c r="H944" s="8">
        <v>403.53</v>
      </c>
      <c r="I944" t="s">
        <v>34</v>
      </c>
      <c r="J944" t="s">
        <v>35</v>
      </c>
      <c r="K944" s="10">
        <v>0.1</v>
      </c>
      <c r="L944" t="s">
        <v>38</v>
      </c>
      <c r="M944">
        <v>6537.1859999999997</v>
      </c>
      <c r="N944">
        <v>4358.1239999999998</v>
      </c>
      <c r="O944" s="10">
        <v>2143.3319999999999</v>
      </c>
      <c r="P944" s="10">
        <v>0.32786767884530132</v>
      </c>
      <c r="Q944" s="8">
        <v>6537.1859999999997</v>
      </c>
      <c r="R944" t="s">
        <v>43</v>
      </c>
      <c r="T944" t="s">
        <v>2932</v>
      </c>
      <c r="U944">
        <v>0</v>
      </c>
      <c r="V944" t="str">
        <f>IF(CleanedTable[[#This Row],[Returned]] = 0,"NO","Yes")</f>
        <v>NO</v>
      </c>
      <c r="W944" t="s">
        <v>993</v>
      </c>
      <c r="X944" t="s">
        <v>2444</v>
      </c>
      <c r="Y944" s="10">
        <v>35.729999999999997</v>
      </c>
      <c r="Z944" s="3">
        <v>45569</v>
      </c>
      <c r="AA944" s="3">
        <v>45572</v>
      </c>
      <c r="AB944" t="s">
        <v>2923</v>
      </c>
      <c r="AC944">
        <v>3</v>
      </c>
    </row>
    <row r="945" spans="1:29" x14ac:dyDescent="0.3">
      <c r="A945" s="3">
        <v>45661</v>
      </c>
      <c r="B945" s="3" t="str">
        <f>TEXT(CleanedTable[[#This Row],[OrderDate]],"mmm")</f>
        <v>Jan</v>
      </c>
      <c r="C945" s="3" t="str">
        <f>TEXT(CleanedTable[[#This Row],[OrderDate]],"yyyy")</f>
        <v>2025</v>
      </c>
      <c r="D945" s="3" t="str">
        <f>TEXT(CleanedTable[[#This Row],[OrderDate]],"mmm yyyy")</f>
        <v>Jan 2025</v>
      </c>
      <c r="E945" t="s">
        <v>20</v>
      </c>
      <c r="F945" t="s">
        <v>27</v>
      </c>
      <c r="G945" s="12">
        <v>2</v>
      </c>
      <c r="H945" s="8">
        <v>194.97</v>
      </c>
      <c r="I945" t="s">
        <v>32</v>
      </c>
      <c r="J945" t="s">
        <v>36</v>
      </c>
      <c r="K945" s="10">
        <v>0</v>
      </c>
      <c r="L945" t="s">
        <v>41</v>
      </c>
      <c r="M945">
        <v>389.94</v>
      </c>
      <c r="N945">
        <v>233.964</v>
      </c>
      <c r="O945" s="10">
        <v>146.08600000000001</v>
      </c>
      <c r="P945" s="10">
        <v>0.37463712366005031</v>
      </c>
      <c r="Q945" s="8">
        <v>389.94</v>
      </c>
      <c r="R945" t="s">
        <v>45</v>
      </c>
      <c r="S945" t="s">
        <v>49</v>
      </c>
      <c r="T945" t="s">
        <v>2931</v>
      </c>
      <c r="U945">
        <v>0</v>
      </c>
      <c r="V945" t="str">
        <f>IF(CleanedTable[[#This Row],[Returned]] = 0,"NO","Yes")</f>
        <v>NO</v>
      </c>
      <c r="W945" t="s">
        <v>994</v>
      </c>
      <c r="X945" t="s">
        <v>1932</v>
      </c>
      <c r="Y945" s="10">
        <v>9.89</v>
      </c>
      <c r="Z945" s="3">
        <v>45661</v>
      </c>
      <c r="AA945" s="3">
        <v>45671</v>
      </c>
      <c r="AB945" t="s">
        <v>2923</v>
      </c>
      <c r="AC945">
        <v>10</v>
      </c>
    </row>
    <row r="946" spans="1:29" x14ac:dyDescent="0.3">
      <c r="A946" s="3">
        <v>45649</v>
      </c>
      <c r="B946" s="3" t="str">
        <f>TEXT(CleanedTable[[#This Row],[OrderDate]],"mmm")</f>
        <v>Dec</v>
      </c>
      <c r="C946" s="3" t="str">
        <f>TEXT(CleanedTable[[#This Row],[OrderDate]],"yyyy")</f>
        <v>2024</v>
      </c>
      <c r="D946" s="3" t="str">
        <f>TEXT(CleanedTable[[#This Row],[OrderDate]],"mmm yyyy")</f>
        <v>Dec 2024</v>
      </c>
      <c r="E946" t="s">
        <v>22</v>
      </c>
      <c r="F946" t="s">
        <v>30</v>
      </c>
      <c r="G946" s="12">
        <v>12</v>
      </c>
      <c r="H946" s="8">
        <v>171.91</v>
      </c>
      <c r="I946" t="s">
        <v>31</v>
      </c>
      <c r="J946" t="s">
        <v>36</v>
      </c>
      <c r="K946" s="10">
        <v>0.05</v>
      </c>
      <c r="L946" t="s">
        <v>37</v>
      </c>
      <c r="M946">
        <v>1959.7739999999999</v>
      </c>
      <c r="N946">
        <v>1237.752</v>
      </c>
      <c r="O946" s="10">
        <v>687.66199999999992</v>
      </c>
      <c r="P946" s="10">
        <v>0.35088841876665366</v>
      </c>
      <c r="Q946" s="8">
        <v>1959.7739999999999</v>
      </c>
      <c r="R946" t="s">
        <v>45</v>
      </c>
      <c r="S946" t="s">
        <v>50</v>
      </c>
      <c r="T946" t="s">
        <v>2931</v>
      </c>
      <c r="U946">
        <v>0</v>
      </c>
      <c r="V946" t="str">
        <f>IF(CleanedTable[[#This Row],[Returned]] = 0,"NO","Yes")</f>
        <v>NO</v>
      </c>
      <c r="W946" t="s">
        <v>995</v>
      </c>
      <c r="X946" t="s">
        <v>2445</v>
      </c>
      <c r="Y946" s="10">
        <v>34.36</v>
      </c>
      <c r="Z946" s="3">
        <v>45649</v>
      </c>
      <c r="AA946" s="3">
        <v>45659</v>
      </c>
      <c r="AB946" t="s">
        <v>2925</v>
      </c>
      <c r="AC946">
        <v>10</v>
      </c>
    </row>
    <row r="947" spans="1:29" x14ac:dyDescent="0.3">
      <c r="A947" s="3">
        <v>44955</v>
      </c>
      <c r="B947" s="3" t="str">
        <f>TEXT(CleanedTable[[#This Row],[OrderDate]],"mmm")</f>
        <v>Jan</v>
      </c>
      <c r="C947" s="3" t="str">
        <f>TEXT(CleanedTable[[#This Row],[OrderDate]],"yyyy")</f>
        <v>2023</v>
      </c>
      <c r="D947" s="3" t="str">
        <f>TEXT(CleanedTable[[#This Row],[OrderDate]],"mmm yyyy")</f>
        <v>Jan 2023</v>
      </c>
      <c r="E947" t="s">
        <v>22</v>
      </c>
      <c r="F947" t="s">
        <v>24</v>
      </c>
      <c r="G947" s="12">
        <v>17</v>
      </c>
      <c r="H947" s="8">
        <v>535.88</v>
      </c>
      <c r="I947" t="s">
        <v>32</v>
      </c>
      <c r="J947" t="s">
        <v>35</v>
      </c>
      <c r="K947" s="10">
        <v>0.05</v>
      </c>
      <c r="L947" t="s">
        <v>42</v>
      </c>
      <c r="M947">
        <v>8654.4619999999995</v>
      </c>
      <c r="N947">
        <v>5465.9759999999997</v>
      </c>
      <c r="O947" s="10">
        <v>3162.366</v>
      </c>
      <c r="P947" s="10">
        <v>0.36540295630161646</v>
      </c>
      <c r="Q947" s="8">
        <v>8654.4619999999995</v>
      </c>
      <c r="R947" t="s">
        <v>44</v>
      </c>
      <c r="T947" t="s">
        <v>2932</v>
      </c>
      <c r="U947">
        <v>0</v>
      </c>
      <c r="V947" t="str">
        <f>IF(CleanedTable[[#This Row],[Returned]] = 0,"NO","Yes")</f>
        <v>NO</v>
      </c>
      <c r="W947" t="s">
        <v>996</v>
      </c>
      <c r="X947" t="s">
        <v>2446</v>
      </c>
      <c r="Y947" s="10">
        <v>26.12</v>
      </c>
      <c r="Z947" s="3">
        <v>44955</v>
      </c>
      <c r="AA947" s="3">
        <v>44965</v>
      </c>
      <c r="AB947" t="s">
        <v>2925</v>
      </c>
      <c r="AC947">
        <v>10</v>
      </c>
    </row>
    <row r="948" spans="1:29" x14ac:dyDescent="0.3">
      <c r="A948" s="3">
        <v>45515</v>
      </c>
      <c r="B948" s="3" t="str">
        <f>TEXT(CleanedTable[[#This Row],[OrderDate]],"mmm")</f>
        <v>Aug</v>
      </c>
      <c r="C948" s="3" t="str">
        <f>TEXT(CleanedTable[[#This Row],[OrderDate]],"yyyy")</f>
        <v>2024</v>
      </c>
      <c r="D948" s="3" t="str">
        <f>TEXT(CleanedTable[[#This Row],[OrderDate]],"mmm yyyy")</f>
        <v>Aug 2024</v>
      </c>
      <c r="E948" t="s">
        <v>23</v>
      </c>
      <c r="F948" t="s">
        <v>27</v>
      </c>
      <c r="G948" s="12">
        <v>12</v>
      </c>
      <c r="H948" s="8">
        <v>248.13</v>
      </c>
      <c r="I948" t="s">
        <v>32</v>
      </c>
      <c r="J948" t="s">
        <v>36</v>
      </c>
      <c r="K948" s="10">
        <v>0.05</v>
      </c>
      <c r="L948" t="s">
        <v>38</v>
      </c>
      <c r="M948">
        <v>2828.6819999999998</v>
      </c>
      <c r="N948">
        <v>1786.5359999999998</v>
      </c>
      <c r="O948" s="10">
        <v>1016.116</v>
      </c>
      <c r="P948" s="10">
        <v>0.35921888710006994</v>
      </c>
      <c r="Q948" s="8">
        <v>2828.6819999999998</v>
      </c>
      <c r="R948" t="s">
        <v>47</v>
      </c>
      <c r="S948" t="s">
        <v>48</v>
      </c>
      <c r="T948" t="s">
        <v>2931</v>
      </c>
      <c r="U948">
        <v>0</v>
      </c>
      <c r="V948" t="str">
        <f>IF(CleanedTable[[#This Row],[Returned]] = 0,"NO","Yes")</f>
        <v>NO</v>
      </c>
      <c r="W948" t="s">
        <v>997</v>
      </c>
      <c r="X948" t="s">
        <v>2447</v>
      </c>
      <c r="Y948" s="10">
        <v>26.03</v>
      </c>
      <c r="Z948" s="3">
        <v>45515</v>
      </c>
      <c r="AA948" s="3">
        <v>45521</v>
      </c>
      <c r="AB948" t="s">
        <v>2926</v>
      </c>
      <c r="AC948">
        <v>6</v>
      </c>
    </row>
    <row r="949" spans="1:29" x14ac:dyDescent="0.3">
      <c r="A949" s="3">
        <v>45255</v>
      </c>
      <c r="B949" s="3" t="str">
        <f>TEXT(CleanedTable[[#This Row],[OrderDate]],"mmm")</f>
        <v>Nov</v>
      </c>
      <c r="C949" s="3" t="str">
        <f>TEXT(CleanedTable[[#This Row],[OrderDate]],"yyyy")</f>
        <v>2023</v>
      </c>
      <c r="D949" s="3" t="str">
        <f>TEXT(CleanedTable[[#This Row],[OrderDate]],"mmm yyyy")</f>
        <v>Nov 2023</v>
      </c>
      <c r="E949" t="s">
        <v>21</v>
      </c>
      <c r="F949" t="s">
        <v>25</v>
      </c>
      <c r="G949" s="12">
        <v>2</v>
      </c>
      <c r="H949" s="8">
        <v>482.1</v>
      </c>
      <c r="I949" t="s">
        <v>33</v>
      </c>
      <c r="J949" t="s">
        <v>36</v>
      </c>
      <c r="K949" s="10">
        <v>0</v>
      </c>
      <c r="L949" t="s">
        <v>40</v>
      </c>
      <c r="M949">
        <v>964.2</v>
      </c>
      <c r="N949">
        <v>578.52</v>
      </c>
      <c r="O949" s="10">
        <v>340.33000000000004</v>
      </c>
      <c r="P949" s="10">
        <v>0.35296618958722259</v>
      </c>
      <c r="Q949" s="8">
        <v>964.2</v>
      </c>
      <c r="R949" t="s">
        <v>43</v>
      </c>
      <c r="S949" t="s">
        <v>48</v>
      </c>
      <c r="T949" t="s">
        <v>2931</v>
      </c>
      <c r="U949">
        <v>0</v>
      </c>
      <c r="V949" t="str">
        <f>IF(CleanedTable[[#This Row],[Returned]] = 0,"NO","Yes")</f>
        <v>NO</v>
      </c>
      <c r="W949" t="s">
        <v>998</v>
      </c>
      <c r="X949" t="s">
        <v>2448</v>
      </c>
      <c r="Y949" s="10">
        <v>45.35</v>
      </c>
      <c r="Z949" s="3">
        <v>45255</v>
      </c>
      <c r="AA949" s="3">
        <v>45260</v>
      </c>
      <c r="AB949" t="s">
        <v>2924</v>
      </c>
      <c r="AC949">
        <v>5</v>
      </c>
    </row>
    <row r="950" spans="1:29" x14ac:dyDescent="0.3">
      <c r="A950" s="3">
        <v>45720</v>
      </c>
      <c r="B950" s="3" t="str">
        <f>TEXT(CleanedTable[[#This Row],[OrderDate]],"mmm")</f>
        <v>Mar</v>
      </c>
      <c r="C950" s="3" t="str">
        <f>TEXT(CleanedTable[[#This Row],[OrderDate]],"yyyy")</f>
        <v>2025</v>
      </c>
      <c r="D950" s="3" t="str">
        <f>TEXT(CleanedTable[[#This Row],[OrderDate]],"mmm yyyy")</f>
        <v>Mar 2025</v>
      </c>
      <c r="E950" t="s">
        <v>21</v>
      </c>
      <c r="F950" t="s">
        <v>28</v>
      </c>
      <c r="G950" s="12">
        <v>18</v>
      </c>
      <c r="H950" s="8">
        <v>382.01</v>
      </c>
      <c r="I950" t="s">
        <v>34</v>
      </c>
      <c r="J950" t="s">
        <v>35</v>
      </c>
      <c r="K950" s="10">
        <v>0.1</v>
      </c>
      <c r="L950" t="s">
        <v>38</v>
      </c>
      <c r="M950">
        <v>6188.5620000000008</v>
      </c>
      <c r="N950">
        <v>4125.7079999999996</v>
      </c>
      <c r="O950" s="10">
        <v>2026.3040000000012</v>
      </c>
      <c r="P950" s="10">
        <v>0.32742727632041191</v>
      </c>
      <c r="Q950" s="8">
        <v>6188.5620000000008</v>
      </c>
      <c r="R950" t="s">
        <v>43</v>
      </c>
      <c r="S950" t="s">
        <v>49</v>
      </c>
      <c r="T950" t="s">
        <v>2931</v>
      </c>
      <c r="U950">
        <v>0</v>
      </c>
      <c r="V950" t="str">
        <f>IF(CleanedTable[[#This Row],[Returned]] = 0,"NO","Yes")</f>
        <v>NO</v>
      </c>
      <c r="W950" t="s">
        <v>999</v>
      </c>
      <c r="X950" t="s">
        <v>2449</v>
      </c>
      <c r="Y950" s="10">
        <v>36.549999999999997</v>
      </c>
      <c r="Z950" s="3">
        <v>45720</v>
      </c>
      <c r="AA950" s="3">
        <v>45724</v>
      </c>
      <c r="AB950" t="s">
        <v>2924</v>
      </c>
      <c r="AC950">
        <v>4</v>
      </c>
    </row>
    <row r="951" spans="1:29" x14ac:dyDescent="0.3">
      <c r="A951" s="3">
        <v>45709</v>
      </c>
      <c r="B951" s="3" t="str">
        <f>TEXT(CleanedTable[[#This Row],[OrderDate]],"mmm")</f>
        <v>Feb</v>
      </c>
      <c r="C951" s="3" t="str">
        <f>TEXT(CleanedTable[[#This Row],[OrderDate]],"yyyy")</f>
        <v>2025</v>
      </c>
      <c r="D951" s="3" t="str">
        <f>TEXT(CleanedTable[[#This Row],[OrderDate]],"mmm yyyy")</f>
        <v>Feb 2025</v>
      </c>
      <c r="E951" t="s">
        <v>21</v>
      </c>
      <c r="F951" t="s">
        <v>25</v>
      </c>
      <c r="G951" s="12">
        <v>13</v>
      </c>
      <c r="H951" s="8">
        <v>135.97999999999999</v>
      </c>
      <c r="I951" t="s">
        <v>33</v>
      </c>
      <c r="J951" t="s">
        <v>35</v>
      </c>
      <c r="K951" s="10">
        <v>0</v>
      </c>
      <c r="L951" t="s">
        <v>39</v>
      </c>
      <c r="M951">
        <v>1767.7399999999998</v>
      </c>
      <c r="N951">
        <v>1060.644</v>
      </c>
      <c r="O951" s="10">
        <v>678.74599999999975</v>
      </c>
      <c r="P951" s="10">
        <v>0.38396257368164993</v>
      </c>
      <c r="Q951" s="8">
        <v>1767.74</v>
      </c>
      <c r="R951" t="s">
        <v>43</v>
      </c>
      <c r="S951" t="s">
        <v>50</v>
      </c>
      <c r="T951" t="s">
        <v>2931</v>
      </c>
      <c r="U951">
        <v>0</v>
      </c>
      <c r="V951" t="str">
        <f>IF(CleanedTable[[#This Row],[Returned]] = 0,"NO","Yes")</f>
        <v>NO</v>
      </c>
      <c r="W951" t="s">
        <v>1000</v>
      </c>
      <c r="X951" t="s">
        <v>2302</v>
      </c>
      <c r="Y951" s="10">
        <v>28.35</v>
      </c>
      <c r="Z951" s="3">
        <v>45709</v>
      </c>
      <c r="AA951" s="3">
        <v>45717</v>
      </c>
      <c r="AB951" t="s">
        <v>2924</v>
      </c>
      <c r="AC951">
        <v>8</v>
      </c>
    </row>
    <row r="952" spans="1:29" x14ac:dyDescent="0.3">
      <c r="A952" s="3">
        <v>45714</v>
      </c>
      <c r="B952" s="3" t="str">
        <f>TEXT(CleanedTable[[#This Row],[OrderDate]],"mmm")</f>
        <v>Feb</v>
      </c>
      <c r="C952" s="3" t="str">
        <f>TEXT(CleanedTable[[#This Row],[OrderDate]],"yyyy")</f>
        <v>2025</v>
      </c>
      <c r="D952" s="3" t="str">
        <f>TEXT(CleanedTable[[#This Row],[OrderDate]],"mmm yyyy")</f>
        <v>Feb 2025</v>
      </c>
      <c r="E952" t="s">
        <v>19</v>
      </c>
      <c r="F952" t="s">
        <v>26</v>
      </c>
      <c r="G952" s="12">
        <v>9</v>
      </c>
      <c r="H952" s="8">
        <v>562.54</v>
      </c>
      <c r="I952" t="s">
        <v>32</v>
      </c>
      <c r="J952" t="s">
        <v>35</v>
      </c>
      <c r="K952" s="10">
        <v>0</v>
      </c>
      <c r="L952" t="s">
        <v>38</v>
      </c>
      <c r="M952">
        <v>5062.8599999999997</v>
      </c>
      <c r="N952">
        <v>3037.7159999999994</v>
      </c>
      <c r="O952" s="10">
        <v>1994.8740000000003</v>
      </c>
      <c r="P952" s="10">
        <v>0.39402116590227665</v>
      </c>
      <c r="Q952" s="8">
        <v>5062.8599999999997</v>
      </c>
      <c r="R952" t="s">
        <v>45</v>
      </c>
      <c r="S952" t="s">
        <v>48</v>
      </c>
      <c r="T952" t="s">
        <v>2931</v>
      </c>
      <c r="U952">
        <v>0</v>
      </c>
      <c r="V952" t="str">
        <f>IF(CleanedTable[[#This Row],[Returned]] = 0,"NO","Yes")</f>
        <v>NO</v>
      </c>
      <c r="W952" t="s">
        <v>1001</v>
      </c>
      <c r="X952" t="s">
        <v>2450</v>
      </c>
      <c r="Y952" s="10">
        <v>30.27</v>
      </c>
      <c r="Z952" s="3">
        <v>45714</v>
      </c>
      <c r="AA952" s="3">
        <v>45716</v>
      </c>
      <c r="AB952" t="s">
        <v>2922</v>
      </c>
      <c r="AC952">
        <v>2</v>
      </c>
    </row>
    <row r="953" spans="1:29" x14ac:dyDescent="0.3">
      <c r="A953" s="3">
        <v>45380</v>
      </c>
      <c r="B953" s="3" t="str">
        <f>TEXT(CleanedTable[[#This Row],[OrderDate]],"mmm")</f>
        <v>Mar</v>
      </c>
      <c r="C953" s="3" t="str">
        <f>TEXT(CleanedTable[[#This Row],[OrderDate]],"yyyy")</f>
        <v>2024</v>
      </c>
      <c r="D953" s="3" t="str">
        <f>TEXT(CleanedTable[[#This Row],[OrderDate]],"mmm yyyy")</f>
        <v>Mar 2024</v>
      </c>
      <c r="E953" t="s">
        <v>19</v>
      </c>
      <c r="F953" t="s">
        <v>28</v>
      </c>
      <c r="G953" s="12">
        <v>6</v>
      </c>
      <c r="H953" s="8">
        <v>509.48</v>
      </c>
      <c r="I953" t="s">
        <v>31</v>
      </c>
      <c r="J953" t="s">
        <v>35</v>
      </c>
      <c r="K953" s="10">
        <v>0</v>
      </c>
      <c r="L953" t="s">
        <v>38</v>
      </c>
      <c r="M953">
        <v>3056.88</v>
      </c>
      <c r="N953">
        <v>1834.1279999999999</v>
      </c>
      <c r="O953" s="10">
        <v>1186.8320000000001</v>
      </c>
      <c r="P953" s="10">
        <v>0.38824945696265473</v>
      </c>
      <c r="Q953" s="8">
        <v>3056.88</v>
      </c>
      <c r="R953" t="s">
        <v>46</v>
      </c>
      <c r="S953" t="s">
        <v>50</v>
      </c>
      <c r="T953" t="s">
        <v>2931</v>
      </c>
      <c r="U953">
        <v>0</v>
      </c>
      <c r="V953" t="str">
        <f>IF(CleanedTable[[#This Row],[Returned]] = 0,"NO","Yes")</f>
        <v>NO</v>
      </c>
      <c r="W953" t="s">
        <v>1002</v>
      </c>
      <c r="X953" t="s">
        <v>2451</v>
      </c>
      <c r="Y953" s="10">
        <v>35.92</v>
      </c>
      <c r="Z953" s="3">
        <v>45380</v>
      </c>
      <c r="AA953" s="3">
        <v>45388</v>
      </c>
      <c r="AB953" t="s">
        <v>2922</v>
      </c>
      <c r="AC953">
        <v>8</v>
      </c>
    </row>
    <row r="954" spans="1:29" x14ac:dyDescent="0.3">
      <c r="A954" s="3">
        <v>45805</v>
      </c>
      <c r="B954" s="3" t="str">
        <f>TEXT(CleanedTable[[#This Row],[OrderDate]],"mmm")</f>
        <v>May</v>
      </c>
      <c r="C954" s="3" t="str">
        <f>TEXT(CleanedTable[[#This Row],[OrderDate]],"yyyy")</f>
        <v>2025</v>
      </c>
      <c r="D954" s="3" t="str">
        <f>TEXT(CleanedTable[[#This Row],[OrderDate]],"mmm yyyy")</f>
        <v>May 2025</v>
      </c>
      <c r="E954" t="s">
        <v>23</v>
      </c>
      <c r="F954" t="s">
        <v>26</v>
      </c>
      <c r="G954" s="12">
        <v>3</v>
      </c>
      <c r="H954" s="8">
        <v>470.09</v>
      </c>
      <c r="I954" t="s">
        <v>31</v>
      </c>
      <c r="J954" t="s">
        <v>35</v>
      </c>
      <c r="K954" s="10">
        <v>0</v>
      </c>
      <c r="L954" t="s">
        <v>37</v>
      </c>
      <c r="M954">
        <v>1410.27</v>
      </c>
      <c r="N954">
        <v>846.16199999999992</v>
      </c>
      <c r="O954" s="10">
        <v>525.8180000000001</v>
      </c>
      <c r="P954" s="10">
        <v>0.37284917072617307</v>
      </c>
      <c r="Q954" s="8">
        <v>1410.27</v>
      </c>
      <c r="R954" t="s">
        <v>44</v>
      </c>
      <c r="T954" t="s">
        <v>2932</v>
      </c>
      <c r="U954">
        <v>0</v>
      </c>
      <c r="V954" t="str">
        <f>IF(CleanedTable[[#This Row],[Returned]] = 0,"NO","Yes")</f>
        <v>NO</v>
      </c>
      <c r="W954" t="s">
        <v>1003</v>
      </c>
      <c r="X954" t="s">
        <v>2452</v>
      </c>
      <c r="Y954" s="10">
        <v>38.29</v>
      </c>
      <c r="Z954" s="3">
        <v>45805</v>
      </c>
      <c r="AA954" s="3">
        <v>45809</v>
      </c>
      <c r="AB954" t="s">
        <v>2926</v>
      </c>
      <c r="AC954">
        <v>4</v>
      </c>
    </row>
    <row r="955" spans="1:29" x14ac:dyDescent="0.3">
      <c r="A955" s="3">
        <v>45436</v>
      </c>
      <c r="B955" s="3" t="str">
        <f>TEXT(CleanedTable[[#This Row],[OrderDate]],"mmm")</f>
        <v>May</v>
      </c>
      <c r="C955" s="3" t="str">
        <f>TEXT(CleanedTable[[#This Row],[OrderDate]],"yyyy")</f>
        <v>2024</v>
      </c>
      <c r="D955" s="3" t="str">
        <f>TEXT(CleanedTable[[#This Row],[OrderDate]],"mmm yyyy")</f>
        <v>May 2024</v>
      </c>
      <c r="E955" t="s">
        <v>23</v>
      </c>
      <c r="F955" t="s">
        <v>30</v>
      </c>
      <c r="G955" s="12">
        <v>10</v>
      </c>
      <c r="H955" s="8">
        <v>280.8</v>
      </c>
      <c r="I955" t="s">
        <v>33</v>
      </c>
      <c r="J955" t="s">
        <v>36</v>
      </c>
      <c r="K955" s="10">
        <v>0</v>
      </c>
      <c r="L955" t="s">
        <v>38</v>
      </c>
      <c r="M955">
        <v>2808</v>
      </c>
      <c r="N955">
        <v>1684.8</v>
      </c>
      <c r="O955" s="10">
        <v>1073.22</v>
      </c>
      <c r="P955" s="10">
        <v>0.38220085470085469</v>
      </c>
      <c r="Q955" s="8">
        <v>2808</v>
      </c>
      <c r="R955" t="s">
        <v>45</v>
      </c>
      <c r="S955" t="s">
        <v>49</v>
      </c>
      <c r="T955" t="s">
        <v>2931</v>
      </c>
      <c r="U955">
        <v>0</v>
      </c>
      <c r="V955" t="str">
        <f>IF(CleanedTable[[#This Row],[Returned]] = 0,"NO","Yes")</f>
        <v>NO</v>
      </c>
      <c r="W955" t="s">
        <v>1004</v>
      </c>
      <c r="X955" t="s">
        <v>2453</v>
      </c>
      <c r="Y955" s="10">
        <v>49.98</v>
      </c>
      <c r="Z955" s="3">
        <v>45436</v>
      </c>
      <c r="AA955" s="3">
        <v>45442</v>
      </c>
      <c r="AB955" t="s">
        <v>2926</v>
      </c>
      <c r="AC955">
        <v>6</v>
      </c>
    </row>
    <row r="956" spans="1:29" x14ac:dyDescent="0.3">
      <c r="A956" s="3">
        <v>45058</v>
      </c>
      <c r="B956" s="3" t="str">
        <f>TEXT(CleanedTable[[#This Row],[OrderDate]],"mmm")</f>
        <v>May</v>
      </c>
      <c r="C956" s="3" t="str">
        <f>TEXT(CleanedTable[[#This Row],[OrderDate]],"yyyy")</f>
        <v>2023</v>
      </c>
      <c r="D956" s="3" t="str">
        <f>TEXT(CleanedTable[[#This Row],[OrderDate]],"mmm yyyy")</f>
        <v>May 2023</v>
      </c>
      <c r="E956" t="s">
        <v>20</v>
      </c>
      <c r="F956" t="s">
        <v>27</v>
      </c>
      <c r="G956" s="12">
        <v>9</v>
      </c>
      <c r="H956" s="8">
        <v>251.43</v>
      </c>
      <c r="I956" t="s">
        <v>33</v>
      </c>
      <c r="J956" t="s">
        <v>36</v>
      </c>
      <c r="K956" s="10">
        <v>0.1</v>
      </c>
      <c r="L956" t="s">
        <v>39</v>
      </c>
      <c r="M956">
        <v>2036.5829999999999</v>
      </c>
      <c r="N956">
        <v>1357.722</v>
      </c>
      <c r="O956" s="10">
        <v>656.29099999999983</v>
      </c>
      <c r="P956" s="10">
        <v>0.32225104501019591</v>
      </c>
      <c r="Q956" s="8">
        <v>2036.5830000000001</v>
      </c>
      <c r="R956" t="s">
        <v>45</v>
      </c>
      <c r="T956" t="s">
        <v>2932</v>
      </c>
      <c r="U956">
        <v>0</v>
      </c>
      <c r="V956" t="str">
        <f>IF(CleanedTable[[#This Row],[Returned]] = 0,"NO","Yes")</f>
        <v>NO</v>
      </c>
      <c r="W956" t="s">
        <v>1005</v>
      </c>
      <c r="X956" t="s">
        <v>2454</v>
      </c>
      <c r="Y956" s="10">
        <v>22.57</v>
      </c>
      <c r="Z956" s="3">
        <v>45058</v>
      </c>
      <c r="AA956" s="3">
        <v>45063</v>
      </c>
      <c r="AB956" t="s">
        <v>2923</v>
      </c>
      <c r="AC956">
        <v>5</v>
      </c>
    </row>
    <row r="957" spans="1:29" x14ac:dyDescent="0.3">
      <c r="A957" s="3">
        <v>45210</v>
      </c>
      <c r="B957" s="3" t="str">
        <f>TEXT(CleanedTable[[#This Row],[OrderDate]],"mmm")</f>
        <v>Oct</v>
      </c>
      <c r="C957" s="3" t="str">
        <f>TEXT(CleanedTable[[#This Row],[OrderDate]],"yyyy")</f>
        <v>2023</v>
      </c>
      <c r="D957" s="3" t="str">
        <f>TEXT(CleanedTable[[#This Row],[OrderDate]],"mmm yyyy")</f>
        <v>Oct 2023</v>
      </c>
      <c r="E957" t="s">
        <v>20</v>
      </c>
      <c r="F957" t="s">
        <v>25</v>
      </c>
      <c r="G957" s="12">
        <v>4</v>
      </c>
      <c r="H957" s="8">
        <v>408.28</v>
      </c>
      <c r="I957" t="s">
        <v>32</v>
      </c>
      <c r="J957" t="s">
        <v>36</v>
      </c>
      <c r="K957" s="10">
        <v>0.15</v>
      </c>
      <c r="L957" t="s">
        <v>38</v>
      </c>
      <c r="M957">
        <v>1388.1519999999998</v>
      </c>
      <c r="N957">
        <v>979.87199999999984</v>
      </c>
      <c r="O957" s="10">
        <v>402.9</v>
      </c>
      <c r="P957" s="10">
        <v>0.2902419907906339</v>
      </c>
      <c r="Q957" s="8">
        <v>1388.152</v>
      </c>
      <c r="R957" t="s">
        <v>47</v>
      </c>
      <c r="S957" t="s">
        <v>50</v>
      </c>
      <c r="T957" t="s">
        <v>2931</v>
      </c>
      <c r="U957">
        <v>0</v>
      </c>
      <c r="V957" t="str">
        <f>IF(CleanedTable[[#This Row],[Returned]] = 0,"NO","Yes")</f>
        <v>NO</v>
      </c>
      <c r="W957" t="s">
        <v>1006</v>
      </c>
      <c r="X957" t="s">
        <v>2235</v>
      </c>
      <c r="Y957" s="10">
        <v>5.38</v>
      </c>
      <c r="Z957" s="3">
        <v>45210</v>
      </c>
      <c r="AA957" s="3">
        <v>45214</v>
      </c>
      <c r="AB957" t="s">
        <v>2923</v>
      </c>
      <c r="AC957">
        <v>4</v>
      </c>
    </row>
    <row r="958" spans="1:29" x14ac:dyDescent="0.3">
      <c r="A958" s="3">
        <v>45316</v>
      </c>
      <c r="B958" s="3" t="str">
        <f>TEXT(CleanedTable[[#This Row],[OrderDate]],"mmm")</f>
        <v>Jan</v>
      </c>
      <c r="C958" s="3" t="str">
        <f>TEXT(CleanedTable[[#This Row],[OrderDate]],"yyyy")</f>
        <v>2024</v>
      </c>
      <c r="D958" s="3" t="str">
        <f>TEXT(CleanedTable[[#This Row],[OrderDate]],"mmm yyyy")</f>
        <v>Jan 2024</v>
      </c>
      <c r="E958" t="s">
        <v>21</v>
      </c>
      <c r="F958" t="s">
        <v>30</v>
      </c>
      <c r="G958" s="12">
        <v>2</v>
      </c>
      <c r="H958" s="8">
        <v>27.43</v>
      </c>
      <c r="I958" t="s">
        <v>31</v>
      </c>
      <c r="J958" t="s">
        <v>36</v>
      </c>
      <c r="K958" s="10">
        <v>0.15</v>
      </c>
      <c r="L958" t="s">
        <v>39</v>
      </c>
      <c r="M958">
        <v>46.631</v>
      </c>
      <c r="N958">
        <v>32.915999999999997</v>
      </c>
      <c r="O958" s="10">
        <v>7.5650000000000031</v>
      </c>
      <c r="P958" s="10">
        <v>0.16223113379511489</v>
      </c>
      <c r="Q958" s="8">
        <v>46.631</v>
      </c>
      <c r="R958" t="s">
        <v>43</v>
      </c>
      <c r="S958" t="s">
        <v>50</v>
      </c>
      <c r="T958" t="s">
        <v>2931</v>
      </c>
      <c r="U958">
        <v>0</v>
      </c>
      <c r="V958" t="str">
        <f>IF(CleanedTable[[#This Row],[Returned]] = 0,"NO","Yes")</f>
        <v>NO</v>
      </c>
      <c r="W958" t="s">
        <v>1007</v>
      </c>
      <c r="X958" t="s">
        <v>2455</v>
      </c>
      <c r="Y958" s="10">
        <v>6.15</v>
      </c>
      <c r="Z958" s="3">
        <v>45316</v>
      </c>
      <c r="AA958" s="3">
        <v>45323</v>
      </c>
      <c r="AB958" t="s">
        <v>2924</v>
      </c>
      <c r="AC958">
        <v>7</v>
      </c>
    </row>
    <row r="959" spans="1:29" x14ac:dyDescent="0.3">
      <c r="A959" s="3">
        <v>44960</v>
      </c>
      <c r="B959" s="3" t="str">
        <f>TEXT(CleanedTable[[#This Row],[OrderDate]],"mmm")</f>
        <v>Feb</v>
      </c>
      <c r="C959" s="3" t="str">
        <f>TEXT(CleanedTable[[#This Row],[OrderDate]],"yyyy")</f>
        <v>2023</v>
      </c>
      <c r="D959" s="3" t="str">
        <f>TEXT(CleanedTable[[#This Row],[OrderDate]],"mmm yyyy")</f>
        <v>Feb 2023</v>
      </c>
      <c r="E959" t="s">
        <v>19</v>
      </c>
      <c r="F959" t="s">
        <v>25</v>
      </c>
      <c r="G959" s="12">
        <v>11</v>
      </c>
      <c r="H959" s="8">
        <v>321.72000000000003</v>
      </c>
      <c r="I959" t="s">
        <v>32</v>
      </c>
      <c r="J959" t="s">
        <v>36</v>
      </c>
      <c r="K959" s="10">
        <v>0.1</v>
      </c>
      <c r="L959" t="s">
        <v>40</v>
      </c>
      <c r="M959">
        <v>3185.0280000000002</v>
      </c>
      <c r="N959">
        <v>2123.3520000000003</v>
      </c>
      <c r="O959" s="10">
        <v>1043.7359999999999</v>
      </c>
      <c r="P959" s="10">
        <v>0.3277007297895026</v>
      </c>
      <c r="Q959" s="8">
        <v>3185.0279999999998</v>
      </c>
      <c r="R959" t="s">
        <v>43</v>
      </c>
      <c r="S959" t="s">
        <v>50</v>
      </c>
      <c r="T959" t="s">
        <v>2931</v>
      </c>
      <c r="U959">
        <v>1</v>
      </c>
      <c r="V959" t="str">
        <f>IF(CleanedTable[[#This Row],[Returned]] = 0,"NO","Yes")</f>
        <v>Yes</v>
      </c>
      <c r="W959" t="s">
        <v>1008</v>
      </c>
      <c r="X959" t="s">
        <v>2456</v>
      </c>
      <c r="Y959" s="10">
        <v>17.940000000000001</v>
      </c>
      <c r="Z959" s="3">
        <v>44960</v>
      </c>
      <c r="AA959" s="3">
        <v>44963</v>
      </c>
      <c r="AB959" t="s">
        <v>2922</v>
      </c>
      <c r="AC959">
        <v>3</v>
      </c>
    </row>
    <row r="960" spans="1:29" x14ac:dyDescent="0.3">
      <c r="A960" s="3">
        <v>45481</v>
      </c>
      <c r="B960" s="3" t="str">
        <f>TEXT(CleanedTable[[#This Row],[OrderDate]],"mmm")</f>
        <v>Jul</v>
      </c>
      <c r="C960" s="3" t="str">
        <f>TEXT(CleanedTable[[#This Row],[OrderDate]],"yyyy")</f>
        <v>2024</v>
      </c>
      <c r="D960" s="3" t="str">
        <f>TEXT(CleanedTable[[#This Row],[OrderDate]],"mmm yyyy")</f>
        <v>Jul 2024</v>
      </c>
      <c r="E960" t="s">
        <v>21</v>
      </c>
      <c r="F960" t="s">
        <v>26</v>
      </c>
      <c r="G960" s="12">
        <v>5</v>
      </c>
      <c r="H960" s="8">
        <v>186.32</v>
      </c>
      <c r="I960" t="s">
        <v>32</v>
      </c>
      <c r="J960" t="s">
        <v>35</v>
      </c>
      <c r="K960" s="10">
        <v>0.1</v>
      </c>
      <c r="L960" t="s">
        <v>40</v>
      </c>
      <c r="M960">
        <v>838.43999999999994</v>
      </c>
      <c r="N960">
        <v>558.95999999999992</v>
      </c>
      <c r="O960" s="10">
        <v>262.39000000000004</v>
      </c>
      <c r="P960" s="10">
        <v>0.31295024092362012</v>
      </c>
      <c r="Q960" s="8">
        <v>838.43999999999994</v>
      </c>
      <c r="R960" t="s">
        <v>44</v>
      </c>
      <c r="S960" t="s">
        <v>50</v>
      </c>
      <c r="T960" t="s">
        <v>2931</v>
      </c>
      <c r="U960">
        <v>0</v>
      </c>
      <c r="V960" t="str">
        <f>IF(CleanedTable[[#This Row],[Returned]] = 0,"NO","Yes")</f>
        <v>NO</v>
      </c>
      <c r="W960" t="s">
        <v>1009</v>
      </c>
      <c r="X960" t="s">
        <v>1675</v>
      </c>
      <c r="Y960" s="10">
        <v>17.09</v>
      </c>
      <c r="Z960" s="3">
        <v>45481</v>
      </c>
      <c r="AA960" s="3">
        <v>45487</v>
      </c>
      <c r="AB960" t="s">
        <v>2924</v>
      </c>
      <c r="AC960">
        <v>6</v>
      </c>
    </row>
    <row r="961" spans="1:29" x14ac:dyDescent="0.3">
      <c r="A961" s="3">
        <v>45808</v>
      </c>
      <c r="B961" s="3" t="str">
        <f>TEXT(CleanedTable[[#This Row],[OrderDate]],"mmm")</f>
        <v>May</v>
      </c>
      <c r="C961" s="3" t="str">
        <f>TEXT(CleanedTable[[#This Row],[OrderDate]],"yyyy")</f>
        <v>2025</v>
      </c>
      <c r="D961" s="3" t="str">
        <f>TEXT(CleanedTable[[#This Row],[OrderDate]],"mmm yyyy")</f>
        <v>May 2025</v>
      </c>
      <c r="E961" t="s">
        <v>20</v>
      </c>
      <c r="F961" t="s">
        <v>28</v>
      </c>
      <c r="G961" s="12">
        <v>3</v>
      </c>
      <c r="H961" s="8">
        <v>390.28</v>
      </c>
      <c r="I961" t="s">
        <v>31</v>
      </c>
      <c r="J961" t="s">
        <v>36</v>
      </c>
      <c r="K961" s="10">
        <v>0</v>
      </c>
      <c r="L961" t="s">
        <v>39</v>
      </c>
      <c r="M961">
        <v>1170.8399999999999</v>
      </c>
      <c r="N961">
        <v>702.50399999999991</v>
      </c>
      <c r="O961" s="10">
        <v>423.11599999999999</v>
      </c>
      <c r="P961" s="10">
        <v>0.36137815585391686</v>
      </c>
      <c r="Q961" s="8">
        <v>1170.8399999999999</v>
      </c>
      <c r="R961" t="s">
        <v>43</v>
      </c>
      <c r="S961" t="s">
        <v>50</v>
      </c>
      <c r="T961" t="s">
        <v>2931</v>
      </c>
      <c r="U961">
        <v>1</v>
      </c>
      <c r="V961" t="str">
        <f>IF(CleanedTable[[#This Row],[Returned]] = 0,"NO","Yes")</f>
        <v>Yes</v>
      </c>
      <c r="W961" t="s">
        <v>1010</v>
      </c>
      <c r="X961" t="s">
        <v>2457</v>
      </c>
      <c r="Y961" s="10">
        <v>45.22</v>
      </c>
      <c r="Z961" s="3">
        <v>45808</v>
      </c>
      <c r="AA961" s="3">
        <v>45818</v>
      </c>
      <c r="AB961" t="s">
        <v>2923</v>
      </c>
      <c r="AC961">
        <v>10</v>
      </c>
    </row>
    <row r="962" spans="1:29" x14ac:dyDescent="0.3">
      <c r="A962" s="3">
        <v>45239</v>
      </c>
      <c r="B962" s="3" t="str">
        <f>TEXT(CleanedTable[[#This Row],[OrderDate]],"mmm")</f>
        <v>Nov</v>
      </c>
      <c r="C962" s="3" t="str">
        <f>TEXT(CleanedTable[[#This Row],[OrderDate]],"yyyy")</f>
        <v>2023</v>
      </c>
      <c r="D962" s="3" t="str">
        <f>TEXT(CleanedTable[[#This Row],[OrderDate]],"mmm yyyy")</f>
        <v>Nov 2023</v>
      </c>
      <c r="E962" t="s">
        <v>20</v>
      </c>
      <c r="F962" t="s">
        <v>28</v>
      </c>
      <c r="G962" s="12">
        <v>13</v>
      </c>
      <c r="H962" s="8">
        <v>174.9</v>
      </c>
      <c r="I962" t="s">
        <v>32</v>
      </c>
      <c r="J962" t="s">
        <v>35</v>
      </c>
      <c r="K962" s="10">
        <v>0.15</v>
      </c>
      <c r="L962" t="s">
        <v>40</v>
      </c>
      <c r="M962">
        <v>1932.6450000000002</v>
      </c>
      <c r="N962">
        <v>1364.22</v>
      </c>
      <c r="O962" s="10">
        <v>537.16500000000019</v>
      </c>
      <c r="P962" s="10">
        <v>0.27794292278199056</v>
      </c>
      <c r="Q962" s="8">
        <v>1932.645</v>
      </c>
      <c r="R962" t="s">
        <v>43</v>
      </c>
      <c r="S962" t="s">
        <v>50</v>
      </c>
      <c r="T962" t="s">
        <v>2931</v>
      </c>
      <c r="U962">
        <v>0</v>
      </c>
      <c r="V962" t="str">
        <f>IF(CleanedTable[[#This Row],[Returned]] = 0,"NO","Yes")</f>
        <v>NO</v>
      </c>
      <c r="W962" t="s">
        <v>1011</v>
      </c>
      <c r="X962" t="s">
        <v>2458</v>
      </c>
      <c r="Y962" s="10">
        <v>31.26</v>
      </c>
      <c r="Z962" s="3">
        <v>45239</v>
      </c>
      <c r="AA962" s="3">
        <v>45242</v>
      </c>
      <c r="AB962" t="s">
        <v>2923</v>
      </c>
      <c r="AC962">
        <v>3</v>
      </c>
    </row>
    <row r="963" spans="1:29" x14ac:dyDescent="0.3">
      <c r="A963" s="3">
        <v>45113</v>
      </c>
      <c r="B963" s="3" t="str">
        <f>TEXT(CleanedTable[[#This Row],[OrderDate]],"mmm")</f>
        <v>Jul</v>
      </c>
      <c r="C963" s="3" t="str">
        <f>TEXT(CleanedTable[[#This Row],[OrderDate]],"yyyy")</f>
        <v>2023</v>
      </c>
      <c r="D963" s="3" t="str">
        <f>TEXT(CleanedTable[[#This Row],[OrderDate]],"mmm yyyy")</f>
        <v>Jul 2023</v>
      </c>
      <c r="E963" t="s">
        <v>21</v>
      </c>
      <c r="F963" t="s">
        <v>27</v>
      </c>
      <c r="G963" s="12">
        <v>8</v>
      </c>
      <c r="H963" s="8">
        <v>419.13</v>
      </c>
      <c r="I963" t="s">
        <v>32</v>
      </c>
      <c r="J963" t="s">
        <v>36</v>
      </c>
      <c r="K963" s="10">
        <v>0.1</v>
      </c>
      <c r="L963" t="s">
        <v>38</v>
      </c>
      <c r="M963">
        <v>3017.7359999999999</v>
      </c>
      <c r="N963">
        <v>2011.8239999999998</v>
      </c>
      <c r="O963" s="10">
        <v>994.89200000000005</v>
      </c>
      <c r="P963" s="10">
        <v>0.32968158911183754</v>
      </c>
      <c r="Q963" s="8">
        <v>3017.7359999999999</v>
      </c>
      <c r="R963" t="s">
        <v>43</v>
      </c>
      <c r="T963" t="s">
        <v>2932</v>
      </c>
      <c r="U963">
        <v>1</v>
      </c>
      <c r="V963" t="str">
        <f>IF(CleanedTable[[#This Row],[Returned]] = 0,"NO","Yes")</f>
        <v>Yes</v>
      </c>
      <c r="W963" t="s">
        <v>1012</v>
      </c>
      <c r="X963" t="s">
        <v>2459</v>
      </c>
      <c r="Y963" s="10">
        <v>11.02</v>
      </c>
      <c r="Z963" s="3">
        <v>45113</v>
      </c>
      <c r="AA963" s="3">
        <v>45117</v>
      </c>
      <c r="AB963" t="s">
        <v>2924</v>
      </c>
      <c r="AC963">
        <v>4</v>
      </c>
    </row>
    <row r="964" spans="1:29" x14ac:dyDescent="0.3">
      <c r="A964" s="3">
        <v>45121</v>
      </c>
      <c r="B964" s="3" t="str">
        <f>TEXT(CleanedTable[[#This Row],[OrderDate]],"mmm")</f>
        <v>Jul</v>
      </c>
      <c r="C964" s="3" t="str">
        <f>TEXT(CleanedTable[[#This Row],[OrderDate]],"yyyy")</f>
        <v>2023</v>
      </c>
      <c r="D964" s="3" t="str">
        <f>TEXT(CleanedTable[[#This Row],[OrderDate]],"mmm yyyy")</f>
        <v>Jul 2023</v>
      </c>
      <c r="E964" t="s">
        <v>21</v>
      </c>
      <c r="F964" t="s">
        <v>27</v>
      </c>
      <c r="G964" s="12">
        <v>12</v>
      </c>
      <c r="H964" s="8">
        <v>116.96</v>
      </c>
      <c r="I964" t="s">
        <v>34</v>
      </c>
      <c r="J964" t="s">
        <v>35</v>
      </c>
      <c r="K964" s="10">
        <v>0</v>
      </c>
      <c r="L964" t="s">
        <v>38</v>
      </c>
      <c r="M964">
        <v>1403.52</v>
      </c>
      <c r="N964">
        <v>842.11199999999985</v>
      </c>
      <c r="O964" s="10">
        <v>539.36800000000017</v>
      </c>
      <c r="P964" s="10">
        <v>0.38429662562699513</v>
      </c>
      <c r="Q964" s="8">
        <v>1403.52</v>
      </c>
      <c r="R964" t="s">
        <v>44</v>
      </c>
      <c r="S964" t="s">
        <v>50</v>
      </c>
      <c r="T964" t="s">
        <v>2931</v>
      </c>
      <c r="U964">
        <v>0</v>
      </c>
      <c r="V964" t="str">
        <f>IF(CleanedTable[[#This Row],[Returned]] = 0,"NO","Yes")</f>
        <v>NO</v>
      </c>
      <c r="W964" t="s">
        <v>1013</v>
      </c>
      <c r="X964" t="s">
        <v>2460</v>
      </c>
      <c r="Y964" s="10">
        <v>22.04</v>
      </c>
      <c r="Z964" s="3">
        <v>45121</v>
      </c>
      <c r="AA964" s="3">
        <v>45129</v>
      </c>
      <c r="AB964" t="s">
        <v>2924</v>
      </c>
      <c r="AC964">
        <v>8</v>
      </c>
    </row>
    <row r="965" spans="1:29" x14ac:dyDescent="0.3">
      <c r="A965" s="3">
        <v>45243</v>
      </c>
      <c r="B965" s="3" t="str">
        <f>TEXT(CleanedTable[[#This Row],[OrderDate]],"mmm")</f>
        <v>Nov</v>
      </c>
      <c r="C965" s="3" t="str">
        <f>TEXT(CleanedTable[[#This Row],[OrderDate]],"yyyy")</f>
        <v>2023</v>
      </c>
      <c r="D965" s="3" t="str">
        <f>TEXT(CleanedTable[[#This Row],[OrderDate]],"mmm yyyy")</f>
        <v>Nov 2023</v>
      </c>
      <c r="E965" t="s">
        <v>23</v>
      </c>
      <c r="F965" t="s">
        <v>27</v>
      </c>
      <c r="G965" s="12">
        <v>11</v>
      </c>
      <c r="H965" s="8">
        <v>323.72000000000003</v>
      </c>
      <c r="I965" t="s">
        <v>32</v>
      </c>
      <c r="J965" t="s">
        <v>35</v>
      </c>
      <c r="K965" s="10">
        <v>0.1</v>
      </c>
      <c r="L965" t="s">
        <v>42</v>
      </c>
      <c r="M965">
        <v>3204.828</v>
      </c>
      <c r="N965">
        <v>2136.5520000000001</v>
      </c>
      <c r="O965" s="10">
        <v>1060.7559999999999</v>
      </c>
      <c r="P965" s="10">
        <v>0.33098687355452455</v>
      </c>
      <c r="Q965" s="8">
        <v>3204.828</v>
      </c>
      <c r="R965" t="s">
        <v>44</v>
      </c>
      <c r="S965" t="s">
        <v>50</v>
      </c>
      <c r="T965" t="s">
        <v>2931</v>
      </c>
      <c r="U965">
        <v>0</v>
      </c>
      <c r="V965" t="str">
        <f>IF(CleanedTable[[#This Row],[Returned]] = 0,"NO","Yes")</f>
        <v>NO</v>
      </c>
      <c r="W965" t="s">
        <v>1014</v>
      </c>
      <c r="X965" t="s">
        <v>2461</v>
      </c>
      <c r="Y965" s="10">
        <v>7.52</v>
      </c>
      <c r="Z965" s="3">
        <v>45243</v>
      </c>
      <c r="AA965" s="3">
        <v>45245</v>
      </c>
      <c r="AB965" t="s">
        <v>2926</v>
      </c>
      <c r="AC965">
        <v>2</v>
      </c>
    </row>
    <row r="966" spans="1:29" x14ac:dyDescent="0.3">
      <c r="A966" s="3">
        <v>45690</v>
      </c>
      <c r="B966" s="3" t="str">
        <f>TEXT(CleanedTable[[#This Row],[OrderDate]],"mmm")</f>
        <v>Feb</v>
      </c>
      <c r="C966" s="3" t="str">
        <f>TEXT(CleanedTable[[#This Row],[OrderDate]],"yyyy")</f>
        <v>2025</v>
      </c>
      <c r="D966" s="3" t="str">
        <f>TEXT(CleanedTable[[#This Row],[OrderDate]],"mmm yyyy")</f>
        <v>Feb 2025</v>
      </c>
      <c r="E966" t="s">
        <v>23</v>
      </c>
      <c r="F966" t="s">
        <v>29</v>
      </c>
      <c r="G966" s="12">
        <v>11</v>
      </c>
      <c r="H966" s="8">
        <v>155.49</v>
      </c>
      <c r="I966" t="s">
        <v>34</v>
      </c>
      <c r="J966" t="s">
        <v>36</v>
      </c>
      <c r="K966" s="10">
        <v>0.05</v>
      </c>
      <c r="L966" t="s">
        <v>39</v>
      </c>
      <c r="M966">
        <v>1624.8705</v>
      </c>
      <c r="N966">
        <v>1026.2339999999999</v>
      </c>
      <c r="O966" s="10">
        <v>551.62650000000008</v>
      </c>
      <c r="P966" s="10">
        <v>0.33948951624144824</v>
      </c>
      <c r="Q966" s="8">
        <v>1624.8705</v>
      </c>
      <c r="R966" t="s">
        <v>47</v>
      </c>
      <c r="T966" t="s">
        <v>2932</v>
      </c>
      <c r="U966">
        <v>0</v>
      </c>
      <c r="V966" t="str">
        <f>IF(CleanedTable[[#This Row],[Returned]] = 0,"NO","Yes")</f>
        <v>NO</v>
      </c>
      <c r="W966" t="s">
        <v>1015</v>
      </c>
      <c r="X966" t="s">
        <v>2462</v>
      </c>
      <c r="Y966" s="10">
        <v>47.01</v>
      </c>
      <c r="Z966" s="3">
        <v>45690</v>
      </c>
      <c r="AA966" s="3">
        <v>45700</v>
      </c>
      <c r="AB966" t="s">
        <v>2926</v>
      </c>
      <c r="AC966">
        <v>10</v>
      </c>
    </row>
    <row r="967" spans="1:29" x14ac:dyDescent="0.3">
      <c r="A967" s="3">
        <v>45418</v>
      </c>
      <c r="B967" s="3" t="str">
        <f>TEXT(CleanedTable[[#This Row],[OrderDate]],"mmm")</f>
        <v>May</v>
      </c>
      <c r="C967" s="3" t="str">
        <f>TEXT(CleanedTable[[#This Row],[OrderDate]],"yyyy")</f>
        <v>2024</v>
      </c>
      <c r="D967" s="3" t="str">
        <f>TEXT(CleanedTable[[#This Row],[OrderDate]],"mmm yyyy")</f>
        <v>May 2024</v>
      </c>
      <c r="E967" t="s">
        <v>20</v>
      </c>
      <c r="F967" t="s">
        <v>30</v>
      </c>
      <c r="G967" s="12">
        <v>20</v>
      </c>
      <c r="H967" s="8">
        <v>270.2</v>
      </c>
      <c r="I967" t="s">
        <v>32</v>
      </c>
      <c r="J967" t="s">
        <v>35</v>
      </c>
      <c r="K967" s="10">
        <v>0</v>
      </c>
      <c r="L967" t="s">
        <v>41</v>
      </c>
      <c r="M967">
        <v>5404</v>
      </c>
      <c r="N967">
        <v>3242.3999999999996</v>
      </c>
      <c r="O967" s="10">
        <v>2154.8000000000002</v>
      </c>
      <c r="P967" s="10">
        <v>0.39874167283493711</v>
      </c>
      <c r="Q967" s="8">
        <v>5404</v>
      </c>
      <c r="R967" t="s">
        <v>45</v>
      </c>
      <c r="S967" t="s">
        <v>50</v>
      </c>
      <c r="T967" t="s">
        <v>2931</v>
      </c>
      <c r="U967">
        <v>0</v>
      </c>
      <c r="V967" t="str">
        <f>IF(CleanedTable[[#This Row],[Returned]] = 0,"NO","Yes")</f>
        <v>NO</v>
      </c>
      <c r="W967" t="s">
        <v>1016</v>
      </c>
      <c r="X967" t="s">
        <v>2463</v>
      </c>
      <c r="Y967" s="10">
        <v>6.8</v>
      </c>
      <c r="Z967" s="3">
        <v>45418</v>
      </c>
      <c r="AA967" s="3">
        <v>45427</v>
      </c>
      <c r="AB967" t="s">
        <v>2923</v>
      </c>
      <c r="AC967">
        <v>9</v>
      </c>
    </row>
    <row r="968" spans="1:29" x14ac:dyDescent="0.3">
      <c r="A968" s="3">
        <v>45582</v>
      </c>
      <c r="B968" s="3" t="str">
        <f>TEXT(CleanedTable[[#This Row],[OrderDate]],"mmm")</f>
        <v>Oct</v>
      </c>
      <c r="C968" s="3" t="str">
        <f>TEXT(CleanedTable[[#This Row],[OrderDate]],"yyyy")</f>
        <v>2024</v>
      </c>
      <c r="D968" s="3" t="str">
        <f>TEXT(CleanedTable[[#This Row],[OrderDate]],"mmm yyyy")</f>
        <v>Oct 2024</v>
      </c>
      <c r="E968" t="s">
        <v>20</v>
      </c>
      <c r="F968" t="s">
        <v>30</v>
      </c>
      <c r="G968" s="12">
        <v>15</v>
      </c>
      <c r="H968" s="8">
        <v>482.08</v>
      </c>
      <c r="I968" t="s">
        <v>34</v>
      </c>
      <c r="J968" t="s">
        <v>36</v>
      </c>
      <c r="K968" s="10">
        <v>0.1</v>
      </c>
      <c r="L968" t="s">
        <v>37</v>
      </c>
      <c r="M968">
        <v>6508.08</v>
      </c>
      <c r="N968">
        <v>4338.72</v>
      </c>
      <c r="O968" s="10">
        <v>2156.0099999999998</v>
      </c>
      <c r="P968" s="10">
        <v>0.33128203709849907</v>
      </c>
      <c r="Q968" s="8">
        <v>6508.08</v>
      </c>
      <c r="R968" t="s">
        <v>46</v>
      </c>
      <c r="S968" t="s">
        <v>48</v>
      </c>
      <c r="T968" t="s">
        <v>2931</v>
      </c>
      <c r="U968">
        <v>1</v>
      </c>
      <c r="V968" t="str">
        <f>IF(CleanedTable[[#This Row],[Returned]] = 0,"NO","Yes")</f>
        <v>Yes</v>
      </c>
      <c r="W968" t="s">
        <v>1017</v>
      </c>
      <c r="X968" t="s">
        <v>2139</v>
      </c>
      <c r="Y968" s="10">
        <v>13.35</v>
      </c>
      <c r="Z968" s="3">
        <v>45582</v>
      </c>
      <c r="AA968" s="3">
        <v>45584</v>
      </c>
      <c r="AB968" t="s">
        <v>2923</v>
      </c>
      <c r="AC968">
        <v>2</v>
      </c>
    </row>
    <row r="969" spans="1:29" x14ac:dyDescent="0.3">
      <c r="A969" s="3">
        <v>45686</v>
      </c>
      <c r="B969" s="3" t="str">
        <f>TEXT(CleanedTable[[#This Row],[OrderDate]],"mmm")</f>
        <v>Jan</v>
      </c>
      <c r="C969" s="3" t="str">
        <f>TEXT(CleanedTable[[#This Row],[OrderDate]],"yyyy")</f>
        <v>2025</v>
      </c>
      <c r="D969" s="3" t="str">
        <f>TEXT(CleanedTable[[#This Row],[OrderDate]],"mmm yyyy")</f>
        <v>Jan 2025</v>
      </c>
      <c r="E969" t="s">
        <v>21</v>
      </c>
      <c r="F969" t="s">
        <v>24</v>
      </c>
      <c r="G969" s="12">
        <v>11</v>
      </c>
      <c r="H969" s="8">
        <v>431.51</v>
      </c>
      <c r="I969" t="s">
        <v>33</v>
      </c>
      <c r="J969" t="s">
        <v>35</v>
      </c>
      <c r="K969" s="10">
        <v>0.1</v>
      </c>
      <c r="L969" t="s">
        <v>40</v>
      </c>
      <c r="M969">
        <v>4271.9489999999996</v>
      </c>
      <c r="N969">
        <v>2847.9659999999999</v>
      </c>
      <c r="O969" s="10">
        <v>1401.1529999999998</v>
      </c>
      <c r="P969" s="10">
        <v>0.32798916841001613</v>
      </c>
      <c r="Q969" s="8">
        <v>4271.9489999999996</v>
      </c>
      <c r="R969" t="s">
        <v>46</v>
      </c>
      <c r="S969" t="s">
        <v>49</v>
      </c>
      <c r="T969" t="s">
        <v>2931</v>
      </c>
      <c r="U969">
        <v>0</v>
      </c>
      <c r="V969" t="str">
        <f>IF(CleanedTable[[#This Row],[Returned]] = 0,"NO","Yes")</f>
        <v>NO</v>
      </c>
      <c r="W969" t="s">
        <v>1018</v>
      </c>
      <c r="X969" t="s">
        <v>2464</v>
      </c>
      <c r="Y969" s="10">
        <v>22.83</v>
      </c>
      <c r="Z969" s="3">
        <v>45686</v>
      </c>
      <c r="AA969" s="3">
        <v>45693</v>
      </c>
      <c r="AB969" t="s">
        <v>2924</v>
      </c>
      <c r="AC969">
        <v>7</v>
      </c>
    </row>
    <row r="970" spans="1:29" x14ac:dyDescent="0.3">
      <c r="A970" s="3">
        <v>45739</v>
      </c>
      <c r="B970" s="3" t="str">
        <f>TEXT(CleanedTable[[#This Row],[OrderDate]],"mmm")</f>
        <v>Mar</v>
      </c>
      <c r="C970" s="3" t="str">
        <f>TEXT(CleanedTable[[#This Row],[OrderDate]],"yyyy")</f>
        <v>2025</v>
      </c>
      <c r="D970" s="3" t="str">
        <f>TEXT(CleanedTable[[#This Row],[OrderDate]],"mmm yyyy")</f>
        <v>Mar 2025</v>
      </c>
      <c r="E970" t="s">
        <v>22</v>
      </c>
      <c r="F970" t="s">
        <v>27</v>
      </c>
      <c r="G970" s="12">
        <v>5</v>
      </c>
      <c r="H970" s="8">
        <v>302.76</v>
      </c>
      <c r="I970" t="s">
        <v>34</v>
      </c>
      <c r="J970" t="s">
        <v>35</v>
      </c>
      <c r="K970" s="10">
        <v>0</v>
      </c>
      <c r="L970" t="s">
        <v>40</v>
      </c>
      <c r="M970">
        <v>1513.8</v>
      </c>
      <c r="N970">
        <v>908.27999999999986</v>
      </c>
      <c r="O970" s="10">
        <v>558.83000000000015</v>
      </c>
      <c r="P970" s="10">
        <v>0.3691570881226055</v>
      </c>
      <c r="Q970" s="8">
        <v>1513.8</v>
      </c>
      <c r="R970" t="s">
        <v>44</v>
      </c>
      <c r="S970" t="s">
        <v>48</v>
      </c>
      <c r="T970" t="s">
        <v>2931</v>
      </c>
      <c r="U970">
        <v>1</v>
      </c>
      <c r="V970" t="str">
        <f>IF(CleanedTable[[#This Row],[Returned]] = 0,"NO","Yes")</f>
        <v>Yes</v>
      </c>
      <c r="W970" t="s">
        <v>1019</v>
      </c>
      <c r="X970" t="s">
        <v>2465</v>
      </c>
      <c r="Y970" s="10">
        <v>46.69</v>
      </c>
      <c r="Z970" s="3">
        <v>45739</v>
      </c>
      <c r="AA970" s="3">
        <v>45745</v>
      </c>
      <c r="AB970" t="s">
        <v>2925</v>
      </c>
      <c r="AC970">
        <v>6</v>
      </c>
    </row>
    <row r="971" spans="1:29" x14ac:dyDescent="0.3">
      <c r="A971" s="3">
        <v>45393</v>
      </c>
      <c r="B971" s="3" t="str">
        <f>TEXT(CleanedTable[[#This Row],[OrderDate]],"mmm")</f>
        <v>Apr</v>
      </c>
      <c r="C971" s="3" t="str">
        <f>TEXT(CleanedTable[[#This Row],[OrderDate]],"yyyy")</f>
        <v>2024</v>
      </c>
      <c r="D971" s="3" t="str">
        <f>TEXT(CleanedTable[[#This Row],[OrderDate]],"mmm yyyy")</f>
        <v>Apr 2024</v>
      </c>
      <c r="E971" t="s">
        <v>23</v>
      </c>
      <c r="F971" t="s">
        <v>27</v>
      </c>
      <c r="G971" s="12">
        <v>19</v>
      </c>
      <c r="H971" s="8">
        <v>344.92</v>
      </c>
      <c r="I971" t="s">
        <v>33</v>
      </c>
      <c r="J971" t="s">
        <v>35</v>
      </c>
      <c r="K971" s="10">
        <v>0</v>
      </c>
      <c r="L971" t="s">
        <v>37</v>
      </c>
      <c r="M971">
        <v>6553.4800000000005</v>
      </c>
      <c r="N971">
        <v>3932.0879999999997</v>
      </c>
      <c r="O971" s="10">
        <v>2614.4820000000009</v>
      </c>
      <c r="P971" s="10">
        <v>0.39894559836911087</v>
      </c>
      <c r="Q971" s="8">
        <v>6553.48</v>
      </c>
      <c r="R971" t="s">
        <v>47</v>
      </c>
      <c r="S971" t="s">
        <v>50</v>
      </c>
      <c r="T971" t="s">
        <v>2931</v>
      </c>
      <c r="U971">
        <v>0</v>
      </c>
      <c r="V971" t="str">
        <f>IF(CleanedTable[[#This Row],[Returned]] = 0,"NO","Yes")</f>
        <v>NO</v>
      </c>
      <c r="W971" t="s">
        <v>1020</v>
      </c>
      <c r="X971" t="s">
        <v>2466</v>
      </c>
      <c r="Y971" s="10">
        <v>6.91</v>
      </c>
      <c r="Z971" s="3">
        <v>45393</v>
      </c>
      <c r="AA971" s="3">
        <v>45402</v>
      </c>
      <c r="AB971" t="s">
        <v>2926</v>
      </c>
      <c r="AC971">
        <v>9</v>
      </c>
    </row>
    <row r="972" spans="1:29" x14ac:dyDescent="0.3">
      <c r="A972" s="3">
        <v>45415</v>
      </c>
      <c r="B972" s="3" t="str">
        <f>TEXT(CleanedTable[[#This Row],[OrderDate]],"mmm")</f>
        <v>May</v>
      </c>
      <c r="C972" s="3" t="str">
        <f>TEXT(CleanedTable[[#This Row],[OrderDate]],"yyyy")</f>
        <v>2024</v>
      </c>
      <c r="D972" s="3" t="str">
        <f>TEXT(CleanedTable[[#This Row],[OrderDate]],"mmm yyyy")</f>
        <v>May 2024</v>
      </c>
      <c r="E972" t="s">
        <v>22</v>
      </c>
      <c r="F972" t="s">
        <v>27</v>
      </c>
      <c r="G972" s="12">
        <v>7</v>
      </c>
      <c r="H972" s="8">
        <v>511.46</v>
      </c>
      <c r="I972" t="s">
        <v>33</v>
      </c>
      <c r="J972" t="s">
        <v>36</v>
      </c>
      <c r="K972" s="10">
        <v>0.1</v>
      </c>
      <c r="L972" t="s">
        <v>37</v>
      </c>
      <c r="M972">
        <v>3222.1979999999999</v>
      </c>
      <c r="N972">
        <v>2148.1319999999996</v>
      </c>
      <c r="O972" s="10">
        <v>1054.8660000000002</v>
      </c>
      <c r="P972" s="10">
        <v>0.32737466785095148</v>
      </c>
      <c r="Q972" s="8">
        <v>3222.1979999999999</v>
      </c>
      <c r="R972" t="s">
        <v>47</v>
      </c>
      <c r="S972" t="s">
        <v>48</v>
      </c>
      <c r="T972" t="s">
        <v>2931</v>
      </c>
      <c r="U972">
        <v>0</v>
      </c>
      <c r="V972" t="str">
        <f>IF(CleanedTable[[#This Row],[Returned]] = 0,"NO","Yes")</f>
        <v>NO</v>
      </c>
      <c r="W972" t="s">
        <v>1021</v>
      </c>
      <c r="X972" t="s">
        <v>2467</v>
      </c>
      <c r="Y972" s="10">
        <v>19.2</v>
      </c>
      <c r="Z972" s="3">
        <v>45415</v>
      </c>
      <c r="AA972" s="3">
        <v>45424</v>
      </c>
      <c r="AB972" t="s">
        <v>2925</v>
      </c>
      <c r="AC972">
        <v>9</v>
      </c>
    </row>
    <row r="973" spans="1:29" x14ac:dyDescent="0.3">
      <c r="A973" s="3">
        <v>45579</v>
      </c>
      <c r="B973" s="3" t="str">
        <f>TEXT(CleanedTable[[#This Row],[OrderDate]],"mmm")</f>
        <v>Oct</v>
      </c>
      <c r="C973" s="3" t="str">
        <f>TEXT(CleanedTable[[#This Row],[OrderDate]],"yyyy")</f>
        <v>2024</v>
      </c>
      <c r="D973" s="3" t="str">
        <f>TEXT(CleanedTable[[#This Row],[OrderDate]],"mmm yyyy")</f>
        <v>Oct 2024</v>
      </c>
      <c r="E973" t="s">
        <v>19</v>
      </c>
      <c r="F973" t="s">
        <v>28</v>
      </c>
      <c r="G973" s="12">
        <v>7</v>
      </c>
      <c r="H973" s="8">
        <v>150.6</v>
      </c>
      <c r="I973" t="s">
        <v>32</v>
      </c>
      <c r="J973" t="s">
        <v>35</v>
      </c>
      <c r="K973" s="10">
        <v>0.15</v>
      </c>
      <c r="L973" t="s">
        <v>42</v>
      </c>
      <c r="M973">
        <v>896.07</v>
      </c>
      <c r="N973">
        <v>632.52</v>
      </c>
      <c r="O973" s="10">
        <v>248.03000000000006</v>
      </c>
      <c r="P973" s="10">
        <v>0.27679757161828877</v>
      </c>
      <c r="Q973" s="8">
        <v>896.07</v>
      </c>
      <c r="R973" t="s">
        <v>47</v>
      </c>
      <c r="S973" t="s">
        <v>50</v>
      </c>
      <c r="T973" t="s">
        <v>2931</v>
      </c>
      <c r="U973">
        <v>1</v>
      </c>
      <c r="V973" t="str">
        <f>IF(CleanedTable[[#This Row],[Returned]] = 0,"NO","Yes")</f>
        <v>Yes</v>
      </c>
      <c r="W973" t="s">
        <v>1022</v>
      </c>
      <c r="X973" t="s">
        <v>2468</v>
      </c>
      <c r="Y973" s="10">
        <v>15.52</v>
      </c>
      <c r="Z973" s="3">
        <v>45579</v>
      </c>
      <c r="AA973" s="3">
        <v>45586</v>
      </c>
      <c r="AB973" t="s">
        <v>2922</v>
      </c>
      <c r="AC973">
        <v>7</v>
      </c>
    </row>
    <row r="974" spans="1:29" x14ac:dyDescent="0.3">
      <c r="A974" s="3">
        <v>45330</v>
      </c>
      <c r="B974" s="3" t="str">
        <f>TEXT(CleanedTable[[#This Row],[OrderDate]],"mmm")</f>
        <v>Feb</v>
      </c>
      <c r="C974" s="3" t="str">
        <f>TEXT(CleanedTable[[#This Row],[OrderDate]],"yyyy")</f>
        <v>2024</v>
      </c>
      <c r="D974" s="3" t="str">
        <f>TEXT(CleanedTable[[#This Row],[OrderDate]],"mmm yyyy")</f>
        <v>Feb 2024</v>
      </c>
      <c r="E974" t="s">
        <v>23</v>
      </c>
      <c r="F974" t="s">
        <v>25</v>
      </c>
      <c r="G974" s="12">
        <v>8</v>
      </c>
      <c r="H974" s="8">
        <v>158.02000000000001</v>
      </c>
      <c r="I974" t="s">
        <v>33</v>
      </c>
      <c r="J974" t="s">
        <v>35</v>
      </c>
      <c r="K974" s="10">
        <v>0.15</v>
      </c>
      <c r="L974" t="s">
        <v>41</v>
      </c>
      <c r="M974">
        <v>1074.5360000000001</v>
      </c>
      <c r="N974">
        <v>758.49599999999998</v>
      </c>
      <c r="O974" s="10">
        <v>268.61000000000007</v>
      </c>
      <c r="P974" s="10">
        <v>0.24997766477809963</v>
      </c>
      <c r="Q974" s="8">
        <v>1074.5360000000001</v>
      </c>
      <c r="R974" t="s">
        <v>45</v>
      </c>
      <c r="S974" t="s">
        <v>48</v>
      </c>
      <c r="T974" t="s">
        <v>2931</v>
      </c>
      <c r="U974">
        <v>0</v>
      </c>
      <c r="V974" t="str">
        <f>IF(CleanedTable[[#This Row],[Returned]] = 0,"NO","Yes")</f>
        <v>NO</v>
      </c>
      <c r="W974" t="s">
        <v>1023</v>
      </c>
      <c r="X974" t="s">
        <v>2469</v>
      </c>
      <c r="Y974" s="10">
        <v>47.43</v>
      </c>
      <c r="Z974" s="3">
        <v>45330</v>
      </c>
      <c r="AA974" s="3">
        <v>45335</v>
      </c>
      <c r="AB974" t="s">
        <v>2926</v>
      </c>
      <c r="AC974">
        <v>5</v>
      </c>
    </row>
    <row r="975" spans="1:29" x14ac:dyDescent="0.3">
      <c r="A975" s="3">
        <v>45056</v>
      </c>
      <c r="B975" s="3" t="str">
        <f>TEXT(CleanedTable[[#This Row],[OrderDate]],"mmm")</f>
        <v>May</v>
      </c>
      <c r="C975" s="3" t="str">
        <f>TEXT(CleanedTable[[#This Row],[OrderDate]],"yyyy")</f>
        <v>2023</v>
      </c>
      <c r="D975" s="3" t="str">
        <f>TEXT(CleanedTable[[#This Row],[OrderDate]],"mmm yyyy")</f>
        <v>May 2023</v>
      </c>
      <c r="E975" t="s">
        <v>22</v>
      </c>
      <c r="F975" t="s">
        <v>29</v>
      </c>
      <c r="G975" s="12">
        <v>2</v>
      </c>
      <c r="H975" s="8">
        <v>536.17999999999995</v>
      </c>
      <c r="I975" t="s">
        <v>31</v>
      </c>
      <c r="J975" t="s">
        <v>36</v>
      </c>
      <c r="K975" s="10">
        <v>0.1</v>
      </c>
      <c r="L975" t="s">
        <v>39</v>
      </c>
      <c r="M975">
        <v>965.12399999999991</v>
      </c>
      <c r="N975">
        <v>643.41599999999994</v>
      </c>
      <c r="O975" s="10">
        <v>286.95799999999997</v>
      </c>
      <c r="P975" s="10">
        <v>0.2973275972828362</v>
      </c>
      <c r="Q975" s="8">
        <v>965.12399999999991</v>
      </c>
      <c r="R975" t="s">
        <v>45</v>
      </c>
      <c r="S975" t="s">
        <v>48</v>
      </c>
      <c r="T975" t="s">
        <v>2931</v>
      </c>
      <c r="U975">
        <v>0</v>
      </c>
      <c r="V975" t="str">
        <f>IF(CleanedTable[[#This Row],[Returned]] = 0,"NO","Yes")</f>
        <v>NO</v>
      </c>
      <c r="W975" t="s">
        <v>1024</v>
      </c>
      <c r="X975" t="s">
        <v>2470</v>
      </c>
      <c r="Y975" s="10">
        <v>34.75</v>
      </c>
      <c r="Z975" s="3">
        <v>45056</v>
      </c>
      <c r="AA975" s="3">
        <v>45059</v>
      </c>
      <c r="AB975" t="s">
        <v>2925</v>
      </c>
      <c r="AC975">
        <v>3</v>
      </c>
    </row>
    <row r="976" spans="1:29" x14ac:dyDescent="0.3">
      <c r="A976" s="3">
        <v>44988</v>
      </c>
      <c r="B976" s="3" t="str">
        <f>TEXT(CleanedTable[[#This Row],[OrderDate]],"mmm")</f>
        <v>Mar</v>
      </c>
      <c r="C976" s="3" t="str">
        <f>TEXT(CleanedTable[[#This Row],[OrderDate]],"yyyy")</f>
        <v>2023</v>
      </c>
      <c r="D976" s="3" t="str">
        <f>TEXT(CleanedTable[[#This Row],[OrderDate]],"mmm yyyy")</f>
        <v>Mar 2023</v>
      </c>
      <c r="E976" t="s">
        <v>21</v>
      </c>
      <c r="F976" t="s">
        <v>27</v>
      </c>
      <c r="G976" s="12">
        <v>16</v>
      </c>
      <c r="H976" s="8">
        <v>571.26</v>
      </c>
      <c r="I976" t="s">
        <v>33</v>
      </c>
      <c r="J976" t="s">
        <v>35</v>
      </c>
      <c r="K976" s="10">
        <v>0.15</v>
      </c>
      <c r="L976" t="s">
        <v>42</v>
      </c>
      <c r="M976">
        <v>7769.1359999999995</v>
      </c>
      <c r="N976">
        <v>5484.0959999999995</v>
      </c>
      <c r="O976" s="10">
        <v>2278.91</v>
      </c>
      <c r="P976" s="10">
        <v>0.29332862753335764</v>
      </c>
      <c r="Q976" s="8">
        <v>7769.1360000000004</v>
      </c>
      <c r="R976" t="s">
        <v>44</v>
      </c>
      <c r="S976" t="s">
        <v>49</v>
      </c>
      <c r="T976" t="s">
        <v>2931</v>
      </c>
      <c r="U976">
        <v>0</v>
      </c>
      <c r="V976" t="str">
        <f>IF(CleanedTable[[#This Row],[Returned]] = 0,"NO","Yes")</f>
        <v>NO</v>
      </c>
      <c r="W976" t="s">
        <v>1025</v>
      </c>
      <c r="X976" t="s">
        <v>2471</v>
      </c>
      <c r="Y976" s="10">
        <v>6.13</v>
      </c>
      <c r="Z976" s="3">
        <v>44988</v>
      </c>
      <c r="AA976" s="3">
        <v>44997</v>
      </c>
      <c r="AB976" t="s">
        <v>2924</v>
      </c>
      <c r="AC976">
        <v>9</v>
      </c>
    </row>
    <row r="977" spans="1:29" x14ac:dyDescent="0.3">
      <c r="A977" s="3">
        <v>45798</v>
      </c>
      <c r="B977" s="3" t="str">
        <f>TEXT(CleanedTable[[#This Row],[OrderDate]],"mmm")</f>
        <v>May</v>
      </c>
      <c r="C977" s="3" t="str">
        <f>TEXT(CleanedTable[[#This Row],[OrderDate]],"yyyy")</f>
        <v>2025</v>
      </c>
      <c r="D977" s="3" t="str">
        <f>TEXT(CleanedTable[[#This Row],[OrderDate]],"mmm yyyy")</f>
        <v>May 2025</v>
      </c>
      <c r="E977" t="s">
        <v>22</v>
      </c>
      <c r="F977" t="s">
        <v>29</v>
      </c>
      <c r="G977" s="12">
        <v>12</v>
      </c>
      <c r="H977" s="8">
        <v>134.41999999999999</v>
      </c>
      <c r="I977" t="s">
        <v>34</v>
      </c>
      <c r="J977" t="s">
        <v>36</v>
      </c>
      <c r="K977" s="10">
        <v>0.1</v>
      </c>
      <c r="L977" t="s">
        <v>41</v>
      </c>
      <c r="M977">
        <v>1451.7360000000001</v>
      </c>
      <c r="N977">
        <v>967.82399999999984</v>
      </c>
      <c r="O977" s="10">
        <v>449.93200000000024</v>
      </c>
      <c r="P977" s="10">
        <v>0.30992687375666111</v>
      </c>
      <c r="Q977" s="8">
        <v>1451.7360000000001</v>
      </c>
      <c r="R977" t="s">
        <v>44</v>
      </c>
      <c r="S977" t="s">
        <v>48</v>
      </c>
      <c r="T977" t="s">
        <v>2931</v>
      </c>
      <c r="U977">
        <v>0</v>
      </c>
      <c r="V977" t="str">
        <f>IF(CleanedTable[[#This Row],[Returned]] = 0,"NO","Yes")</f>
        <v>NO</v>
      </c>
      <c r="W977" t="s">
        <v>1026</v>
      </c>
      <c r="X977" t="s">
        <v>2265</v>
      </c>
      <c r="Y977" s="10">
        <v>33.979999999999997</v>
      </c>
      <c r="Z977" s="3">
        <v>45798</v>
      </c>
      <c r="AA977" s="3">
        <v>45804</v>
      </c>
      <c r="AB977" t="s">
        <v>2925</v>
      </c>
      <c r="AC977">
        <v>6</v>
      </c>
    </row>
    <row r="978" spans="1:29" x14ac:dyDescent="0.3">
      <c r="A978" s="3">
        <v>45777</v>
      </c>
      <c r="B978" s="3" t="str">
        <f>TEXT(CleanedTable[[#This Row],[OrderDate]],"mmm")</f>
        <v>Apr</v>
      </c>
      <c r="C978" s="3" t="str">
        <f>TEXT(CleanedTable[[#This Row],[OrderDate]],"yyyy")</f>
        <v>2025</v>
      </c>
      <c r="D978" s="3" t="str">
        <f>TEXT(CleanedTable[[#This Row],[OrderDate]],"mmm yyyy")</f>
        <v>Apr 2025</v>
      </c>
      <c r="E978" t="s">
        <v>22</v>
      </c>
      <c r="F978" t="s">
        <v>24</v>
      </c>
      <c r="G978" s="12">
        <v>5</v>
      </c>
      <c r="H978" s="8">
        <v>563.70000000000005</v>
      </c>
      <c r="I978" t="s">
        <v>32</v>
      </c>
      <c r="J978" t="s">
        <v>36</v>
      </c>
      <c r="K978" s="10">
        <v>0</v>
      </c>
      <c r="L978" t="s">
        <v>42</v>
      </c>
      <c r="M978">
        <v>2818.5</v>
      </c>
      <c r="N978">
        <v>1691.1000000000001</v>
      </c>
      <c r="O978" s="10">
        <v>1098.1199999999999</v>
      </c>
      <c r="P978" s="10">
        <v>0.38961149547631713</v>
      </c>
      <c r="Q978" s="8">
        <v>2818.5</v>
      </c>
      <c r="R978" t="s">
        <v>43</v>
      </c>
      <c r="S978" t="s">
        <v>49</v>
      </c>
      <c r="T978" t="s">
        <v>2931</v>
      </c>
      <c r="U978">
        <v>0</v>
      </c>
      <c r="V978" t="str">
        <f>IF(CleanedTable[[#This Row],[Returned]] = 0,"NO","Yes")</f>
        <v>NO</v>
      </c>
      <c r="W978" t="s">
        <v>1027</v>
      </c>
      <c r="X978" t="s">
        <v>2472</v>
      </c>
      <c r="Y978" s="10">
        <v>29.28</v>
      </c>
      <c r="Z978" s="3">
        <v>45777</v>
      </c>
      <c r="AA978" s="3">
        <v>45784</v>
      </c>
      <c r="AB978" t="s">
        <v>2925</v>
      </c>
      <c r="AC978">
        <v>7</v>
      </c>
    </row>
    <row r="979" spans="1:29" x14ac:dyDescent="0.3">
      <c r="A979" s="3">
        <v>45018</v>
      </c>
      <c r="B979" s="3" t="str">
        <f>TEXT(CleanedTable[[#This Row],[OrderDate]],"mmm")</f>
        <v>Apr</v>
      </c>
      <c r="C979" s="3" t="str">
        <f>TEXT(CleanedTable[[#This Row],[OrderDate]],"yyyy")</f>
        <v>2023</v>
      </c>
      <c r="D979" s="3" t="str">
        <f>TEXT(CleanedTable[[#This Row],[OrderDate]],"mmm yyyy")</f>
        <v>Apr 2023</v>
      </c>
      <c r="E979" t="s">
        <v>21</v>
      </c>
      <c r="F979" t="s">
        <v>25</v>
      </c>
      <c r="G979" s="12">
        <v>11</v>
      </c>
      <c r="H979" s="8">
        <v>546.57000000000005</v>
      </c>
      <c r="I979" t="s">
        <v>34</v>
      </c>
      <c r="J979" t="s">
        <v>36</v>
      </c>
      <c r="K979" s="10">
        <v>0.15</v>
      </c>
      <c r="L979" t="s">
        <v>42</v>
      </c>
      <c r="M979">
        <v>5110.4295000000002</v>
      </c>
      <c r="N979">
        <v>3607.3620000000001</v>
      </c>
      <c r="O979" s="10">
        <v>1478.2975000000001</v>
      </c>
      <c r="P979" s="10">
        <v>0.28927069632797009</v>
      </c>
      <c r="Q979" s="8">
        <v>5110.4295000000002</v>
      </c>
      <c r="R979" t="s">
        <v>45</v>
      </c>
      <c r="S979" t="s">
        <v>49</v>
      </c>
      <c r="T979" t="s">
        <v>2931</v>
      </c>
      <c r="U979">
        <v>1</v>
      </c>
      <c r="V979" t="str">
        <f>IF(CleanedTable[[#This Row],[Returned]] = 0,"NO","Yes")</f>
        <v>Yes</v>
      </c>
      <c r="W979" t="s">
        <v>1028</v>
      </c>
      <c r="X979" t="s">
        <v>2473</v>
      </c>
      <c r="Y979" s="10">
        <v>24.77</v>
      </c>
      <c r="Z979" s="3">
        <v>45018</v>
      </c>
      <c r="AA979" s="3">
        <v>45020</v>
      </c>
      <c r="AB979" t="s">
        <v>2924</v>
      </c>
      <c r="AC979">
        <v>2</v>
      </c>
    </row>
    <row r="980" spans="1:29" x14ac:dyDescent="0.3">
      <c r="A980" s="3">
        <v>45530</v>
      </c>
      <c r="B980" s="3" t="str">
        <f>TEXT(CleanedTable[[#This Row],[OrderDate]],"mmm")</f>
        <v>Aug</v>
      </c>
      <c r="C980" s="3" t="str">
        <f>TEXT(CleanedTable[[#This Row],[OrderDate]],"yyyy")</f>
        <v>2024</v>
      </c>
      <c r="D980" s="3" t="str">
        <f>TEXT(CleanedTable[[#This Row],[OrderDate]],"mmm yyyy")</f>
        <v>Aug 2024</v>
      </c>
      <c r="E980" t="s">
        <v>21</v>
      </c>
      <c r="F980" t="s">
        <v>28</v>
      </c>
      <c r="G980" s="12">
        <v>9</v>
      </c>
      <c r="H980" s="8">
        <v>364.88</v>
      </c>
      <c r="I980" t="s">
        <v>33</v>
      </c>
      <c r="J980" t="s">
        <v>35</v>
      </c>
      <c r="K980" s="10">
        <v>0.05</v>
      </c>
      <c r="L980" t="s">
        <v>42</v>
      </c>
      <c r="M980">
        <v>3119.7239999999997</v>
      </c>
      <c r="N980">
        <v>1970.3519999999999</v>
      </c>
      <c r="O980" s="10">
        <v>1109.1119999999999</v>
      </c>
      <c r="P980" s="10">
        <v>0.35551606488266269</v>
      </c>
      <c r="Q980" s="8">
        <v>3119.7240000000002</v>
      </c>
      <c r="R980" t="s">
        <v>47</v>
      </c>
      <c r="S980" t="s">
        <v>49</v>
      </c>
      <c r="T980" t="s">
        <v>2931</v>
      </c>
      <c r="U980">
        <v>0</v>
      </c>
      <c r="V980" t="str">
        <f>IF(CleanedTable[[#This Row],[Returned]] = 0,"NO","Yes")</f>
        <v>NO</v>
      </c>
      <c r="W980" t="s">
        <v>1029</v>
      </c>
      <c r="X980" t="s">
        <v>1830</v>
      </c>
      <c r="Y980" s="10">
        <v>40.26</v>
      </c>
      <c r="Z980" s="3">
        <v>45530</v>
      </c>
      <c r="AA980" s="3">
        <v>45540</v>
      </c>
      <c r="AB980" t="s">
        <v>2924</v>
      </c>
      <c r="AC980">
        <v>10</v>
      </c>
    </row>
    <row r="981" spans="1:29" x14ac:dyDescent="0.3">
      <c r="A981" s="3">
        <v>45240</v>
      </c>
      <c r="B981" s="3" t="str">
        <f>TEXT(CleanedTable[[#This Row],[OrderDate]],"mmm")</f>
        <v>Nov</v>
      </c>
      <c r="C981" s="3" t="str">
        <f>TEXT(CleanedTable[[#This Row],[OrderDate]],"yyyy")</f>
        <v>2023</v>
      </c>
      <c r="D981" s="3" t="str">
        <f>TEXT(CleanedTable[[#This Row],[OrderDate]],"mmm yyyy")</f>
        <v>Nov 2023</v>
      </c>
      <c r="E981" t="s">
        <v>20</v>
      </c>
      <c r="F981" t="s">
        <v>28</v>
      </c>
      <c r="G981" s="12">
        <v>7</v>
      </c>
      <c r="H981" s="8">
        <v>368.27</v>
      </c>
      <c r="I981" t="s">
        <v>33</v>
      </c>
      <c r="J981" t="s">
        <v>35</v>
      </c>
      <c r="K981" s="10">
        <v>0.15</v>
      </c>
      <c r="L981" t="s">
        <v>40</v>
      </c>
      <c r="M981">
        <v>2191.2064999999998</v>
      </c>
      <c r="N981">
        <v>1546.7339999999999</v>
      </c>
      <c r="O981" s="10">
        <v>615.49249999999984</v>
      </c>
      <c r="P981" s="10">
        <v>0.28089205649946725</v>
      </c>
      <c r="Q981" s="8">
        <v>2191.2064999999998</v>
      </c>
      <c r="R981" t="s">
        <v>43</v>
      </c>
      <c r="S981" t="s">
        <v>50</v>
      </c>
      <c r="T981" t="s">
        <v>2931</v>
      </c>
      <c r="U981">
        <v>0</v>
      </c>
      <c r="V981" t="str">
        <f>IF(CleanedTable[[#This Row],[Returned]] = 0,"NO","Yes")</f>
        <v>NO</v>
      </c>
      <c r="W981" t="s">
        <v>1030</v>
      </c>
      <c r="X981" t="s">
        <v>2474</v>
      </c>
      <c r="Y981" s="10">
        <v>28.98</v>
      </c>
      <c r="Z981" s="3">
        <v>45240</v>
      </c>
      <c r="AA981" s="3">
        <v>45250</v>
      </c>
      <c r="AB981" t="s">
        <v>2923</v>
      </c>
      <c r="AC981">
        <v>10</v>
      </c>
    </row>
    <row r="982" spans="1:29" x14ac:dyDescent="0.3">
      <c r="A982" s="3">
        <v>45684</v>
      </c>
      <c r="B982" s="3" t="str">
        <f>TEXT(CleanedTable[[#This Row],[OrderDate]],"mmm")</f>
        <v>Jan</v>
      </c>
      <c r="C982" s="3" t="str">
        <f>TEXT(CleanedTable[[#This Row],[OrderDate]],"yyyy")</f>
        <v>2025</v>
      </c>
      <c r="D982" s="3" t="str">
        <f>TEXT(CleanedTable[[#This Row],[OrderDate]],"mmm yyyy")</f>
        <v>Jan 2025</v>
      </c>
      <c r="E982" t="s">
        <v>22</v>
      </c>
      <c r="F982" t="s">
        <v>30</v>
      </c>
      <c r="G982" s="12">
        <v>20</v>
      </c>
      <c r="H982" s="8">
        <v>537.28</v>
      </c>
      <c r="I982" t="s">
        <v>33</v>
      </c>
      <c r="J982" t="s">
        <v>35</v>
      </c>
      <c r="K982" s="10">
        <v>0</v>
      </c>
      <c r="L982" t="s">
        <v>39</v>
      </c>
      <c r="M982">
        <v>10745.599999999999</v>
      </c>
      <c r="N982">
        <v>6447.36</v>
      </c>
      <c r="O982" s="10">
        <v>4282.6399999999985</v>
      </c>
      <c r="P982" s="10">
        <v>0.39854824300178671</v>
      </c>
      <c r="Q982" s="8">
        <v>10745.6</v>
      </c>
      <c r="R982" t="s">
        <v>43</v>
      </c>
      <c r="T982" t="s">
        <v>2932</v>
      </c>
      <c r="U982">
        <v>1</v>
      </c>
      <c r="V982" t="str">
        <f>IF(CleanedTable[[#This Row],[Returned]] = 0,"NO","Yes")</f>
        <v>Yes</v>
      </c>
      <c r="W982" t="s">
        <v>1031</v>
      </c>
      <c r="X982" t="s">
        <v>2475</v>
      </c>
      <c r="Y982" s="10">
        <v>15.6</v>
      </c>
      <c r="Z982" s="3">
        <v>45684</v>
      </c>
      <c r="AA982" s="3">
        <v>45690</v>
      </c>
      <c r="AB982" t="s">
        <v>2925</v>
      </c>
      <c r="AC982">
        <v>6</v>
      </c>
    </row>
    <row r="983" spans="1:29" x14ac:dyDescent="0.3">
      <c r="A983" s="3">
        <v>45408</v>
      </c>
      <c r="B983" s="3" t="str">
        <f>TEXT(CleanedTable[[#This Row],[OrderDate]],"mmm")</f>
        <v>Apr</v>
      </c>
      <c r="C983" s="3" t="str">
        <f>TEXT(CleanedTable[[#This Row],[OrderDate]],"yyyy")</f>
        <v>2024</v>
      </c>
      <c r="D983" s="3" t="str">
        <f>TEXT(CleanedTable[[#This Row],[OrderDate]],"mmm yyyy")</f>
        <v>Apr 2024</v>
      </c>
      <c r="E983" t="s">
        <v>20</v>
      </c>
      <c r="F983" t="s">
        <v>25</v>
      </c>
      <c r="G983" s="12">
        <v>3</v>
      </c>
      <c r="H983" s="8">
        <v>103.09</v>
      </c>
      <c r="I983" t="s">
        <v>34</v>
      </c>
      <c r="J983" t="s">
        <v>35</v>
      </c>
      <c r="K983" s="10">
        <v>0</v>
      </c>
      <c r="L983" t="s">
        <v>40</v>
      </c>
      <c r="M983">
        <v>309.27</v>
      </c>
      <c r="N983">
        <v>185.56200000000001</v>
      </c>
      <c r="O983" s="10">
        <v>77.237999999999971</v>
      </c>
      <c r="P983" s="10">
        <v>0.24974294305946251</v>
      </c>
      <c r="Q983" s="8">
        <v>309.27</v>
      </c>
      <c r="R983" t="s">
        <v>44</v>
      </c>
      <c r="S983" t="s">
        <v>49</v>
      </c>
      <c r="T983" t="s">
        <v>2931</v>
      </c>
      <c r="U983">
        <v>1</v>
      </c>
      <c r="V983" t="str">
        <f>IF(CleanedTable[[#This Row],[Returned]] = 0,"NO","Yes")</f>
        <v>Yes</v>
      </c>
      <c r="W983" t="s">
        <v>1032</v>
      </c>
      <c r="X983" t="s">
        <v>2476</v>
      </c>
      <c r="Y983" s="10">
        <v>46.47</v>
      </c>
      <c r="Z983" s="3">
        <v>45408</v>
      </c>
      <c r="AA983" s="3">
        <v>45412</v>
      </c>
      <c r="AB983" t="s">
        <v>2923</v>
      </c>
      <c r="AC983">
        <v>4</v>
      </c>
    </row>
    <row r="984" spans="1:29" x14ac:dyDescent="0.3">
      <c r="A984" s="3">
        <v>45257</v>
      </c>
      <c r="B984" s="3" t="str">
        <f>TEXT(CleanedTable[[#This Row],[OrderDate]],"mmm")</f>
        <v>Nov</v>
      </c>
      <c r="C984" s="3" t="str">
        <f>TEXT(CleanedTable[[#This Row],[OrderDate]],"yyyy")</f>
        <v>2023</v>
      </c>
      <c r="D984" s="3" t="str">
        <f>TEXT(CleanedTable[[#This Row],[OrderDate]],"mmm yyyy")</f>
        <v>Nov 2023</v>
      </c>
      <c r="E984" t="s">
        <v>19</v>
      </c>
      <c r="F984" t="s">
        <v>29</v>
      </c>
      <c r="G984" s="12">
        <v>9</v>
      </c>
      <c r="H984" s="8">
        <v>97.56</v>
      </c>
      <c r="I984" t="s">
        <v>32</v>
      </c>
      <c r="J984" t="s">
        <v>35</v>
      </c>
      <c r="K984" s="10">
        <v>0</v>
      </c>
      <c r="L984" t="s">
        <v>38</v>
      </c>
      <c r="M984">
        <v>878.04</v>
      </c>
      <c r="N984">
        <v>526.82400000000007</v>
      </c>
      <c r="O984" s="10">
        <v>302.37599999999986</v>
      </c>
      <c r="P984" s="10">
        <v>0.34437611042777078</v>
      </c>
      <c r="Q984" s="8">
        <v>878.04</v>
      </c>
      <c r="R984" t="s">
        <v>43</v>
      </c>
      <c r="T984" t="s">
        <v>2932</v>
      </c>
      <c r="U984">
        <v>0</v>
      </c>
      <c r="V984" t="str">
        <f>IF(CleanedTable[[#This Row],[Returned]] = 0,"NO","Yes")</f>
        <v>NO</v>
      </c>
      <c r="W984" t="s">
        <v>1033</v>
      </c>
      <c r="X984" t="s">
        <v>2477</v>
      </c>
      <c r="Y984" s="10">
        <v>48.84</v>
      </c>
      <c r="Z984" s="3">
        <v>45257</v>
      </c>
      <c r="AA984" s="3">
        <v>45261</v>
      </c>
      <c r="AB984" t="s">
        <v>2922</v>
      </c>
      <c r="AC984">
        <v>4</v>
      </c>
    </row>
    <row r="985" spans="1:29" x14ac:dyDescent="0.3">
      <c r="A985" s="3">
        <v>45015</v>
      </c>
      <c r="B985" s="3" t="str">
        <f>TEXT(CleanedTable[[#This Row],[OrderDate]],"mmm")</f>
        <v>Mar</v>
      </c>
      <c r="C985" s="3" t="str">
        <f>TEXT(CleanedTable[[#This Row],[OrderDate]],"yyyy")</f>
        <v>2023</v>
      </c>
      <c r="D985" s="3" t="str">
        <f>TEXT(CleanedTable[[#This Row],[OrderDate]],"mmm yyyy")</f>
        <v>Mar 2023</v>
      </c>
      <c r="E985" t="s">
        <v>22</v>
      </c>
      <c r="F985" t="s">
        <v>29</v>
      </c>
      <c r="G985" s="12">
        <v>10</v>
      </c>
      <c r="H985" s="8">
        <v>338.75</v>
      </c>
      <c r="I985" t="s">
        <v>32</v>
      </c>
      <c r="J985" t="s">
        <v>35</v>
      </c>
      <c r="K985" s="10">
        <v>0.15</v>
      </c>
      <c r="L985" t="s">
        <v>40</v>
      </c>
      <c r="M985">
        <v>2879.375</v>
      </c>
      <c r="N985">
        <v>2032.5</v>
      </c>
      <c r="O985" s="10">
        <v>810.31500000000005</v>
      </c>
      <c r="P985" s="10">
        <v>0.28142044714564796</v>
      </c>
      <c r="Q985" s="8">
        <v>2879.375</v>
      </c>
      <c r="R985" t="s">
        <v>47</v>
      </c>
      <c r="S985" t="s">
        <v>50</v>
      </c>
      <c r="T985" t="s">
        <v>2931</v>
      </c>
      <c r="U985">
        <v>1</v>
      </c>
      <c r="V985" t="str">
        <f>IF(CleanedTable[[#This Row],[Returned]] = 0,"NO","Yes")</f>
        <v>Yes</v>
      </c>
      <c r="W985" t="s">
        <v>1034</v>
      </c>
      <c r="X985" t="s">
        <v>2478</v>
      </c>
      <c r="Y985" s="10">
        <v>36.56</v>
      </c>
      <c r="Z985" s="3">
        <v>45015</v>
      </c>
      <c r="AA985" s="3">
        <v>45022</v>
      </c>
      <c r="AB985" t="s">
        <v>2925</v>
      </c>
      <c r="AC985">
        <v>7</v>
      </c>
    </row>
    <row r="986" spans="1:29" x14ac:dyDescent="0.3">
      <c r="A986" s="3">
        <v>45355</v>
      </c>
      <c r="B986" s="3" t="str">
        <f>TEXT(CleanedTable[[#This Row],[OrderDate]],"mmm")</f>
        <v>Mar</v>
      </c>
      <c r="C986" s="3" t="str">
        <f>TEXT(CleanedTable[[#This Row],[OrderDate]],"yyyy")</f>
        <v>2024</v>
      </c>
      <c r="D986" s="3" t="str">
        <f>TEXT(CleanedTable[[#This Row],[OrderDate]],"mmm yyyy")</f>
        <v>Mar 2024</v>
      </c>
      <c r="E986" t="s">
        <v>21</v>
      </c>
      <c r="F986" t="s">
        <v>26</v>
      </c>
      <c r="G986" s="12">
        <v>2</v>
      </c>
      <c r="H986" s="8">
        <v>239.04</v>
      </c>
      <c r="I986" t="s">
        <v>32</v>
      </c>
      <c r="J986" t="s">
        <v>35</v>
      </c>
      <c r="K986" s="10">
        <v>0</v>
      </c>
      <c r="L986" t="s">
        <v>42</v>
      </c>
      <c r="M986">
        <v>478.08</v>
      </c>
      <c r="N986">
        <v>286.84799999999996</v>
      </c>
      <c r="O986" s="10">
        <v>147.39200000000002</v>
      </c>
      <c r="P986" s="10">
        <v>0.30829986613119148</v>
      </c>
      <c r="Q986" s="8">
        <v>478.08</v>
      </c>
      <c r="R986" t="s">
        <v>46</v>
      </c>
      <c r="S986" t="s">
        <v>49</v>
      </c>
      <c r="T986" t="s">
        <v>2931</v>
      </c>
      <c r="U986">
        <v>1</v>
      </c>
      <c r="V986" t="str">
        <f>IF(CleanedTable[[#This Row],[Returned]] = 0,"NO","Yes")</f>
        <v>Yes</v>
      </c>
      <c r="W986" t="s">
        <v>1035</v>
      </c>
      <c r="X986" t="s">
        <v>2479</v>
      </c>
      <c r="Y986" s="10">
        <v>43.84</v>
      </c>
      <c r="Z986" s="3">
        <v>45355</v>
      </c>
      <c r="AA986" s="3">
        <v>45362</v>
      </c>
      <c r="AB986" t="s">
        <v>2924</v>
      </c>
      <c r="AC986">
        <v>7</v>
      </c>
    </row>
    <row r="987" spans="1:29" x14ac:dyDescent="0.3">
      <c r="A987" s="3">
        <v>45118</v>
      </c>
      <c r="B987" s="3" t="str">
        <f>TEXT(CleanedTable[[#This Row],[OrderDate]],"mmm")</f>
        <v>Jul</v>
      </c>
      <c r="C987" s="3" t="str">
        <f>TEXT(CleanedTable[[#This Row],[OrderDate]],"yyyy")</f>
        <v>2023</v>
      </c>
      <c r="D987" s="3" t="str">
        <f>TEXT(CleanedTable[[#This Row],[OrderDate]],"mmm yyyy")</f>
        <v>Jul 2023</v>
      </c>
      <c r="E987" t="s">
        <v>20</v>
      </c>
      <c r="F987" t="s">
        <v>24</v>
      </c>
      <c r="G987" s="12">
        <v>14</v>
      </c>
      <c r="H987" s="8">
        <v>362.44</v>
      </c>
      <c r="I987" t="s">
        <v>33</v>
      </c>
      <c r="J987" t="s">
        <v>35</v>
      </c>
      <c r="K987" s="10">
        <v>0.1</v>
      </c>
      <c r="L987" t="s">
        <v>42</v>
      </c>
      <c r="M987">
        <v>4566.7439999999997</v>
      </c>
      <c r="N987">
        <v>3044.4960000000001</v>
      </c>
      <c r="O987" s="10">
        <v>1485.5179999999996</v>
      </c>
      <c r="P987" s="10">
        <v>0.32529040384133634</v>
      </c>
      <c r="Q987" s="8">
        <v>4566.7439999999997</v>
      </c>
      <c r="R987" t="s">
        <v>47</v>
      </c>
      <c r="S987" t="s">
        <v>50</v>
      </c>
      <c r="T987" t="s">
        <v>2931</v>
      </c>
      <c r="U987">
        <v>0</v>
      </c>
      <c r="V987" t="str">
        <f>IF(CleanedTable[[#This Row],[Returned]] = 0,"NO","Yes")</f>
        <v>NO</v>
      </c>
      <c r="W987" t="s">
        <v>1036</v>
      </c>
      <c r="X987" t="s">
        <v>2480</v>
      </c>
      <c r="Y987" s="10">
        <v>36.729999999999997</v>
      </c>
      <c r="Z987" s="3">
        <v>45118</v>
      </c>
      <c r="AA987" s="3">
        <v>45122</v>
      </c>
      <c r="AB987" t="s">
        <v>2923</v>
      </c>
      <c r="AC987">
        <v>4</v>
      </c>
    </row>
    <row r="988" spans="1:29" x14ac:dyDescent="0.3">
      <c r="A988" s="3">
        <v>45555</v>
      </c>
      <c r="B988" s="3" t="str">
        <f>TEXT(CleanedTable[[#This Row],[OrderDate]],"mmm")</f>
        <v>Sep</v>
      </c>
      <c r="C988" s="3" t="str">
        <f>TEXT(CleanedTable[[#This Row],[OrderDate]],"yyyy")</f>
        <v>2024</v>
      </c>
      <c r="D988" s="3" t="str">
        <f>TEXT(CleanedTable[[#This Row],[OrderDate]],"mmm yyyy")</f>
        <v>Sep 2024</v>
      </c>
      <c r="E988" t="s">
        <v>23</v>
      </c>
      <c r="F988" t="s">
        <v>28</v>
      </c>
      <c r="G988" s="12">
        <v>6</v>
      </c>
      <c r="H988" s="8">
        <v>551.13</v>
      </c>
      <c r="I988" t="s">
        <v>34</v>
      </c>
      <c r="J988" t="s">
        <v>36</v>
      </c>
      <c r="K988" s="10">
        <v>0</v>
      </c>
      <c r="L988" t="s">
        <v>40</v>
      </c>
      <c r="M988">
        <v>3306.7799999999997</v>
      </c>
      <c r="N988">
        <v>1984.068</v>
      </c>
      <c r="O988" s="10">
        <v>1308.0419999999997</v>
      </c>
      <c r="P988" s="10">
        <v>0.39556366011648786</v>
      </c>
      <c r="Q988" s="8">
        <v>3306.78</v>
      </c>
      <c r="R988" t="s">
        <v>44</v>
      </c>
      <c r="S988" t="s">
        <v>48</v>
      </c>
      <c r="T988" t="s">
        <v>2931</v>
      </c>
      <c r="U988">
        <v>0</v>
      </c>
      <c r="V988" t="str">
        <f>IF(CleanedTable[[#This Row],[Returned]] = 0,"NO","Yes")</f>
        <v>NO</v>
      </c>
      <c r="W988" t="s">
        <v>1037</v>
      </c>
      <c r="X988" t="s">
        <v>2481</v>
      </c>
      <c r="Y988" s="10">
        <v>14.67</v>
      </c>
      <c r="Z988" s="3">
        <v>45555</v>
      </c>
      <c r="AA988" s="3">
        <v>45564</v>
      </c>
      <c r="AB988" t="s">
        <v>2926</v>
      </c>
      <c r="AC988">
        <v>9</v>
      </c>
    </row>
    <row r="989" spans="1:29" x14ac:dyDescent="0.3">
      <c r="A989" s="3">
        <v>45706</v>
      </c>
      <c r="B989" s="3" t="str">
        <f>TEXT(CleanedTable[[#This Row],[OrderDate]],"mmm")</f>
        <v>Feb</v>
      </c>
      <c r="C989" s="3" t="str">
        <f>TEXT(CleanedTable[[#This Row],[OrderDate]],"yyyy")</f>
        <v>2025</v>
      </c>
      <c r="D989" s="3" t="str">
        <f>TEXT(CleanedTable[[#This Row],[OrderDate]],"mmm yyyy")</f>
        <v>Feb 2025</v>
      </c>
      <c r="E989" t="s">
        <v>23</v>
      </c>
      <c r="F989" t="s">
        <v>24</v>
      </c>
      <c r="G989" s="12">
        <v>1</v>
      </c>
      <c r="H989" s="8">
        <v>82.06</v>
      </c>
      <c r="I989" t="s">
        <v>34</v>
      </c>
      <c r="J989" t="s">
        <v>36</v>
      </c>
      <c r="K989" s="10">
        <v>0.1</v>
      </c>
      <c r="L989" t="s">
        <v>37</v>
      </c>
      <c r="M989">
        <v>73.853999999999999</v>
      </c>
      <c r="N989">
        <v>49.235999999999997</v>
      </c>
      <c r="O989" s="10">
        <v>13.508000000000003</v>
      </c>
      <c r="P989" s="10">
        <v>0.18290140005957703</v>
      </c>
      <c r="Q989" s="8">
        <v>73.853999999999999</v>
      </c>
      <c r="R989" t="s">
        <v>45</v>
      </c>
      <c r="S989" t="s">
        <v>48</v>
      </c>
      <c r="T989" t="s">
        <v>2931</v>
      </c>
      <c r="U989">
        <v>0</v>
      </c>
      <c r="V989" t="str">
        <f>IF(CleanedTable[[#This Row],[Returned]] = 0,"NO","Yes")</f>
        <v>NO</v>
      </c>
      <c r="W989" t="s">
        <v>1038</v>
      </c>
      <c r="X989" t="s">
        <v>2482</v>
      </c>
      <c r="Y989" s="10">
        <v>11.11</v>
      </c>
      <c r="Z989" s="3">
        <v>45706</v>
      </c>
      <c r="AA989" s="3">
        <v>45712</v>
      </c>
      <c r="AB989" t="s">
        <v>2926</v>
      </c>
      <c r="AC989">
        <v>6</v>
      </c>
    </row>
    <row r="990" spans="1:29" x14ac:dyDescent="0.3">
      <c r="A990" s="3">
        <v>45489</v>
      </c>
      <c r="B990" s="3" t="str">
        <f>TEXT(CleanedTable[[#This Row],[OrderDate]],"mmm")</f>
        <v>Jul</v>
      </c>
      <c r="C990" s="3" t="str">
        <f>TEXT(CleanedTable[[#This Row],[OrderDate]],"yyyy")</f>
        <v>2024</v>
      </c>
      <c r="D990" s="3" t="str">
        <f>TEXT(CleanedTable[[#This Row],[OrderDate]],"mmm yyyy")</f>
        <v>Jul 2024</v>
      </c>
      <c r="E990" t="s">
        <v>19</v>
      </c>
      <c r="F990" t="s">
        <v>29</v>
      </c>
      <c r="G990" s="12">
        <v>7</v>
      </c>
      <c r="H990" s="8">
        <v>498.46</v>
      </c>
      <c r="I990" t="s">
        <v>33</v>
      </c>
      <c r="J990" t="s">
        <v>35</v>
      </c>
      <c r="K990" s="10">
        <v>0.15</v>
      </c>
      <c r="L990" t="s">
        <v>40</v>
      </c>
      <c r="M990">
        <v>2965.8369999999995</v>
      </c>
      <c r="N990">
        <v>2093.5319999999997</v>
      </c>
      <c r="O990" s="10">
        <v>829.58499999999981</v>
      </c>
      <c r="P990" s="10">
        <v>0.2797136187861976</v>
      </c>
      <c r="Q990" s="8">
        <v>2965.837</v>
      </c>
      <c r="R990" t="s">
        <v>44</v>
      </c>
      <c r="T990" t="s">
        <v>2932</v>
      </c>
      <c r="U990">
        <v>0</v>
      </c>
      <c r="V990" t="str">
        <f>IF(CleanedTable[[#This Row],[Returned]] = 0,"NO","Yes")</f>
        <v>NO</v>
      </c>
      <c r="W990" t="s">
        <v>1039</v>
      </c>
      <c r="X990" t="s">
        <v>2483</v>
      </c>
      <c r="Y990" s="10">
        <v>42.72</v>
      </c>
      <c r="Z990" s="3">
        <v>45489</v>
      </c>
      <c r="AA990" s="3">
        <v>45493</v>
      </c>
      <c r="AB990" t="s">
        <v>2922</v>
      </c>
      <c r="AC990">
        <v>4</v>
      </c>
    </row>
    <row r="991" spans="1:29" x14ac:dyDescent="0.3">
      <c r="A991" s="3">
        <v>45253</v>
      </c>
      <c r="B991" s="3" t="str">
        <f>TEXT(CleanedTable[[#This Row],[OrderDate]],"mmm")</f>
        <v>Nov</v>
      </c>
      <c r="C991" s="3" t="str">
        <f>TEXT(CleanedTable[[#This Row],[OrderDate]],"yyyy")</f>
        <v>2023</v>
      </c>
      <c r="D991" s="3" t="str">
        <f>TEXT(CleanedTable[[#This Row],[OrderDate]],"mmm yyyy")</f>
        <v>Nov 2023</v>
      </c>
      <c r="E991" t="s">
        <v>19</v>
      </c>
      <c r="F991" t="s">
        <v>27</v>
      </c>
      <c r="G991" s="12">
        <v>2</v>
      </c>
      <c r="H991" s="8">
        <v>253.41</v>
      </c>
      <c r="I991" t="s">
        <v>34</v>
      </c>
      <c r="J991" t="s">
        <v>36</v>
      </c>
      <c r="K991" s="10">
        <v>0.1</v>
      </c>
      <c r="L991" t="s">
        <v>39</v>
      </c>
      <c r="M991">
        <v>456.13799999999998</v>
      </c>
      <c r="N991">
        <v>304.09199999999998</v>
      </c>
      <c r="O991" s="10">
        <v>102.40599999999999</v>
      </c>
      <c r="P991" s="10">
        <v>0.22450661861103438</v>
      </c>
      <c r="Q991" s="8">
        <v>456.13799999999998</v>
      </c>
      <c r="R991" t="s">
        <v>47</v>
      </c>
      <c r="S991" t="s">
        <v>48</v>
      </c>
      <c r="T991" t="s">
        <v>2931</v>
      </c>
      <c r="U991">
        <v>0</v>
      </c>
      <c r="V991" t="str">
        <f>IF(CleanedTable[[#This Row],[Returned]] = 0,"NO","Yes")</f>
        <v>NO</v>
      </c>
      <c r="W991" t="s">
        <v>1040</v>
      </c>
      <c r="X991" t="s">
        <v>2484</v>
      </c>
      <c r="Y991" s="10">
        <v>49.64</v>
      </c>
      <c r="Z991" s="3">
        <v>45253</v>
      </c>
      <c r="AA991" s="3">
        <v>45255</v>
      </c>
      <c r="AB991" t="s">
        <v>2922</v>
      </c>
      <c r="AC991">
        <v>2</v>
      </c>
    </row>
    <row r="992" spans="1:29" x14ac:dyDescent="0.3">
      <c r="A992" s="3">
        <v>45176</v>
      </c>
      <c r="B992" s="3" t="str">
        <f>TEXT(CleanedTable[[#This Row],[OrderDate]],"mmm")</f>
        <v>Sep</v>
      </c>
      <c r="C992" s="3" t="str">
        <f>TEXT(CleanedTable[[#This Row],[OrderDate]],"yyyy")</f>
        <v>2023</v>
      </c>
      <c r="D992" s="3" t="str">
        <f>TEXT(CleanedTable[[#This Row],[OrderDate]],"mmm yyyy")</f>
        <v>Sep 2023</v>
      </c>
      <c r="E992" t="s">
        <v>20</v>
      </c>
      <c r="F992" t="s">
        <v>25</v>
      </c>
      <c r="G992" s="12">
        <v>16</v>
      </c>
      <c r="H992" s="8">
        <v>144.07</v>
      </c>
      <c r="I992" t="s">
        <v>34</v>
      </c>
      <c r="J992" t="s">
        <v>35</v>
      </c>
      <c r="K992" s="10">
        <v>0.1</v>
      </c>
      <c r="L992" t="s">
        <v>37</v>
      </c>
      <c r="M992">
        <v>2074.6080000000002</v>
      </c>
      <c r="N992">
        <v>1383.0719999999999</v>
      </c>
      <c r="O992" s="10">
        <v>684.20600000000024</v>
      </c>
      <c r="P992" s="10">
        <v>0.3298001357364862</v>
      </c>
      <c r="Q992" s="8">
        <v>2074.6080000000002</v>
      </c>
      <c r="R992" t="s">
        <v>46</v>
      </c>
      <c r="S992" t="s">
        <v>48</v>
      </c>
      <c r="T992" t="s">
        <v>2931</v>
      </c>
      <c r="U992">
        <v>0</v>
      </c>
      <c r="V992" t="str">
        <f>IF(CleanedTable[[#This Row],[Returned]] = 0,"NO","Yes")</f>
        <v>NO</v>
      </c>
      <c r="W992" t="s">
        <v>1041</v>
      </c>
      <c r="X992" t="s">
        <v>2485</v>
      </c>
      <c r="Y992" s="10">
        <v>7.33</v>
      </c>
      <c r="Z992" s="3">
        <v>45176</v>
      </c>
      <c r="AA992" s="3">
        <v>45178</v>
      </c>
      <c r="AB992" t="s">
        <v>2923</v>
      </c>
      <c r="AC992">
        <v>2</v>
      </c>
    </row>
    <row r="993" spans="1:29" x14ac:dyDescent="0.3">
      <c r="A993" s="3">
        <v>45323</v>
      </c>
      <c r="B993" s="3" t="str">
        <f>TEXT(CleanedTable[[#This Row],[OrderDate]],"mmm")</f>
        <v>Feb</v>
      </c>
      <c r="C993" s="3" t="str">
        <f>TEXT(CleanedTable[[#This Row],[OrderDate]],"yyyy")</f>
        <v>2024</v>
      </c>
      <c r="D993" s="3" t="str">
        <f>TEXT(CleanedTable[[#This Row],[OrderDate]],"mmm yyyy")</f>
        <v>Feb 2024</v>
      </c>
      <c r="E993" t="s">
        <v>23</v>
      </c>
      <c r="F993" t="s">
        <v>28</v>
      </c>
      <c r="G993" s="12">
        <v>11</v>
      </c>
      <c r="H993" s="8">
        <v>201.09</v>
      </c>
      <c r="I993" t="s">
        <v>33</v>
      </c>
      <c r="J993" t="s">
        <v>36</v>
      </c>
      <c r="K993" s="10">
        <v>0.15</v>
      </c>
      <c r="L993" t="s">
        <v>40</v>
      </c>
      <c r="M993">
        <v>1880.1915000000001</v>
      </c>
      <c r="N993">
        <v>1327.194</v>
      </c>
      <c r="O993" s="10">
        <v>504.57750000000016</v>
      </c>
      <c r="P993" s="10">
        <v>0.26836495112332981</v>
      </c>
      <c r="Q993" s="8">
        <v>1880.1914999999999</v>
      </c>
      <c r="R993" t="s">
        <v>47</v>
      </c>
      <c r="T993" t="s">
        <v>2932</v>
      </c>
      <c r="U993">
        <v>1</v>
      </c>
      <c r="V993" t="str">
        <f>IF(CleanedTable[[#This Row],[Returned]] = 0,"NO","Yes")</f>
        <v>Yes</v>
      </c>
      <c r="W993" t="s">
        <v>1042</v>
      </c>
      <c r="X993" t="s">
        <v>2486</v>
      </c>
      <c r="Y993" s="10">
        <v>48.42</v>
      </c>
      <c r="Z993" s="3">
        <v>45323</v>
      </c>
      <c r="AA993" s="3">
        <v>45326</v>
      </c>
      <c r="AB993" t="s">
        <v>2926</v>
      </c>
      <c r="AC993">
        <v>3</v>
      </c>
    </row>
    <row r="994" spans="1:29" x14ac:dyDescent="0.3">
      <c r="A994" s="3">
        <v>45785</v>
      </c>
      <c r="B994" s="3" t="str">
        <f>TEXT(CleanedTable[[#This Row],[OrderDate]],"mmm")</f>
        <v>May</v>
      </c>
      <c r="C994" s="3" t="str">
        <f>TEXT(CleanedTable[[#This Row],[OrderDate]],"yyyy")</f>
        <v>2025</v>
      </c>
      <c r="D994" s="3" t="str">
        <f>TEXT(CleanedTable[[#This Row],[OrderDate]],"mmm yyyy")</f>
        <v>May 2025</v>
      </c>
      <c r="E994" t="s">
        <v>20</v>
      </c>
      <c r="F994" t="s">
        <v>27</v>
      </c>
      <c r="G994" s="12">
        <v>11</v>
      </c>
      <c r="H994" s="8">
        <v>585.45000000000005</v>
      </c>
      <c r="I994" t="s">
        <v>34</v>
      </c>
      <c r="J994" t="s">
        <v>35</v>
      </c>
      <c r="K994" s="10">
        <v>0.1</v>
      </c>
      <c r="L994" t="s">
        <v>38</v>
      </c>
      <c r="M994">
        <v>5795.9550000000008</v>
      </c>
      <c r="N994">
        <v>3863.9700000000003</v>
      </c>
      <c r="O994" s="10">
        <v>1895.3950000000007</v>
      </c>
      <c r="P994" s="10">
        <v>0.32702030985402758</v>
      </c>
      <c r="Q994" s="8">
        <v>5795.9550000000008</v>
      </c>
      <c r="R994" t="s">
        <v>45</v>
      </c>
      <c r="S994" t="s">
        <v>50</v>
      </c>
      <c r="T994" t="s">
        <v>2931</v>
      </c>
      <c r="U994">
        <v>0</v>
      </c>
      <c r="V994" t="str">
        <f>IF(CleanedTable[[#This Row],[Returned]] = 0,"NO","Yes")</f>
        <v>NO</v>
      </c>
      <c r="W994" t="s">
        <v>1043</v>
      </c>
      <c r="X994" t="s">
        <v>2487</v>
      </c>
      <c r="Y994" s="10">
        <v>36.590000000000003</v>
      </c>
      <c r="Z994" s="3">
        <v>45785</v>
      </c>
      <c r="AA994" s="3">
        <v>45789</v>
      </c>
      <c r="AB994" t="s">
        <v>2923</v>
      </c>
      <c r="AC994">
        <v>4</v>
      </c>
    </row>
    <row r="995" spans="1:29" x14ac:dyDescent="0.3">
      <c r="A995" s="3">
        <v>45674</v>
      </c>
      <c r="B995" s="3" t="str">
        <f>TEXT(CleanedTable[[#This Row],[OrderDate]],"mmm")</f>
        <v>Jan</v>
      </c>
      <c r="C995" s="3" t="str">
        <f>TEXT(CleanedTable[[#This Row],[OrderDate]],"yyyy")</f>
        <v>2025</v>
      </c>
      <c r="D995" s="3" t="str">
        <f>TEXT(CleanedTable[[#This Row],[OrderDate]],"mmm yyyy")</f>
        <v>Jan 2025</v>
      </c>
      <c r="E995" t="s">
        <v>21</v>
      </c>
      <c r="F995" t="s">
        <v>24</v>
      </c>
      <c r="G995" s="12">
        <v>3</v>
      </c>
      <c r="H995" s="8">
        <v>448.77</v>
      </c>
      <c r="I995" t="s">
        <v>32</v>
      </c>
      <c r="J995" t="s">
        <v>36</v>
      </c>
      <c r="K995" s="10">
        <v>0</v>
      </c>
      <c r="L995" t="s">
        <v>38</v>
      </c>
      <c r="M995">
        <v>1346.31</v>
      </c>
      <c r="N995">
        <v>807.78600000000006</v>
      </c>
      <c r="O995" s="10">
        <v>510.02399999999989</v>
      </c>
      <c r="P995" s="10">
        <v>0.37883102702943594</v>
      </c>
      <c r="Q995" s="8">
        <v>1346.31</v>
      </c>
      <c r="R995" t="s">
        <v>43</v>
      </c>
      <c r="S995" t="s">
        <v>48</v>
      </c>
      <c r="T995" t="s">
        <v>2931</v>
      </c>
      <c r="U995">
        <v>0</v>
      </c>
      <c r="V995" t="str">
        <f>IF(CleanedTable[[#This Row],[Returned]] = 0,"NO","Yes")</f>
        <v>NO</v>
      </c>
      <c r="W995" t="s">
        <v>1044</v>
      </c>
      <c r="X995" t="s">
        <v>2133</v>
      </c>
      <c r="Y995" s="10">
        <v>28.5</v>
      </c>
      <c r="Z995" s="3">
        <v>45674</v>
      </c>
      <c r="AA995" s="3">
        <v>45681</v>
      </c>
      <c r="AB995" t="s">
        <v>2924</v>
      </c>
      <c r="AC995">
        <v>7</v>
      </c>
    </row>
    <row r="996" spans="1:29" x14ac:dyDescent="0.3">
      <c r="A996" s="3">
        <v>45171</v>
      </c>
      <c r="B996" s="3" t="str">
        <f>TEXT(CleanedTable[[#This Row],[OrderDate]],"mmm")</f>
        <v>Sep</v>
      </c>
      <c r="C996" s="3" t="str">
        <f>TEXT(CleanedTable[[#This Row],[OrderDate]],"yyyy")</f>
        <v>2023</v>
      </c>
      <c r="D996" s="3" t="str">
        <f>TEXT(CleanedTable[[#This Row],[OrderDate]],"mmm yyyy")</f>
        <v>Sep 2023</v>
      </c>
      <c r="E996" t="s">
        <v>19</v>
      </c>
      <c r="F996" t="s">
        <v>28</v>
      </c>
      <c r="G996" s="12">
        <v>9</v>
      </c>
      <c r="H996" s="8">
        <v>184.43</v>
      </c>
      <c r="I996" t="s">
        <v>34</v>
      </c>
      <c r="J996" t="s">
        <v>35</v>
      </c>
      <c r="K996" s="10">
        <v>0</v>
      </c>
      <c r="L996" t="s">
        <v>40</v>
      </c>
      <c r="M996">
        <v>1659.8700000000001</v>
      </c>
      <c r="N996">
        <v>995.92200000000003</v>
      </c>
      <c r="O996" s="10">
        <v>633.16800000000012</v>
      </c>
      <c r="P996" s="10">
        <v>0.38145637911402702</v>
      </c>
      <c r="Q996" s="8">
        <v>1659.87</v>
      </c>
      <c r="R996" t="s">
        <v>43</v>
      </c>
      <c r="S996" t="s">
        <v>50</v>
      </c>
      <c r="T996" t="s">
        <v>2931</v>
      </c>
      <c r="U996">
        <v>0</v>
      </c>
      <c r="V996" t="str">
        <f>IF(CleanedTable[[#This Row],[Returned]] = 0,"NO","Yes")</f>
        <v>NO</v>
      </c>
      <c r="W996" t="s">
        <v>1045</v>
      </c>
      <c r="X996" t="s">
        <v>2488</v>
      </c>
      <c r="Y996" s="10">
        <v>30.78</v>
      </c>
      <c r="Z996" s="3">
        <v>45171</v>
      </c>
      <c r="AA996" s="3">
        <v>45177</v>
      </c>
      <c r="AB996" t="s">
        <v>2922</v>
      </c>
      <c r="AC996">
        <v>6</v>
      </c>
    </row>
    <row r="997" spans="1:29" x14ac:dyDescent="0.3">
      <c r="A997" s="3">
        <v>45100</v>
      </c>
      <c r="B997" s="3" t="str">
        <f>TEXT(CleanedTable[[#This Row],[OrderDate]],"mmm")</f>
        <v>Jun</v>
      </c>
      <c r="C997" s="3" t="str">
        <f>TEXT(CleanedTable[[#This Row],[OrderDate]],"yyyy")</f>
        <v>2023</v>
      </c>
      <c r="D997" s="3" t="str">
        <f>TEXT(CleanedTable[[#This Row],[OrderDate]],"mmm yyyy")</f>
        <v>Jun 2023</v>
      </c>
      <c r="E997" t="s">
        <v>22</v>
      </c>
      <c r="F997" t="s">
        <v>24</v>
      </c>
      <c r="G997" s="12">
        <v>16</v>
      </c>
      <c r="H997" s="8">
        <v>594.1</v>
      </c>
      <c r="I997" t="s">
        <v>34</v>
      </c>
      <c r="J997" t="s">
        <v>36</v>
      </c>
      <c r="K997" s="10">
        <v>0</v>
      </c>
      <c r="L997" t="s">
        <v>42</v>
      </c>
      <c r="M997">
        <v>9505.6</v>
      </c>
      <c r="N997">
        <v>5703.36</v>
      </c>
      <c r="O997" s="10">
        <v>3784.0400000000009</v>
      </c>
      <c r="P997" s="10">
        <v>0.3980853391684902</v>
      </c>
      <c r="Q997" s="8">
        <v>9505.6</v>
      </c>
      <c r="R997" t="s">
        <v>44</v>
      </c>
      <c r="S997" t="s">
        <v>48</v>
      </c>
      <c r="T997" t="s">
        <v>2931</v>
      </c>
      <c r="U997">
        <v>0</v>
      </c>
      <c r="V997" t="str">
        <f>IF(CleanedTable[[#This Row],[Returned]] = 0,"NO","Yes")</f>
        <v>NO</v>
      </c>
      <c r="W997" t="s">
        <v>1046</v>
      </c>
      <c r="X997" t="s">
        <v>2489</v>
      </c>
      <c r="Y997" s="10">
        <v>18.2</v>
      </c>
      <c r="Z997" s="3">
        <v>45100</v>
      </c>
      <c r="AA997" s="3">
        <v>45108</v>
      </c>
      <c r="AB997" t="s">
        <v>2925</v>
      </c>
      <c r="AC997">
        <v>8</v>
      </c>
    </row>
    <row r="998" spans="1:29" x14ac:dyDescent="0.3">
      <c r="A998" s="3">
        <v>45311</v>
      </c>
      <c r="B998" s="3" t="str">
        <f>TEXT(CleanedTable[[#This Row],[OrderDate]],"mmm")</f>
        <v>Jan</v>
      </c>
      <c r="C998" s="3" t="str">
        <f>TEXT(CleanedTable[[#This Row],[OrderDate]],"yyyy")</f>
        <v>2024</v>
      </c>
      <c r="D998" s="3" t="str">
        <f>TEXT(CleanedTable[[#This Row],[OrderDate]],"mmm yyyy")</f>
        <v>Jan 2024</v>
      </c>
      <c r="E998" t="s">
        <v>19</v>
      </c>
      <c r="F998" t="s">
        <v>24</v>
      </c>
      <c r="G998" s="12">
        <v>19</v>
      </c>
      <c r="H998" s="8">
        <v>482.07</v>
      </c>
      <c r="I998" t="s">
        <v>31</v>
      </c>
      <c r="J998" t="s">
        <v>35</v>
      </c>
      <c r="K998" s="10">
        <v>0.1</v>
      </c>
      <c r="L998" t="s">
        <v>42</v>
      </c>
      <c r="M998">
        <v>8243.3970000000008</v>
      </c>
      <c r="N998">
        <v>5495.597999999999</v>
      </c>
      <c r="O998" s="10">
        <v>2721.8390000000018</v>
      </c>
      <c r="P998" s="10">
        <v>0.33018414617177866</v>
      </c>
      <c r="Q998" s="8">
        <v>8243.3970000000008</v>
      </c>
      <c r="R998" t="s">
        <v>45</v>
      </c>
      <c r="T998" t="s">
        <v>2932</v>
      </c>
      <c r="U998">
        <v>0</v>
      </c>
      <c r="V998" t="str">
        <f>IF(CleanedTable[[#This Row],[Returned]] = 0,"NO","Yes")</f>
        <v>NO</v>
      </c>
      <c r="W998" t="s">
        <v>1047</v>
      </c>
      <c r="X998" t="s">
        <v>2490</v>
      </c>
      <c r="Y998" s="10">
        <v>25.96</v>
      </c>
      <c r="Z998" s="3">
        <v>45311</v>
      </c>
      <c r="AA998" s="3">
        <v>45317</v>
      </c>
      <c r="AB998" t="s">
        <v>2922</v>
      </c>
      <c r="AC998">
        <v>6</v>
      </c>
    </row>
    <row r="999" spans="1:29" x14ac:dyDescent="0.3">
      <c r="A999" s="3">
        <v>45469</v>
      </c>
      <c r="B999" s="3" t="str">
        <f>TEXT(CleanedTable[[#This Row],[OrderDate]],"mmm")</f>
        <v>Jun</v>
      </c>
      <c r="C999" s="3" t="str">
        <f>TEXT(CleanedTable[[#This Row],[OrderDate]],"yyyy")</f>
        <v>2024</v>
      </c>
      <c r="D999" s="3" t="str">
        <f>TEXT(CleanedTable[[#This Row],[OrderDate]],"mmm yyyy")</f>
        <v>Jun 2024</v>
      </c>
      <c r="E999" t="s">
        <v>19</v>
      </c>
      <c r="F999" t="s">
        <v>27</v>
      </c>
      <c r="G999" s="12">
        <v>20</v>
      </c>
      <c r="H999" s="8">
        <v>75.45</v>
      </c>
      <c r="I999" t="s">
        <v>31</v>
      </c>
      <c r="J999" t="s">
        <v>35</v>
      </c>
      <c r="K999" s="10">
        <v>0.05</v>
      </c>
      <c r="L999" t="s">
        <v>37</v>
      </c>
      <c r="M999">
        <v>1433.55</v>
      </c>
      <c r="N999">
        <v>905.40000000000009</v>
      </c>
      <c r="O999" s="10">
        <v>483.37999999999988</v>
      </c>
      <c r="P999" s="10">
        <v>0.3371908897492239</v>
      </c>
      <c r="Q999" s="8">
        <v>1433.55</v>
      </c>
      <c r="R999" t="s">
        <v>45</v>
      </c>
      <c r="S999" t="s">
        <v>49</v>
      </c>
      <c r="T999" t="s">
        <v>2931</v>
      </c>
      <c r="U999">
        <v>0</v>
      </c>
      <c r="V999" t="str">
        <f>IF(CleanedTable[[#This Row],[Returned]] = 0,"NO","Yes")</f>
        <v>NO</v>
      </c>
      <c r="W999" t="s">
        <v>1048</v>
      </c>
      <c r="X999" t="s">
        <v>1660</v>
      </c>
      <c r="Y999" s="10">
        <v>44.77</v>
      </c>
      <c r="Z999" s="3">
        <v>45469</v>
      </c>
      <c r="AA999" s="3">
        <v>45479</v>
      </c>
      <c r="AB999" t="s">
        <v>2922</v>
      </c>
      <c r="AC999">
        <v>10</v>
      </c>
    </row>
    <row r="1000" spans="1:29" x14ac:dyDescent="0.3">
      <c r="A1000" s="3">
        <v>45638</v>
      </c>
      <c r="B1000" s="3" t="str">
        <f>TEXT(CleanedTable[[#This Row],[OrderDate]],"mmm")</f>
        <v>Dec</v>
      </c>
      <c r="C1000" s="3" t="str">
        <f>TEXT(CleanedTable[[#This Row],[OrderDate]],"yyyy")</f>
        <v>2024</v>
      </c>
      <c r="D1000" s="3" t="str">
        <f>TEXT(CleanedTable[[#This Row],[OrderDate]],"mmm yyyy")</f>
        <v>Dec 2024</v>
      </c>
      <c r="E1000" t="s">
        <v>22</v>
      </c>
      <c r="F1000" t="s">
        <v>28</v>
      </c>
      <c r="G1000" s="12">
        <v>2</v>
      </c>
      <c r="H1000" s="8">
        <v>494.22</v>
      </c>
      <c r="I1000" t="s">
        <v>33</v>
      </c>
      <c r="J1000" t="s">
        <v>36</v>
      </c>
      <c r="K1000" s="10">
        <v>0.1</v>
      </c>
      <c r="L1000" t="s">
        <v>40</v>
      </c>
      <c r="M1000">
        <v>889.59600000000012</v>
      </c>
      <c r="N1000">
        <v>593.06399999999996</v>
      </c>
      <c r="O1000" s="10">
        <v>283.08200000000016</v>
      </c>
      <c r="P1000" s="10">
        <v>0.31821411067495819</v>
      </c>
      <c r="Q1000" s="8">
        <v>889.59600000000012</v>
      </c>
      <c r="R1000" t="s">
        <v>44</v>
      </c>
      <c r="S1000" t="s">
        <v>48</v>
      </c>
      <c r="T1000" t="s">
        <v>2931</v>
      </c>
      <c r="U1000">
        <v>0</v>
      </c>
      <c r="V1000" t="str">
        <f>IF(CleanedTable[[#This Row],[Returned]] = 0,"NO","Yes")</f>
        <v>NO</v>
      </c>
      <c r="W1000" t="s">
        <v>1049</v>
      </c>
      <c r="X1000" t="s">
        <v>2491</v>
      </c>
      <c r="Y1000" s="10">
        <v>13.45</v>
      </c>
      <c r="Z1000" s="3">
        <v>45638</v>
      </c>
      <c r="AA1000" s="3">
        <v>45643</v>
      </c>
      <c r="AB1000" t="s">
        <v>2925</v>
      </c>
      <c r="AC1000">
        <v>5</v>
      </c>
    </row>
    <row r="1001" spans="1:29" x14ac:dyDescent="0.3">
      <c r="A1001" s="3">
        <v>45343</v>
      </c>
      <c r="B1001" s="3" t="str">
        <f>TEXT(CleanedTable[[#This Row],[OrderDate]],"mmm")</f>
        <v>Feb</v>
      </c>
      <c r="C1001" s="3" t="str">
        <f>TEXT(CleanedTable[[#This Row],[OrderDate]],"yyyy")</f>
        <v>2024</v>
      </c>
      <c r="D1001" s="3" t="str">
        <f>TEXT(CleanedTable[[#This Row],[OrderDate]],"mmm yyyy")</f>
        <v>Feb 2024</v>
      </c>
      <c r="E1001" t="s">
        <v>19</v>
      </c>
      <c r="F1001" t="s">
        <v>24</v>
      </c>
      <c r="G1001" s="12">
        <v>15</v>
      </c>
      <c r="H1001" s="8">
        <v>112.82</v>
      </c>
      <c r="I1001" t="s">
        <v>31</v>
      </c>
      <c r="J1001" t="s">
        <v>35</v>
      </c>
      <c r="K1001" s="10">
        <v>0.05</v>
      </c>
      <c r="L1001" t="s">
        <v>39</v>
      </c>
      <c r="M1001">
        <v>1607.6849999999999</v>
      </c>
      <c r="N1001">
        <v>1015.3799999999999</v>
      </c>
      <c r="O1001" s="10">
        <v>574.09500000000003</v>
      </c>
      <c r="P1001" s="10">
        <v>0.35709420688754329</v>
      </c>
      <c r="Q1001" s="8">
        <v>1607.6849999999999</v>
      </c>
      <c r="R1001" t="s">
        <v>45</v>
      </c>
      <c r="S1001" t="s">
        <v>50</v>
      </c>
      <c r="T1001" t="s">
        <v>2931</v>
      </c>
      <c r="U1001">
        <v>0</v>
      </c>
      <c r="V1001" t="str">
        <f>IF(CleanedTable[[#This Row],[Returned]] = 0,"NO","Yes")</f>
        <v>NO</v>
      </c>
      <c r="W1001" t="s">
        <v>1050</v>
      </c>
      <c r="X1001" t="s">
        <v>2492</v>
      </c>
      <c r="Y1001" s="10">
        <v>18.21</v>
      </c>
      <c r="Z1001" s="3">
        <v>45343</v>
      </c>
      <c r="AA1001" s="3">
        <v>45352</v>
      </c>
      <c r="AB1001" t="s">
        <v>2922</v>
      </c>
      <c r="AC1001">
        <v>9</v>
      </c>
    </row>
    <row r="1002" spans="1:29" x14ac:dyDescent="0.3">
      <c r="A1002" s="3">
        <v>45125</v>
      </c>
      <c r="B1002" s="3" t="str">
        <f>TEXT(CleanedTable[[#This Row],[OrderDate]],"mmm")</f>
        <v>Jul</v>
      </c>
      <c r="C1002" s="3" t="str">
        <f>TEXT(CleanedTable[[#This Row],[OrderDate]],"yyyy")</f>
        <v>2023</v>
      </c>
      <c r="D1002" s="3" t="str">
        <f>TEXT(CleanedTable[[#This Row],[OrderDate]],"mmm yyyy")</f>
        <v>Jul 2023</v>
      </c>
      <c r="E1002" t="s">
        <v>19</v>
      </c>
      <c r="F1002" t="s">
        <v>26</v>
      </c>
      <c r="G1002" s="12">
        <v>3</v>
      </c>
      <c r="H1002" s="8">
        <v>121.56</v>
      </c>
      <c r="I1002" t="s">
        <v>34</v>
      </c>
      <c r="J1002" t="s">
        <v>35</v>
      </c>
      <c r="K1002" s="10">
        <v>0</v>
      </c>
      <c r="L1002" t="s">
        <v>37</v>
      </c>
      <c r="M1002">
        <v>364.68</v>
      </c>
      <c r="N1002">
        <v>218.80799999999999</v>
      </c>
      <c r="O1002" s="10">
        <v>116.81200000000001</v>
      </c>
      <c r="P1002" s="10">
        <v>0.32031369968191292</v>
      </c>
      <c r="Q1002" s="8">
        <v>364.68</v>
      </c>
      <c r="R1002" t="s">
        <v>46</v>
      </c>
      <c r="S1002" t="s">
        <v>50</v>
      </c>
      <c r="T1002" t="s">
        <v>2931</v>
      </c>
      <c r="U1002">
        <v>0</v>
      </c>
      <c r="V1002" t="str">
        <f>IF(CleanedTable[[#This Row],[Returned]] = 0,"NO","Yes")</f>
        <v>NO</v>
      </c>
      <c r="W1002" t="s">
        <v>1051</v>
      </c>
      <c r="X1002" t="s">
        <v>2493</v>
      </c>
      <c r="Y1002" s="10">
        <v>29.06</v>
      </c>
      <c r="Z1002" s="3">
        <v>45125</v>
      </c>
      <c r="AA1002" s="3">
        <v>45132</v>
      </c>
      <c r="AB1002" t="s">
        <v>2922</v>
      </c>
      <c r="AC1002">
        <v>7</v>
      </c>
    </row>
    <row r="1003" spans="1:29" x14ac:dyDescent="0.3">
      <c r="A1003" s="3">
        <v>45567</v>
      </c>
      <c r="B1003" s="3" t="str">
        <f>TEXT(CleanedTable[[#This Row],[OrderDate]],"mmm")</f>
        <v>Oct</v>
      </c>
      <c r="C1003" s="3" t="str">
        <f>TEXT(CleanedTable[[#This Row],[OrderDate]],"yyyy")</f>
        <v>2024</v>
      </c>
      <c r="D1003" s="3" t="str">
        <f>TEXT(CleanedTable[[#This Row],[OrderDate]],"mmm yyyy")</f>
        <v>Oct 2024</v>
      </c>
      <c r="E1003" t="s">
        <v>21</v>
      </c>
      <c r="F1003" t="s">
        <v>26</v>
      </c>
      <c r="G1003" s="12">
        <v>12</v>
      </c>
      <c r="H1003" s="8">
        <v>465.94</v>
      </c>
      <c r="I1003" t="s">
        <v>34</v>
      </c>
      <c r="J1003" t="s">
        <v>35</v>
      </c>
      <c r="K1003" s="10">
        <v>0</v>
      </c>
      <c r="L1003" t="s">
        <v>38</v>
      </c>
      <c r="M1003">
        <v>5591.28</v>
      </c>
      <c r="N1003">
        <v>3354.7679999999996</v>
      </c>
      <c r="O1003" s="10">
        <v>2202.3520000000003</v>
      </c>
      <c r="P1003" s="10">
        <v>0.3938904866148718</v>
      </c>
      <c r="Q1003" s="8">
        <v>5591.28</v>
      </c>
      <c r="R1003" t="s">
        <v>45</v>
      </c>
      <c r="S1003" t="s">
        <v>50</v>
      </c>
      <c r="T1003" t="s">
        <v>2931</v>
      </c>
      <c r="U1003">
        <v>0</v>
      </c>
      <c r="V1003" t="str">
        <f>IF(CleanedTable[[#This Row],[Returned]] = 0,"NO","Yes")</f>
        <v>NO</v>
      </c>
      <c r="W1003" t="s">
        <v>1052</v>
      </c>
      <c r="X1003" t="s">
        <v>2494</v>
      </c>
      <c r="Y1003" s="10">
        <v>34.159999999999997</v>
      </c>
      <c r="Z1003" s="3">
        <v>45567</v>
      </c>
      <c r="AA1003" s="3">
        <v>45571</v>
      </c>
      <c r="AB1003" t="s">
        <v>2924</v>
      </c>
      <c r="AC1003">
        <v>4</v>
      </c>
    </row>
    <row r="1004" spans="1:29" x14ac:dyDescent="0.3">
      <c r="A1004" s="3">
        <v>45627</v>
      </c>
      <c r="B1004" s="3" t="str">
        <f>TEXT(CleanedTable[[#This Row],[OrderDate]],"mmm")</f>
        <v>Dec</v>
      </c>
      <c r="C1004" s="3" t="str">
        <f>TEXT(CleanedTable[[#This Row],[OrderDate]],"yyyy")</f>
        <v>2024</v>
      </c>
      <c r="D1004" s="3" t="str">
        <f>TEXT(CleanedTable[[#This Row],[OrderDate]],"mmm yyyy")</f>
        <v>Dec 2024</v>
      </c>
      <c r="E1004" t="s">
        <v>23</v>
      </c>
      <c r="F1004" t="s">
        <v>25</v>
      </c>
      <c r="G1004" s="12">
        <v>12</v>
      </c>
      <c r="H1004" s="8">
        <v>187.8</v>
      </c>
      <c r="I1004" t="s">
        <v>34</v>
      </c>
      <c r="J1004" t="s">
        <v>35</v>
      </c>
      <c r="K1004" s="10">
        <v>0.15</v>
      </c>
      <c r="L1004" t="s">
        <v>41</v>
      </c>
      <c r="M1004">
        <v>1915.5600000000002</v>
      </c>
      <c r="N1004">
        <v>1352.16</v>
      </c>
      <c r="O1004" s="10">
        <v>545.66000000000008</v>
      </c>
      <c r="P1004" s="10">
        <v>0.28485664766439056</v>
      </c>
      <c r="Q1004" s="8">
        <v>1915.56</v>
      </c>
      <c r="R1004" t="s">
        <v>43</v>
      </c>
      <c r="S1004" t="s">
        <v>48</v>
      </c>
      <c r="T1004" t="s">
        <v>2931</v>
      </c>
      <c r="U1004">
        <v>0</v>
      </c>
      <c r="V1004" t="str">
        <f>IF(CleanedTable[[#This Row],[Returned]] = 0,"NO","Yes")</f>
        <v>NO</v>
      </c>
      <c r="W1004" t="s">
        <v>1053</v>
      </c>
      <c r="X1004" t="s">
        <v>2495</v>
      </c>
      <c r="Y1004" s="10">
        <v>17.739999999999998</v>
      </c>
      <c r="Z1004" s="3">
        <v>45627</v>
      </c>
      <c r="AA1004" s="3">
        <v>45630</v>
      </c>
      <c r="AB1004" t="s">
        <v>2926</v>
      </c>
      <c r="AC1004">
        <v>3</v>
      </c>
    </row>
    <row r="1005" spans="1:29" x14ac:dyDescent="0.3">
      <c r="A1005" s="3">
        <v>45538</v>
      </c>
      <c r="B1005" s="3" t="str">
        <f>TEXT(CleanedTable[[#This Row],[OrderDate]],"mmm")</f>
        <v>Sep</v>
      </c>
      <c r="C1005" s="3" t="str">
        <f>TEXT(CleanedTable[[#This Row],[OrderDate]],"yyyy")</f>
        <v>2024</v>
      </c>
      <c r="D1005" s="3" t="str">
        <f>TEXT(CleanedTable[[#This Row],[OrderDate]],"mmm yyyy")</f>
        <v>Sep 2024</v>
      </c>
      <c r="E1005" t="s">
        <v>19</v>
      </c>
      <c r="F1005" t="s">
        <v>26</v>
      </c>
      <c r="G1005" s="12">
        <v>1</v>
      </c>
      <c r="H1005" s="8">
        <v>561.29999999999995</v>
      </c>
      <c r="I1005" t="s">
        <v>34</v>
      </c>
      <c r="J1005" t="s">
        <v>36</v>
      </c>
      <c r="K1005" s="10">
        <v>0.15</v>
      </c>
      <c r="L1005" t="s">
        <v>39</v>
      </c>
      <c r="M1005">
        <v>477.10499999999996</v>
      </c>
      <c r="N1005">
        <v>336.78</v>
      </c>
      <c r="O1005" s="10">
        <v>135.13499999999999</v>
      </c>
      <c r="P1005" s="10">
        <v>0.28323953846637534</v>
      </c>
      <c r="Q1005" s="8">
        <v>477.10500000000002</v>
      </c>
      <c r="R1005" t="s">
        <v>44</v>
      </c>
      <c r="T1005" t="s">
        <v>2932</v>
      </c>
      <c r="U1005">
        <v>0</v>
      </c>
      <c r="V1005" t="str">
        <f>IF(CleanedTable[[#This Row],[Returned]] = 0,"NO","Yes")</f>
        <v>NO</v>
      </c>
      <c r="W1005" t="s">
        <v>1054</v>
      </c>
      <c r="X1005" t="s">
        <v>2496</v>
      </c>
      <c r="Y1005" s="10">
        <v>5.19</v>
      </c>
      <c r="Z1005" s="3">
        <v>45538</v>
      </c>
      <c r="AA1005" s="3">
        <v>45547</v>
      </c>
      <c r="AB1005" t="s">
        <v>2922</v>
      </c>
      <c r="AC1005">
        <v>9</v>
      </c>
    </row>
    <row r="1006" spans="1:29" x14ac:dyDescent="0.3">
      <c r="A1006" s="3">
        <v>45710</v>
      </c>
      <c r="B1006" s="3" t="str">
        <f>TEXT(CleanedTable[[#This Row],[OrderDate]],"mmm")</f>
        <v>Feb</v>
      </c>
      <c r="C1006" s="3" t="str">
        <f>TEXT(CleanedTable[[#This Row],[OrderDate]],"yyyy")</f>
        <v>2025</v>
      </c>
      <c r="D1006" s="3" t="str">
        <f>TEXT(CleanedTable[[#This Row],[OrderDate]],"mmm yyyy")</f>
        <v>Feb 2025</v>
      </c>
      <c r="E1006" t="s">
        <v>23</v>
      </c>
      <c r="F1006" t="s">
        <v>30</v>
      </c>
      <c r="G1006" s="12">
        <v>7</v>
      </c>
      <c r="H1006" s="8">
        <v>178.26</v>
      </c>
      <c r="I1006" t="s">
        <v>33</v>
      </c>
      <c r="J1006" t="s">
        <v>36</v>
      </c>
      <c r="K1006" s="10">
        <v>0.15</v>
      </c>
      <c r="L1006" t="s">
        <v>42</v>
      </c>
      <c r="M1006">
        <v>1060.6469999999999</v>
      </c>
      <c r="N1006">
        <v>748.69199999999989</v>
      </c>
      <c r="O1006" s="10">
        <v>267.04500000000007</v>
      </c>
      <c r="P1006" s="10">
        <v>0.25177556717739275</v>
      </c>
      <c r="Q1006" s="8">
        <v>1060.6469999999999</v>
      </c>
      <c r="R1006" t="s">
        <v>43</v>
      </c>
      <c r="S1006" t="s">
        <v>48</v>
      </c>
      <c r="T1006" t="s">
        <v>2931</v>
      </c>
      <c r="U1006">
        <v>0</v>
      </c>
      <c r="V1006" t="str">
        <f>IF(CleanedTable[[#This Row],[Returned]] = 0,"NO","Yes")</f>
        <v>NO</v>
      </c>
      <c r="W1006" t="s">
        <v>1055</v>
      </c>
      <c r="X1006" t="s">
        <v>2497</v>
      </c>
      <c r="Y1006" s="10">
        <v>44.91</v>
      </c>
      <c r="Z1006" s="3">
        <v>45710</v>
      </c>
      <c r="AA1006" s="3">
        <v>45717</v>
      </c>
      <c r="AB1006" t="s">
        <v>2926</v>
      </c>
      <c r="AC1006">
        <v>7</v>
      </c>
    </row>
    <row r="1007" spans="1:29" x14ac:dyDescent="0.3">
      <c r="A1007" s="3">
        <v>45788</v>
      </c>
      <c r="B1007" s="3" t="str">
        <f>TEXT(CleanedTable[[#This Row],[OrderDate]],"mmm")</f>
        <v>May</v>
      </c>
      <c r="C1007" s="3" t="str">
        <f>TEXT(CleanedTable[[#This Row],[OrderDate]],"yyyy")</f>
        <v>2025</v>
      </c>
      <c r="D1007" s="3" t="str">
        <f>TEXT(CleanedTable[[#This Row],[OrderDate]],"mmm yyyy")</f>
        <v>May 2025</v>
      </c>
      <c r="E1007" t="s">
        <v>23</v>
      </c>
      <c r="F1007" t="s">
        <v>28</v>
      </c>
      <c r="G1007" s="12">
        <v>20</v>
      </c>
      <c r="H1007" s="8">
        <v>552.83000000000004</v>
      </c>
      <c r="I1007" t="s">
        <v>34</v>
      </c>
      <c r="J1007" t="s">
        <v>36</v>
      </c>
      <c r="K1007" s="10">
        <v>0.15</v>
      </c>
      <c r="L1007" t="s">
        <v>37</v>
      </c>
      <c r="M1007">
        <v>9398.11</v>
      </c>
      <c r="N1007">
        <v>6633.9600000000009</v>
      </c>
      <c r="O1007" s="10">
        <v>2743.6499999999996</v>
      </c>
      <c r="P1007" s="10">
        <v>0.29193635741654433</v>
      </c>
      <c r="Q1007" s="8">
        <v>9398.11</v>
      </c>
      <c r="R1007" t="s">
        <v>43</v>
      </c>
      <c r="S1007" t="s">
        <v>48</v>
      </c>
      <c r="T1007" t="s">
        <v>2931</v>
      </c>
      <c r="U1007">
        <v>1</v>
      </c>
      <c r="V1007" t="str">
        <f>IF(CleanedTable[[#This Row],[Returned]] = 0,"NO","Yes")</f>
        <v>Yes</v>
      </c>
      <c r="W1007" t="s">
        <v>1056</v>
      </c>
      <c r="X1007" t="s">
        <v>2498</v>
      </c>
      <c r="Y1007" s="10">
        <v>20.5</v>
      </c>
      <c r="Z1007" s="3">
        <v>45788</v>
      </c>
      <c r="AA1007" s="3">
        <v>45790</v>
      </c>
      <c r="AB1007" t="s">
        <v>2926</v>
      </c>
      <c r="AC1007">
        <v>2</v>
      </c>
    </row>
    <row r="1008" spans="1:29" x14ac:dyDescent="0.3">
      <c r="A1008" s="3">
        <v>45646</v>
      </c>
      <c r="B1008" s="3" t="str">
        <f>TEXT(CleanedTable[[#This Row],[OrderDate]],"mmm")</f>
        <v>Dec</v>
      </c>
      <c r="C1008" s="3" t="str">
        <f>TEXT(CleanedTable[[#This Row],[OrderDate]],"yyyy")</f>
        <v>2024</v>
      </c>
      <c r="D1008" s="3" t="str">
        <f>TEXT(CleanedTable[[#This Row],[OrderDate]],"mmm yyyy")</f>
        <v>Dec 2024</v>
      </c>
      <c r="E1008" t="s">
        <v>22</v>
      </c>
      <c r="F1008" t="s">
        <v>29</v>
      </c>
      <c r="G1008" s="12">
        <v>2</v>
      </c>
      <c r="H1008" s="8">
        <v>458.25</v>
      </c>
      <c r="I1008" t="s">
        <v>31</v>
      </c>
      <c r="J1008" t="s">
        <v>35</v>
      </c>
      <c r="K1008" s="10">
        <v>0</v>
      </c>
      <c r="L1008" t="s">
        <v>37</v>
      </c>
      <c r="M1008">
        <v>916.5</v>
      </c>
      <c r="N1008">
        <v>549.9</v>
      </c>
      <c r="O1008" s="10">
        <v>340.66</v>
      </c>
      <c r="P1008" s="10">
        <v>0.37169667212220409</v>
      </c>
      <c r="Q1008" s="8">
        <v>916.5</v>
      </c>
      <c r="R1008" t="s">
        <v>44</v>
      </c>
      <c r="S1008" t="s">
        <v>49</v>
      </c>
      <c r="T1008" t="s">
        <v>2931</v>
      </c>
      <c r="U1008">
        <v>0</v>
      </c>
      <c r="V1008" t="str">
        <f>IF(CleanedTable[[#This Row],[Returned]] = 0,"NO","Yes")</f>
        <v>NO</v>
      </c>
      <c r="W1008" t="s">
        <v>1057</v>
      </c>
      <c r="X1008" t="s">
        <v>2499</v>
      </c>
      <c r="Y1008" s="10">
        <v>25.94</v>
      </c>
      <c r="Z1008" s="3">
        <v>45646</v>
      </c>
      <c r="AA1008" s="3">
        <v>45655</v>
      </c>
      <c r="AB1008" t="s">
        <v>2925</v>
      </c>
      <c r="AC1008">
        <v>9</v>
      </c>
    </row>
    <row r="1009" spans="1:29" x14ac:dyDescent="0.3">
      <c r="A1009" s="3">
        <v>45034</v>
      </c>
      <c r="B1009" s="3" t="str">
        <f>TEXT(CleanedTable[[#This Row],[OrderDate]],"mmm")</f>
        <v>Apr</v>
      </c>
      <c r="C1009" s="3" t="str">
        <f>TEXT(CleanedTable[[#This Row],[OrderDate]],"yyyy")</f>
        <v>2023</v>
      </c>
      <c r="D1009" s="3" t="str">
        <f>TEXT(CleanedTable[[#This Row],[OrderDate]],"mmm yyyy")</f>
        <v>Apr 2023</v>
      </c>
      <c r="E1009" t="s">
        <v>19</v>
      </c>
      <c r="F1009" t="s">
        <v>24</v>
      </c>
      <c r="G1009" s="12">
        <v>2</v>
      </c>
      <c r="H1009" s="8">
        <v>129.43</v>
      </c>
      <c r="I1009" t="s">
        <v>34</v>
      </c>
      <c r="J1009" t="s">
        <v>36</v>
      </c>
      <c r="K1009" s="10">
        <v>0.05</v>
      </c>
      <c r="L1009" t="s">
        <v>38</v>
      </c>
      <c r="M1009">
        <v>245.917</v>
      </c>
      <c r="N1009">
        <v>155.316</v>
      </c>
      <c r="O1009" s="10">
        <v>83.691000000000003</v>
      </c>
      <c r="P1009" s="10">
        <v>0.34032214121024573</v>
      </c>
      <c r="Q1009" s="8">
        <v>245.917</v>
      </c>
      <c r="R1009" t="s">
        <v>46</v>
      </c>
      <c r="S1009" t="s">
        <v>48</v>
      </c>
      <c r="T1009" t="s">
        <v>2931</v>
      </c>
      <c r="U1009">
        <v>0</v>
      </c>
      <c r="V1009" t="str">
        <f>IF(CleanedTable[[#This Row],[Returned]] = 0,"NO","Yes")</f>
        <v>NO</v>
      </c>
      <c r="W1009" t="s">
        <v>1058</v>
      </c>
      <c r="X1009" t="s">
        <v>2500</v>
      </c>
      <c r="Y1009" s="10">
        <v>6.91</v>
      </c>
      <c r="Z1009" s="3">
        <v>45034</v>
      </c>
      <c r="AA1009" s="3">
        <v>45037</v>
      </c>
      <c r="AB1009" t="s">
        <v>2922</v>
      </c>
      <c r="AC1009">
        <v>3</v>
      </c>
    </row>
    <row r="1010" spans="1:29" x14ac:dyDescent="0.3">
      <c r="A1010" s="3">
        <v>45533</v>
      </c>
      <c r="B1010" s="3" t="str">
        <f>TEXT(CleanedTable[[#This Row],[OrderDate]],"mmm")</f>
        <v>Aug</v>
      </c>
      <c r="C1010" s="3" t="str">
        <f>TEXT(CleanedTable[[#This Row],[OrderDate]],"yyyy")</f>
        <v>2024</v>
      </c>
      <c r="D1010" s="3" t="str">
        <f>TEXT(CleanedTable[[#This Row],[OrderDate]],"mmm yyyy")</f>
        <v>Aug 2024</v>
      </c>
      <c r="E1010" t="s">
        <v>19</v>
      </c>
      <c r="F1010" t="s">
        <v>30</v>
      </c>
      <c r="G1010" s="12">
        <v>19</v>
      </c>
      <c r="H1010" s="8">
        <v>448.21</v>
      </c>
      <c r="I1010" t="s">
        <v>33</v>
      </c>
      <c r="J1010" t="s">
        <v>35</v>
      </c>
      <c r="K1010" s="10">
        <v>0.1</v>
      </c>
      <c r="L1010" t="s">
        <v>38</v>
      </c>
      <c r="M1010">
        <v>7664.3909999999996</v>
      </c>
      <c r="N1010">
        <v>5109.5940000000001</v>
      </c>
      <c r="O1010" s="10">
        <v>2524.0869999999995</v>
      </c>
      <c r="P1010" s="10">
        <v>0.3293264918243341</v>
      </c>
      <c r="Q1010" s="8">
        <v>7664.3909999999996</v>
      </c>
      <c r="R1010" t="s">
        <v>46</v>
      </c>
      <c r="S1010" t="s">
        <v>50</v>
      </c>
      <c r="T1010" t="s">
        <v>2931</v>
      </c>
      <c r="U1010">
        <v>0</v>
      </c>
      <c r="V1010" t="str">
        <f>IF(CleanedTable[[#This Row],[Returned]] = 0,"NO","Yes")</f>
        <v>NO</v>
      </c>
      <c r="W1010" t="s">
        <v>1059</v>
      </c>
      <c r="X1010" t="s">
        <v>2004</v>
      </c>
      <c r="Y1010" s="10">
        <v>30.71</v>
      </c>
      <c r="Z1010" s="3">
        <v>45533</v>
      </c>
      <c r="AA1010" s="3">
        <v>45538</v>
      </c>
      <c r="AB1010" t="s">
        <v>2922</v>
      </c>
      <c r="AC1010">
        <v>5</v>
      </c>
    </row>
    <row r="1011" spans="1:29" x14ac:dyDescent="0.3">
      <c r="A1011" s="3">
        <v>45172</v>
      </c>
      <c r="B1011" s="3" t="str">
        <f>TEXT(CleanedTable[[#This Row],[OrderDate]],"mmm")</f>
        <v>Sep</v>
      </c>
      <c r="C1011" s="3" t="str">
        <f>TEXT(CleanedTable[[#This Row],[OrderDate]],"yyyy")</f>
        <v>2023</v>
      </c>
      <c r="D1011" s="3" t="str">
        <f>TEXT(CleanedTable[[#This Row],[OrderDate]],"mmm yyyy")</f>
        <v>Sep 2023</v>
      </c>
      <c r="E1011" t="s">
        <v>21</v>
      </c>
      <c r="F1011" t="s">
        <v>26</v>
      </c>
      <c r="G1011" s="12">
        <v>16</v>
      </c>
      <c r="H1011" s="8">
        <v>440.48</v>
      </c>
      <c r="I1011" t="s">
        <v>31</v>
      </c>
      <c r="J1011" t="s">
        <v>36</v>
      </c>
      <c r="K1011" s="10">
        <v>0.05</v>
      </c>
      <c r="L1011" t="s">
        <v>39</v>
      </c>
      <c r="M1011">
        <v>6695.2960000000003</v>
      </c>
      <c r="N1011">
        <v>4228.6080000000002</v>
      </c>
      <c r="O1011" s="10">
        <v>2439.8180000000002</v>
      </c>
      <c r="P1011" s="10">
        <v>0.36440778719865413</v>
      </c>
      <c r="Q1011" s="8">
        <v>6695.2960000000003</v>
      </c>
      <c r="R1011" t="s">
        <v>47</v>
      </c>
      <c r="S1011" t="s">
        <v>48</v>
      </c>
      <c r="T1011" t="s">
        <v>2931</v>
      </c>
      <c r="U1011">
        <v>1</v>
      </c>
      <c r="V1011" t="str">
        <f>IF(CleanedTable[[#This Row],[Returned]] = 0,"NO","Yes")</f>
        <v>Yes</v>
      </c>
      <c r="W1011" t="s">
        <v>1060</v>
      </c>
      <c r="X1011" t="s">
        <v>2501</v>
      </c>
      <c r="Y1011" s="10">
        <v>26.87</v>
      </c>
      <c r="Z1011" s="3">
        <v>45172</v>
      </c>
      <c r="AA1011" s="3">
        <v>45179</v>
      </c>
      <c r="AB1011" t="s">
        <v>2924</v>
      </c>
      <c r="AC1011">
        <v>7</v>
      </c>
    </row>
    <row r="1012" spans="1:29" x14ac:dyDescent="0.3">
      <c r="A1012" s="3">
        <v>45796</v>
      </c>
      <c r="B1012" s="3" t="str">
        <f>TEXT(CleanedTable[[#This Row],[OrderDate]],"mmm")</f>
        <v>May</v>
      </c>
      <c r="C1012" s="3" t="str">
        <f>TEXT(CleanedTable[[#This Row],[OrderDate]],"yyyy")</f>
        <v>2025</v>
      </c>
      <c r="D1012" s="3" t="str">
        <f>TEXT(CleanedTable[[#This Row],[OrderDate]],"mmm yyyy")</f>
        <v>May 2025</v>
      </c>
      <c r="E1012" t="s">
        <v>19</v>
      </c>
      <c r="F1012" t="s">
        <v>24</v>
      </c>
      <c r="G1012" s="12">
        <v>8</v>
      </c>
      <c r="H1012" s="8">
        <v>262.62</v>
      </c>
      <c r="I1012" t="s">
        <v>33</v>
      </c>
      <c r="J1012" t="s">
        <v>35</v>
      </c>
      <c r="K1012" s="10">
        <v>0</v>
      </c>
      <c r="L1012" t="s">
        <v>38</v>
      </c>
      <c r="M1012">
        <v>2100.96</v>
      </c>
      <c r="N1012">
        <v>1260.576</v>
      </c>
      <c r="O1012" s="10">
        <v>803.654</v>
      </c>
      <c r="P1012" s="10">
        <v>0.38251751580229987</v>
      </c>
      <c r="Q1012" s="8">
        <v>2100.96</v>
      </c>
      <c r="R1012" t="s">
        <v>47</v>
      </c>
      <c r="S1012" t="s">
        <v>48</v>
      </c>
      <c r="T1012" t="s">
        <v>2931</v>
      </c>
      <c r="U1012">
        <v>1</v>
      </c>
      <c r="V1012" t="str">
        <f>IF(CleanedTable[[#This Row],[Returned]] = 0,"NO","Yes")</f>
        <v>Yes</v>
      </c>
      <c r="W1012" t="s">
        <v>1061</v>
      </c>
      <c r="X1012" t="s">
        <v>2502</v>
      </c>
      <c r="Y1012" s="10">
        <v>36.729999999999997</v>
      </c>
      <c r="Z1012" s="3">
        <v>45796</v>
      </c>
      <c r="AA1012" s="3">
        <v>45801</v>
      </c>
      <c r="AB1012" t="s">
        <v>2922</v>
      </c>
      <c r="AC1012">
        <v>5</v>
      </c>
    </row>
    <row r="1013" spans="1:29" x14ac:dyDescent="0.3">
      <c r="A1013" s="3">
        <v>45095</v>
      </c>
      <c r="B1013" s="3" t="str">
        <f>TEXT(CleanedTable[[#This Row],[OrderDate]],"mmm")</f>
        <v>Jun</v>
      </c>
      <c r="C1013" s="3" t="str">
        <f>TEXT(CleanedTable[[#This Row],[OrderDate]],"yyyy")</f>
        <v>2023</v>
      </c>
      <c r="D1013" s="3" t="str">
        <f>TEXT(CleanedTable[[#This Row],[OrderDate]],"mmm yyyy")</f>
        <v>Jun 2023</v>
      </c>
      <c r="E1013" t="s">
        <v>19</v>
      </c>
      <c r="F1013" t="s">
        <v>29</v>
      </c>
      <c r="G1013" s="12">
        <v>15</v>
      </c>
      <c r="H1013" s="8">
        <v>124.91</v>
      </c>
      <c r="I1013" t="s">
        <v>32</v>
      </c>
      <c r="J1013" t="s">
        <v>35</v>
      </c>
      <c r="K1013" s="10">
        <v>0.1</v>
      </c>
      <c r="L1013" t="s">
        <v>37</v>
      </c>
      <c r="M1013">
        <v>1686.2849999999999</v>
      </c>
      <c r="N1013">
        <v>1124.19</v>
      </c>
      <c r="O1013" s="10">
        <v>530.14499999999975</v>
      </c>
      <c r="P1013" s="10">
        <v>0.31438635817788796</v>
      </c>
      <c r="Q1013" s="8">
        <v>1686.2850000000001</v>
      </c>
      <c r="R1013" t="s">
        <v>44</v>
      </c>
      <c r="S1013" t="s">
        <v>48</v>
      </c>
      <c r="T1013" t="s">
        <v>2931</v>
      </c>
      <c r="U1013">
        <v>0</v>
      </c>
      <c r="V1013" t="str">
        <f>IF(CleanedTable[[#This Row],[Returned]] = 0,"NO","Yes")</f>
        <v>NO</v>
      </c>
      <c r="W1013" t="s">
        <v>1062</v>
      </c>
      <c r="X1013" t="s">
        <v>2503</v>
      </c>
      <c r="Y1013" s="10">
        <v>31.95</v>
      </c>
      <c r="Z1013" s="3">
        <v>45095</v>
      </c>
      <c r="AA1013" s="3">
        <v>45103</v>
      </c>
      <c r="AB1013" t="s">
        <v>2922</v>
      </c>
      <c r="AC1013">
        <v>8</v>
      </c>
    </row>
    <row r="1014" spans="1:29" x14ac:dyDescent="0.3">
      <c r="A1014" s="3">
        <v>45826</v>
      </c>
      <c r="B1014" s="3" t="str">
        <f>TEXT(CleanedTable[[#This Row],[OrderDate]],"mmm")</f>
        <v>Jun</v>
      </c>
      <c r="C1014" s="3" t="str">
        <f>TEXT(CleanedTable[[#This Row],[OrderDate]],"yyyy")</f>
        <v>2025</v>
      </c>
      <c r="D1014" s="3" t="str">
        <f>TEXT(CleanedTable[[#This Row],[OrderDate]],"mmm yyyy")</f>
        <v>Jun 2025</v>
      </c>
      <c r="E1014" t="s">
        <v>23</v>
      </c>
      <c r="F1014" t="s">
        <v>28</v>
      </c>
      <c r="G1014" s="12">
        <v>9</v>
      </c>
      <c r="H1014" s="8">
        <v>391</v>
      </c>
      <c r="I1014" t="s">
        <v>34</v>
      </c>
      <c r="J1014" t="s">
        <v>35</v>
      </c>
      <c r="K1014" s="10">
        <v>0.1</v>
      </c>
      <c r="L1014" t="s">
        <v>37</v>
      </c>
      <c r="M1014">
        <v>3167.1</v>
      </c>
      <c r="N1014">
        <v>2111.4</v>
      </c>
      <c r="O1014" s="10">
        <v>1008.9399999999998</v>
      </c>
      <c r="P1014" s="10">
        <v>0.31856903792112656</v>
      </c>
      <c r="Q1014" s="8">
        <v>3167.1</v>
      </c>
      <c r="R1014" t="s">
        <v>46</v>
      </c>
      <c r="S1014" t="s">
        <v>50</v>
      </c>
      <c r="T1014" t="s">
        <v>2931</v>
      </c>
      <c r="U1014">
        <v>0</v>
      </c>
      <c r="V1014" t="str">
        <f>IF(CleanedTable[[#This Row],[Returned]] = 0,"NO","Yes")</f>
        <v>NO</v>
      </c>
      <c r="W1014" t="s">
        <v>1063</v>
      </c>
      <c r="X1014" t="s">
        <v>2504</v>
      </c>
      <c r="Y1014" s="10">
        <v>46.76</v>
      </c>
      <c r="Z1014" s="3">
        <v>45826</v>
      </c>
      <c r="AA1014" s="3">
        <v>45830</v>
      </c>
      <c r="AB1014" t="s">
        <v>2926</v>
      </c>
      <c r="AC1014">
        <v>4</v>
      </c>
    </row>
    <row r="1015" spans="1:29" x14ac:dyDescent="0.3">
      <c r="A1015" s="3">
        <v>45564</v>
      </c>
      <c r="B1015" s="3" t="str">
        <f>TEXT(CleanedTable[[#This Row],[OrderDate]],"mmm")</f>
        <v>Sep</v>
      </c>
      <c r="C1015" s="3" t="str">
        <f>TEXT(CleanedTable[[#This Row],[OrderDate]],"yyyy")</f>
        <v>2024</v>
      </c>
      <c r="D1015" s="3" t="str">
        <f>TEXT(CleanedTable[[#This Row],[OrderDate]],"mmm yyyy")</f>
        <v>Sep 2024</v>
      </c>
      <c r="E1015" t="s">
        <v>20</v>
      </c>
      <c r="F1015" t="s">
        <v>24</v>
      </c>
      <c r="G1015" s="12">
        <v>12</v>
      </c>
      <c r="H1015" s="8">
        <v>204.15</v>
      </c>
      <c r="I1015" t="s">
        <v>33</v>
      </c>
      <c r="J1015" t="s">
        <v>36</v>
      </c>
      <c r="K1015" s="10">
        <v>0.05</v>
      </c>
      <c r="L1015" t="s">
        <v>38</v>
      </c>
      <c r="M1015">
        <v>2327.31</v>
      </c>
      <c r="N1015">
        <v>1469.8799999999999</v>
      </c>
      <c r="O1015" s="10">
        <v>831.03000000000009</v>
      </c>
      <c r="P1015" s="10">
        <v>0.35707748430591546</v>
      </c>
      <c r="Q1015" s="8">
        <v>2327.31</v>
      </c>
      <c r="R1015" t="s">
        <v>46</v>
      </c>
      <c r="S1015" t="s">
        <v>48</v>
      </c>
      <c r="T1015" t="s">
        <v>2931</v>
      </c>
      <c r="U1015">
        <v>1</v>
      </c>
      <c r="V1015" t="str">
        <f>IF(CleanedTable[[#This Row],[Returned]] = 0,"NO","Yes")</f>
        <v>Yes</v>
      </c>
      <c r="W1015" t="s">
        <v>1064</v>
      </c>
      <c r="X1015" t="s">
        <v>2505</v>
      </c>
      <c r="Y1015" s="10">
        <v>26.4</v>
      </c>
      <c r="Z1015" s="3">
        <v>45564</v>
      </c>
      <c r="AA1015" s="3">
        <v>45572</v>
      </c>
      <c r="AB1015" t="s">
        <v>2923</v>
      </c>
      <c r="AC1015">
        <v>8</v>
      </c>
    </row>
    <row r="1016" spans="1:29" x14ac:dyDescent="0.3">
      <c r="A1016" s="3">
        <v>45347</v>
      </c>
      <c r="B1016" s="3" t="str">
        <f>TEXT(CleanedTable[[#This Row],[OrderDate]],"mmm")</f>
        <v>Feb</v>
      </c>
      <c r="C1016" s="3" t="str">
        <f>TEXT(CleanedTable[[#This Row],[OrderDate]],"yyyy")</f>
        <v>2024</v>
      </c>
      <c r="D1016" s="3" t="str">
        <f>TEXT(CleanedTable[[#This Row],[OrderDate]],"mmm yyyy")</f>
        <v>Feb 2024</v>
      </c>
      <c r="E1016" t="s">
        <v>19</v>
      </c>
      <c r="F1016" t="s">
        <v>24</v>
      </c>
      <c r="G1016" s="12">
        <v>20</v>
      </c>
      <c r="H1016" s="8">
        <v>13.64</v>
      </c>
      <c r="I1016" t="s">
        <v>33</v>
      </c>
      <c r="J1016" t="s">
        <v>36</v>
      </c>
      <c r="K1016" s="10">
        <v>0.15</v>
      </c>
      <c r="L1016" t="s">
        <v>39</v>
      </c>
      <c r="M1016">
        <v>231.88</v>
      </c>
      <c r="N1016">
        <v>163.67999999999998</v>
      </c>
      <c r="O1016" s="10">
        <v>34.600000000000016</v>
      </c>
      <c r="P1016" s="10">
        <v>0.1492151112644472</v>
      </c>
      <c r="Q1016" s="8">
        <v>231.88</v>
      </c>
      <c r="R1016" t="s">
        <v>45</v>
      </c>
      <c r="S1016" t="s">
        <v>49</v>
      </c>
      <c r="T1016" t="s">
        <v>2931</v>
      </c>
      <c r="U1016">
        <v>0</v>
      </c>
      <c r="V1016" t="str">
        <f>IF(CleanedTable[[#This Row],[Returned]] = 0,"NO","Yes")</f>
        <v>NO</v>
      </c>
      <c r="W1016" t="s">
        <v>1065</v>
      </c>
      <c r="X1016" t="s">
        <v>2506</v>
      </c>
      <c r="Y1016" s="10">
        <v>33.6</v>
      </c>
      <c r="Z1016" s="3">
        <v>45347</v>
      </c>
      <c r="AA1016" s="3">
        <v>45355</v>
      </c>
      <c r="AB1016" t="s">
        <v>2922</v>
      </c>
      <c r="AC1016">
        <v>8</v>
      </c>
    </row>
    <row r="1017" spans="1:29" x14ac:dyDescent="0.3">
      <c r="A1017" s="3">
        <v>45372</v>
      </c>
      <c r="B1017" s="3" t="str">
        <f>TEXT(CleanedTable[[#This Row],[OrderDate]],"mmm")</f>
        <v>Mar</v>
      </c>
      <c r="C1017" s="3" t="str">
        <f>TEXT(CleanedTable[[#This Row],[OrderDate]],"yyyy")</f>
        <v>2024</v>
      </c>
      <c r="D1017" s="3" t="str">
        <f>TEXT(CleanedTable[[#This Row],[OrderDate]],"mmm yyyy")</f>
        <v>Mar 2024</v>
      </c>
      <c r="E1017" t="s">
        <v>21</v>
      </c>
      <c r="F1017" t="s">
        <v>30</v>
      </c>
      <c r="G1017" s="12">
        <v>14</v>
      </c>
      <c r="H1017" s="8">
        <v>524.9</v>
      </c>
      <c r="I1017" t="s">
        <v>33</v>
      </c>
      <c r="J1017" t="s">
        <v>35</v>
      </c>
      <c r="K1017" s="10">
        <v>0.05</v>
      </c>
      <c r="L1017" t="s">
        <v>38</v>
      </c>
      <c r="M1017">
        <v>6981.1699999999992</v>
      </c>
      <c r="N1017">
        <v>4409.16</v>
      </c>
      <c r="O1017" s="10">
        <v>2551.7799999999993</v>
      </c>
      <c r="P1017" s="10">
        <v>0.36552325756284398</v>
      </c>
      <c r="Q1017" s="8">
        <v>6981.1699999999992</v>
      </c>
      <c r="R1017" t="s">
        <v>47</v>
      </c>
      <c r="S1017" t="s">
        <v>48</v>
      </c>
      <c r="T1017" t="s">
        <v>2931</v>
      </c>
      <c r="U1017">
        <v>1</v>
      </c>
      <c r="V1017" t="str">
        <f>IF(CleanedTable[[#This Row],[Returned]] = 0,"NO","Yes")</f>
        <v>Yes</v>
      </c>
      <c r="W1017" t="s">
        <v>1066</v>
      </c>
      <c r="X1017" t="s">
        <v>2507</v>
      </c>
      <c r="Y1017" s="10">
        <v>20.23</v>
      </c>
      <c r="Z1017" s="3">
        <v>45372</v>
      </c>
      <c r="AA1017" s="3">
        <v>45381</v>
      </c>
      <c r="AB1017" t="s">
        <v>2924</v>
      </c>
      <c r="AC1017">
        <v>9</v>
      </c>
    </row>
    <row r="1018" spans="1:29" x14ac:dyDescent="0.3">
      <c r="A1018" s="3">
        <v>45325</v>
      </c>
      <c r="B1018" s="3" t="str">
        <f>TEXT(CleanedTable[[#This Row],[OrderDate]],"mmm")</f>
        <v>Feb</v>
      </c>
      <c r="C1018" s="3" t="str">
        <f>TEXT(CleanedTable[[#This Row],[OrderDate]],"yyyy")</f>
        <v>2024</v>
      </c>
      <c r="D1018" s="3" t="str">
        <f>TEXT(CleanedTable[[#This Row],[OrderDate]],"mmm yyyy")</f>
        <v>Feb 2024</v>
      </c>
      <c r="E1018" t="s">
        <v>21</v>
      </c>
      <c r="F1018" t="s">
        <v>24</v>
      </c>
      <c r="G1018" s="12">
        <v>8</v>
      </c>
      <c r="H1018" s="8">
        <v>143.94999999999999</v>
      </c>
      <c r="I1018" t="s">
        <v>31</v>
      </c>
      <c r="J1018" t="s">
        <v>36</v>
      </c>
      <c r="K1018" s="10">
        <v>0.1</v>
      </c>
      <c r="L1018" t="s">
        <v>41</v>
      </c>
      <c r="M1018">
        <v>1036.44</v>
      </c>
      <c r="N1018">
        <v>690.95999999999992</v>
      </c>
      <c r="O1018" s="10">
        <v>317.39000000000016</v>
      </c>
      <c r="P1018" s="10">
        <v>0.30623094438655413</v>
      </c>
      <c r="Q1018" s="8">
        <v>1036.44</v>
      </c>
      <c r="R1018" t="s">
        <v>47</v>
      </c>
      <c r="S1018" t="s">
        <v>49</v>
      </c>
      <c r="T1018" t="s">
        <v>2931</v>
      </c>
      <c r="U1018">
        <v>0</v>
      </c>
      <c r="V1018" t="str">
        <f>IF(CleanedTable[[#This Row],[Returned]] = 0,"NO","Yes")</f>
        <v>NO</v>
      </c>
      <c r="W1018" t="s">
        <v>1067</v>
      </c>
      <c r="X1018" t="s">
        <v>2508</v>
      </c>
      <c r="Y1018" s="10">
        <v>28.09</v>
      </c>
      <c r="Z1018" s="3">
        <v>45325</v>
      </c>
      <c r="AA1018" s="3">
        <v>45331</v>
      </c>
      <c r="AB1018" t="s">
        <v>2924</v>
      </c>
      <c r="AC1018">
        <v>6</v>
      </c>
    </row>
    <row r="1019" spans="1:29" x14ac:dyDescent="0.3">
      <c r="A1019" s="3">
        <v>45251</v>
      </c>
      <c r="B1019" s="3" t="str">
        <f>TEXT(CleanedTable[[#This Row],[OrderDate]],"mmm")</f>
        <v>Nov</v>
      </c>
      <c r="C1019" s="3" t="str">
        <f>TEXT(CleanedTable[[#This Row],[OrderDate]],"yyyy")</f>
        <v>2023</v>
      </c>
      <c r="D1019" s="3" t="str">
        <f>TEXT(CleanedTable[[#This Row],[OrderDate]],"mmm yyyy")</f>
        <v>Nov 2023</v>
      </c>
      <c r="E1019" t="s">
        <v>20</v>
      </c>
      <c r="F1019" t="s">
        <v>24</v>
      </c>
      <c r="G1019" s="12">
        <v>2</v>
      </c>
      <c r="H1019" s="8">
        <v>576.84</v>
      </c>
      <c r="I1019" t="s">
        <v>34</v>
      </c>
      <c r="J1019" t="s">
        <v>36</v>
      </c>
      <c r="K1019" s="10">
        <v>0.1</v>
      </c>
      <c r="L1019" t="s">
        <v>39</v>
      </c>
      <c r="M1019">
        <v>1038.3120000000001</v>
      </c>
      <c r="N1019">
        <v>692.20799999999997</v>
      </c>
      <c r="O1019" s="10">
        <v>302.78400000000016</v>
      </c>
      <c r="P1019" s="10">
        <v>0.29161176987263954</v>
      </c>
      <c r="Q1019" s="8">
        <v>1038.3119999999999</v>
      </c>
      <c r="R1019" t="s">
        <v>45</v>
      </c>
      <c r="S1019" t="s">
        <v>48</v>
      </c>
      <c r="T1019" t="s">
        <v>2931</v>
      </c>
      <c r="U1019">
        <v>0</v>
      </c>
      <c r="V1019" t="str">
        <f>IF(CleanedTable[[#This Row],[Returned]] = 0,"NO","Yes")</f>
        <v>NO</v>
      </c>
      <c r="W1019" t="s">
        <v>1068</v>
      </c>
      <c r="X1019" t="s">
        <v>2509</v>
      </c>
      <c r="Y1019" s="10">
        <v>43.32</v>
      </c>
      <c r="Z1019" s="3">
        <v>45251</v>
      </c>
      <c r="AA1019" s="3">
        <v>45254</v>
      </c>
      <c r="AB1019" t="s">
        <v>2923</v>
      </c>
      <c r="AC1019">
        <v>3</v>
      </c>
    </row>
    <row r="1020" spans="1:29" x14ac:dyDescent="0.3">
      <c r="A1020" s="3">
        <v>44936</v>
      </c>
      <c r="B1020" s="3" t="str">
        <f>TEXT(CleanedTable[[#This Row],[OrderDate]],"mmm")</f>
        <v>Jan</v>
      </c>
      <c r="C1020" s="3" t="str">
        <f>TEXT(CleanedTable[[#This Row],[OrderDate]],"yyyy")</f>
        <v>2023</v>
      </c>
      <c r="D1020" s="3" t="str">
        <f>TEXT(CleanedTable[[#This Row],[OrderDate]],"mmm yyyy")</f>
        <v>Jan 2023</v>
      </c>
      <c r="E1020" t="s">
        <v>23</v>
      </c>
      <c r="F1020" t="s">
        <v>27</v>
      </c>
      <c r="G1020" s="12">
        <v>14</v>
      </c>
      <c r="H1020" s="8">
        <v>250.98</v>
      </c>
      <c r="I1020" t="s">
        <v>33</v>
      </c>
      <c r="J1020" t="s">
        <v>36</v>
      </c>
      <c r="K1020" s="10">
        <v>0</v>
      </c>
      <c r="L1020" t="s">
        <v>37</v>
      </c>
      <c r="M1020">
        <v>3513.72</v>
      </c>
      <c r="N1020">
        <v>2108.232</v>
      </c>
      <c r="O1020" s="10">
        <v>1390.5479999999998</v>
      </c>
      <c r="P1020" s="10">
        <v>0.39574809603497146</v>
      </c>
      <c r="Q1020" s="8">
        <v>3513.72</v>
      </c>
      <c r="R1020" t="s">
        <v>46</v>
      </c>
      <c r="T1020" t="s">
        <v>2932</v>
      </c>
      <c r="U1020">
        <v>0</v>
      </c>
      <c r="V1020" t="str">
        <f>IF(CleanedTable[[#This Row],[Returned]] = 0,"NO","Yes")</f>
        <v>NO</v>
      </c>
      <c r="W1020" t="s">
        <v>1069</v>
      </c>
      <c r="X1020" t="s">
        <v>2510</v>
      </c>
      <c r="Y1020" s="10">
        <v>14.94</v>
      </c>
      <c r="Z1020" s="3">
        <v>44936</v>
      </c>
      <c r="AA1020" s="3">
        <v>44944</v>
      </c>
      <c r="AB1020" t="s">
        <v>2926</v>
      </c>
      <c r="AC1020">
        <v>8</v>
      </c>
    </row>
    <row r="1021" spans="1:29" x14ac:dyDescent="0.3">
      <c r="A1021" s="3">
        <v>44963</v>
      </c>
      <c r="B1021" s="3" t="str">
        <f>TEXT(CleanedTable[[#This Row],[OrderDate]],"mmm")</f>
        <v>Feb</v>
      </c>
      <c r="C1021" s="3" t="str">
        <f>TEXT(CleanedTable[[#This Row],[OrderDate]],"yyyy")</f>
        <v>2023</v>
      </c>
      <c r="D1021" s="3" t="str">
        <f>TEXT(CleanedTable[[#This Row],[OrderDate]],"mmm yyyy")</f>
        <v>Feb 2023</v>
      </c>
      <c r="E1021" t="s">
        <v>22</v>
      </c>
      <c r="F1021" t="s">
        <v>25</v>
      </c>
      <c r="G1021" s="12">
        <v>7</v>
      </c>
      <c r="H1021" s="8">
        <v>335.41</v>
      </c>
      <c r="I1021" t="s">
        <v>33</v>
      </c>
      <c r="J1021" t="s">
        <v>36</v>
      </c>
      <c r="K1021" s="10">
        <v>0</v>
      </c>
      <c r="L1021" t="s">
        <v>42</v>
      </c>
      <c r="M1021">
        <v>2347.8700000000003</v>
      </c>
      <c r="N1021">
        <v>1408.722</v>
      </c>
      <c r="O1021" s="10">
        <v>920.2380000000004</v>
      </c>
      <c r="P1021" s="10">
        <v>0.39194589138240205</v>
      </c>
      <c r="Q1021" s="8">
        <v>2347.87</v>
      </c>
      <c r="R1021" t="s">
        <v>43</v>
      </c>
      <c r="S1021" t="s">
        <v>49</v>
      </c>
      <c r="T1021" t="s">
        <v>2931</v>
      </c>
      <c r="U1021">
        <v>0</v>
      </c>
      <c r="V1021" t="str">
        <f>IF(CleanedTable[[#This Row],[Returned]] = 0,"NO","Yes")</f>
        <v>NO</v>
      </c>
      <c r="W1021" t="s">
        <v>1070</v>
      </c>
      <c r="X1021" t="s">
        <v>1820</v>
      </c>
      <c r="Y1021" s="10">
        <v>18.91</v>
      </c>
      <c r="Z1021" s="3">
        <v>44963</v>
      </c>
      <c r="AA1021" s="3">
        <v>44967</v>
      </c>
      <c r="AB1021" t="s">
        <v>2925</v>
      </c>
      <c r="AC1021">
        <v>4</v>
      </c>
    </row>
    <row r="1022" spans="1:29" x14ac:dyDescent="0.3">
      <c r="A1022" s="3">
        <v>45757</v>
      </c>
      <c r="B1022" s="3" t="str">
        <f>TEXT(CleanedTable[[#This Row],[OrderDate]],"mmm")</f>
        <v>Apr</v>
      </c>
      <c r="C1022" s="3" t="str">
        <f>TEXT(CleanedTable[[#This Row],[OrderDate]],"yyyy")</f>
        <v>2025</v>
      </c>
      <c r="D1022" s="3" t="str">
        <f>TEXT(CleanedTable[[#This Row],[OrderDate]],"mmm yyyy")</f>
        <v>Apr 2025</v>
      </c>
      <c r="E1022" t="s">
        <v>21</v>
      </c>
      <c r="F1022" t="s">
        <v>30</v>
      </c>
      <c r="G1022" s="12">
        <v>11</v>
      </c>
      <c r="H1022" s="8">
        <v>204.5</v>
      </c>
      <c r="I1022" t="s">
        <v>32</v>
      </c>
      <c r="J1022" t="s">
        <v>36</v>
      </c>
      <c r="K1022" s="10">
        <v>0</v>
      </c>
      <c r="L1022" t="s">
        <v>37</v>
      </c>
      <c r="M1022">
        <v>2249.5</v>
      </c>
      <c r="N1022">
        <v>1349.6999999999998</v>
      </c>
      <c r="O1022" s="10">
        <v>885.98000000000013</v>
      </c>
      <c r="P1022" s="10">
        <v>0.39385641253611919</v>
      </c>
      <c r="Q1022" s="8">
        <v>2249.5</v>
      </c>
      <c r="R1022" t="s">
        <v>46</v>
      </c>
      <c r="S1022" t="s">
        <v>50</v>
      </c>
      <c r="T1022" t="s">
        <v>2931</v>
      </c>
      <c r="U1022">
        <v>0</v>
      </c>
      <c r="V1022" t="str">
        <f>IF(CleanedTable[[#This Row],[Returned]] = 0,"NO","Yes")</f>
        <v>NO</v>
      </c>
      <c r="W1022" t="s">
        <v>1071</v>
      </c>
      <c r="X1022" t="s">
        <v>2413</v>
      </c>
      <c r="Y1022" s="10">
        <v>13.82</v>
      </c>
      <c r="Z1022" s="3">
        <v>45757</v>
      </c>
      <c r="AA1022" s="3">
        <v>45767</v>
      </c>
      <c r="AB1022" t="s">
        <v>2924</v>
      </c>
      <c r="AC1022">
        <v>10</v>
      </c>
    </row>
    <row r="1023" spans="1:29" x14ac:dyDescent="0.3">
      <c r="A1023" s="3">
        <v>45336</v>
      </c>
      <c r="B1023" s="3" t="str">
        <f>TEXT(CleanedTable[[#This Row],[OrderDate]],"mmm")</f>
        <v>Feb</v>
      </c>
      <c r="C1023" s="3" t="str">
        <f>TEXT(CleanedTable[[#This Row],[OrderDate]],"yyyy")</f>
        <v>2024</v>
      </c>
      <c r="D1023" s="3" t="str">
        <f>TEXT(CleanedTable[[#This Row],[OrderDate]],"mmm yyyy")</f>
        <v>Feb 2024</v>
      </c>
      <c r="E1023" t="s">
        <v>19</v>
      </c>
      <c r="F1023" t="s">
        <v>29</v>
      </c>
      <c r="G1023" s="12">
        <v>1</v>
      </c>
      <c r="H1023" s="8">
        <v>542.63</v>
      </c>
      <c r="I1023" t="s">
        <v>32</v>
      </c>
      <c r="J1023" t="s">
        <v>36</v>
      </c>
      <c r="K1023" s="10">
        <v>0.05</v>
      </c>
      <c r="L1023" t="s">
        <v>40</v>
      </c>
      <c r="M1023">
        <v>515.49849999999992</v>
      </c>
      <c r="N1023">
        <v>325.57799999999997</v>
      </c>
      <c r="O1023" s="10">
        <v>156.72049999999996</v>
      </c>
      <c r="P1023" s="10">
        <v>0.30401737347441354</v>
      </c>
      <c r="Q1023" s="8">
        <v>515.49849999999992</v>
      </c>
      <c r="R1023" t="s">
        <v>45</v>
      </c>
      <c r="T1023" t="s">
        <v>2932</v>
      </c>
      <c r="U1023">
        <v>0</v>
      </c>
      <c r="V1023" t="str">
        <f>IF(CleanedTable[[#This Row],[Returned]] = 0,"NO","Yes")</f>
        <v>NO</v>
      </c>
      <c r="W1023" t="s">
        <v>1072</v>
      </c>
      <c r="X1023" t="s">
        <v>2511</v>
      </c>
      <c r="Y1023" s="10">
        <v>33.200000000000003</v>
      </c>
      <c r="Z1023" s="3">
        <v>45336</v>
      </c>
      <c r="AA1023" s="3">
        <v>45343</v>
      </c>
      <c r="AB1023" t="s">
        <v>2922</v>
      </c>
      <c r="AC1023">
        <v>7</v>
      </c>
    </row>
    <row r="1024" spans="1:29" x14ac:dyDescent="0.3">
      <c r="A1024" s="3">
        <v>45803</v>
      </c>
      <c r="B1024" s="3" t="str">
        <f>TEXT(CleanedTable[[#This Row],[OrderDate]],"mmm")</f>
        <v>May</v>
      </c>
      <c r="C1024" s="3" t="str">
        <f>TEXT(CleanedTable[[#This Row],[OrderDate]],"yyyy")</f>
        <v>2025</v>
      </c>
      <c r="D1024" s="3" t="str">
        <f>TEXT(CleanedTable[[#This Row],[OrderDate]],"mmm yyyy")</f>
        <v>May 2025</v>
      </c>
      <c r="E1024" t="s">
        <v>19</v>
      </c>
      <c r="F1024" t="s">
        <v>25</v>
      </c>
      <c r="G1024" s="12">
        <v>1</v>
      </c>
      <c r="H1024" s="8">
        <v>204.54</v>
      </c>
      <c r="I1024" t="s">
        <v>34</v>
      </c>
      <c r="J1024" t="s">
        <v>36</v>
      </c>
      <c r="K1024" s="10">
        <v>0.1</v>
      </c>
      <c r="L1024" t="s">
        <v>40</v>
      </c>
      <c r="M1024">
        <v>184.08599999999998</v>
      </c>
      <c r="N1024">
        <v>122.72399999999999</v>
      </c>
      <c r="O1024" s="10">
        <v>43.60199999999999</v>
      </c>
      <c r="P1024" s="10">
        <v>0.23685668654867831</v>
      </c>
      <c r="Q1024" s="8">
        <v>184.08600000000001</v>
      </c>
      <c r="R1024" t="s">
        <v>43</v>
      </c>
      <c r="T1024" t="s">
        <v>2932</v>
      </c>
      <c r="U1024">
        <v>1</v>
      </c>
      <c r="V1024" t="str">
        <f>IF(CleanedTable[[#This Row],[Returned]] = 0,"NO","Yes")</f>
        <v>Yes</v>
      </c>
      <c r="W1024" t="s">
        <v>1073</v>
      </c>
      <c r="X1024" t="s">
        <v>2512</v>
      </c>
      <c r="Y1024" s="10">
        <v>17.760000000000002</v>
      </c>
      <c r="Z1024" s="3">
        <v>45803</v>
      </c>
      <c r="AA1024" s="3">
        <v>45806</v>
      </c>
      <c r="AB1024" t="s">
        <v>2922</v>
      </c>
      <c r="AC1024">
        <v>3</v>
      </c>
    </row>
    <row r="1025" spans="1:29" x14ac:dyDescent="0.3">
      <c r="A1025" s="3">
        <v>45181</v>
      </c>
      <c r="B1025" s="3" t="str">
        <f>TEXT(CleanedTable[[#This Row],[OrderDate]],"mmm")</f>
        <v>Sep</v>
      </c>
      <c r="C1025" s="3" t="str">
        <f>TEXT(CleanedTable[[#This Row],[OrderDate]],"yyyy")</f>
        <v>2023</v>
      </c>
      <c r="D1025" s="3" t="str">
        <f>TEXT(CleanedTable[[#This Row],[OrderDate]],"mmm yyyy")</f>
        <v>Sep 2023</v>
      </c>
      <c r="E1025" t="s">
        <v>23</v>
      </c>
      <c r="F1025" t="s">
        <v>27</v>
      </c>
      <c r="G1025" s="12">
        <v>10</v>
      </c>
      <c r="H1025" s="8">
        <v>419.58</v>
      </c>
      <c r="I1025" t="s">
        <v>32</v>
      </c>
      <c r="J1025" t="s">
        <v>35</v>
      </c>
      <c r="K1025" s="10">
        <v>0.15</v>
      </c>
      <c r="L1025" t="s">
        <v>37</v>
      </c>
      <c r="M1025">
        <v>3566.43</v>
      </c>
      <c r="N1025">
        <v>2517.48</v>
      </c>
      <c r="O1025" s="10">
        <v>1035.8599999999999</v>
      </c>
      <c r="P1025" s="10">
        <v>0.29044731005515317</v>
      </c>
      <c r="Q1025" s="8">
        <v>3566.43</v>
      </c>
      <c r="R1025" t="s">
        <v>46</v>
      </c>
      <c r="S1025" t="s">
        <v>48</v>
      </c>
      <c r="T1025" t="s">
        <v>2931</v>
      </c>
      <c r="U1025">
        <v>0</v>
      </c>
      <c r="V1025" t="str">
        <f>IF(CleanedTable[[#This Row],[Returned]] = 0,"NO","Yes")</f>
        <v>NO</v>
      </c>
      <c r="W1025" t="s">
        <v>1074</v>
      </c>
      <c r="X1025" t="s">
        <v>2308</v>
      </c>
      <c r="Y1025" s="10">
        <v>13.09</v>
      </c>
      <c r="Z1025" s="3">
        <v>45181</v>
      </c>
      <c r="AA1025" s="3">
        <v>45188</v>
      </c>
      <c r="AB1025" t="s">
        <v>2926</v>
      </c>
      <c r="AC1025">
        <v>7</v>
      </c>
    </row>
    <row r="1026" spans="1:29" x14ac:dyDescent="0.3">
      <c r="A1026" s="3">
        <v>45063</v>
      </c>
      <c r="B1026" s="3" t="str">
        <f>TEXT(CleanedTable[[#This Row],[OrderDate]],"mmm")</f>
        <v>May</v>
      </c>
      <c r="C1026" s="3" t="str">
        <f>TEXT(CleanedTable[[#This Row],[OrderDate]],"yyyy")</f>
        <v>2023</v>
      </c>
      <c r="D1026" s="3" t="str">
        <f>TEXT(CleanedTable[[#This Row],[OrderDate]],"mmm yyyy")</f>
        <v>May 2023</v>
      </c>
      <c r="E1026" t="s">
        <v>19</v>
      </c>
      <c r="F1026" t="s">
        <v>26</v>
      </c>
      <c r="G1026" s="12">
        <v>7</v>
      </c>
      <c r="H1026" s="8">
        <v>87.88</v>
      </c>
      <c r="I1026" t="s">
        <v>33</v>
      </c>
      <c r="J1026" t="s">
        <v>35</v>
      </c>
      <c r="K1026" s="10">
        <v>0.15</v>
      </c>
      <c r="L1026" t="s">
        <v>38</v>
      </c>
      <c r="M1026">
        <v>522.88599999999997</v>
      </c>
      <c r="N1026">
        <v>369.09599999999995</v>
      </c>
      <c r="O1026" s="10">
        <v>131.59000000000003</v>
      </c>
      <c r="P1026" s="10">
        <v>0.25166097390253334</v>
      </c>
      <c r="Q1026" s="8">
        <v>522.88599999999997</v>
      </c>
      <c r="R1026" t="s">
        <v>43</v>
      </c>
      <c r="S1026" t="s">
        <v>50</v>
      </c>
      <c r="T1026" t="s">
        <v>2931</v>
      </c>
      <c r="U1026">
        <v>1</v>
      </c>
      <c r="V1026" t="str">
        <f>IF(CleanedTable[[#This Row],[Returned]] = 0,"NO","Yes")</f>
        <v>Yes</v>
      </c>
      <c r="W1026" t="s">
        <v>1075</v>
      </c>
      <c r="X1026" t="s">
        <v>2513</v>
      </c>
      <c r="Y1026" s="10">
        <v>22.2</v>
      </c>
      <c r="Z1026" s="3">
        <v>45063</v>
      </c>
      <c r="AA1026" s="3">
        <v>45072</v>
      </c>
      <c r="AB1026" t="s">
        <v>2922</v>
      </c>
      <c r="AC1026">
        <v>9</v>
      </c>
    </row>
    <row r="1027" spans="1:29" x14ac:dyDescent="0.3">
      <c r="A1027" s="3">
        <v>45320</v>
      </c>
      <c r="B1027" s="3" t="str">
        <f>TEXT(CleanedTable[[#This Row],[OrderDate]],"mmm")</f>
        <v>Jan</v>
      </c>
      <c r="C1027" s="3" t="str">
        <f>TEXT(CleanedTable[[#This Row],[OrderDate]],"yyyy")</f>
        <v>2024</v>
      </c>
      <c r="D1027" s="3" t="str">
        <f>TEXT(CleanedTable[[#This Row],[OrderDate]],"mmm yyyy")</f>
        <v>Jan 2024</v>
      </c>
      <c r="E1027" t="s">
        <v>23</v>
      </c>
      <c r="F1027" t="s">
        <v>30</v>
      </c>
      <c r="G1027" s="12">
        <v>7</v>
      </c>
      <c r="H1027" s="8">
        <v>386.88</v>
      </c>
      <c r="I1027" t="s">
        <v>31</v>
      </c>
      <c r="J1027" t="s">
        <v>35</v>
      </c>
      <c r="K1027" s="10">
        <v>0.05</v>
      </c>
      <c r="L1027" t="s">
        <v>40</v>
      </c>
      <c r="M1027">
        <v>2572.752</v>
      </c>
      <c r="N1027">
        <v>1624.896</v>
      </c>
      <c r="O1027" s="10">
        <v>909.39599999999996</v>
      </c>
      <c r="P1027" s="10">
        <v>0.3534720797029795</v>
      </c>
      <c r="Q1027" s="8">
        <v>2572.752</v>
      </c>
      <c r="R1027" t="s">
        <v>47</v>
      </c>
      <c r="S1027" t="s">
        <v>49</v>
      </c>
      <c r="T1027" t="s">
        <v>2931</v>
      </c>
      <c r="U1027">
        <v>0</v>
      </c>
      <c r="V1027" t="str">
        <f>IF(CleanedTable[[#This Row],[Returned]] = 0,"NO","Yes")</f>
        <v>NO</v>
      </c>
      <c r="W1027" t="s">
        <v>1076</v>
      </c>
      <c r="X1027" t="s">
        <v>2514</v>
      </c>
      <c r="Y1027" s="10">
        <v>38.46</v>
      </c>
      <c r="Z1027" s="3">
        <v>45320</v>
      </c>
      <c r="AA1027" s="3">
        <v>45322</v>
      </c>
      <c r="AB1027" t="s">
        <v>2926</v>
      </c>
      <c r="AC1027">
        <v>2</v>
      </c>
    </row>
    <row r="1028" spans="1:29" x14ac:dyDescent="0.3">
      <c r="A1028" s="3">
        <v>45786</v>
      </c>
      <c r="B1028" s="3" t="str">
        <f>TEXT(CleanedTable[[#This Row],[OrderDate]],"mmm")</f>
        <v>May</v>
      </c>
      <c r="C1028" s="3" t="str">
        <f>TEXT(CleanedTable[[#This Row],[OrderDate]],"yyyy")</f>
        <v>2025</v>
      </c>
      <c r="D1028" s="3" t="str">
        <f>TEXT(CleanedTable[[#This Row],[OrderDate]],"mmm yyyy")</f>
        <v>May 2025</v>
      </c>
      <c r="E1028" t="s">
        <v>21</v>
      </c>
      <c r="F1028" t="s">
        <v>26</v>
      </c>
      <c r="G1028" s="12">
        <v>4</v>
      </c>
      <c r="H1028" s="8">
        <v>242.8</v>
      </c>
      <c r="I1028" t="s">
        <v>34</v>
      </c>
      <c r="J1028" t="s">
        <v>35</v>
      </c>
      <c r="K1028" s="10">
        <v>0.05</v>
      </c>
      <c r="L1028" t="s">
        <v>41</v>
      </c>
      <c r="M1028">
        <v>922.64</v>
      </c>
      <c r="N1028">
        <v>582.72</v>
      </c>
      <c r="O1028" s="10">
        <v>309.89</v>
      </c>
      <c r="P1028" s="10">
        <v>0.33587314662273476</v>
      </c>
      <c r="Q1028" s="8">
        <v>922.64</v>
      </c>
      <c r="R1028" t="s">
        <v>46</v>
      </c>
      <c r="S1028" t="s">
        <v>48</v>
      </c>
      <c r="T1028" t="s">
        <v>2931</v>
      </c>
      <c r="U1028">
        <v>0</v>
      </c>
      <c r="V1028" t="str">
        <f>IF(CleanedTable[[#This Row],[Returned]] = 0,"NO","Yes")</f>
        <v>NO</v>
      </c>
      <c r="W1028" t="s">
        <v>1077</v>
      </c>
      <c r="X1028" t="s">
        <v>2515</v>
      </c>
      <c r="Y1028" s="10">
        <v>30.03</v>
      </c>
      <c r="Z1028" s="3">
        <v>45786</v>
      </c>
      <c r="AA1028" s="3">
        <v>45795</v>
      </c>
      <c r="AB1028" t="s">
        <v>2924</v>
      </c>
      <c r="AC1028">
        <v>9</v>
      </c>
    </row>
    <row r="1029" spans="1:29" x14ac:dyDescent="0.3">
      <c r="A1029" s="3">
        <v>45387</v>
      </c>
      <c r="B1029" s="3" t="str">
        <f>TEXT(CleanedTable[[#This Row],[OrderDate]],"mmm")</f>
        <v>Apr</v>
      </c>
      <c r="C1029" s="3" t="str">
        <f>TEXT(CleanedTable[[#This Row],[OrderDate]],"yyyy")</f>
        <v>2024</v>
      </c>
      <c r="D1029" s="3" t="str">
        <f>TEXT(CleanedTable[[#This Row],[OrderDate]],"mmm yyyy")</f>
        <v>Apr 2024</v>
      </c>
      <c r="E1029" t="s">
        <v>19</v>
      </c>
      <c r="F1029" t="s">
        <v>30</v>
      </c>
      <c r="G1029" s="12">
        <v>4</v>
      </c>
      <c r="H1029" s="8">
        <v>410.59</v>
      </c>
      <c r="I1029" t="s">
        <v>32</v>
      </c>
      <c r="J1029" t="s">
        <v>36</v>
      </c>
      <c r="K1029" s="10">
        <v>0</v>
      </c>
      <c r="L1029" t="s">
        <v>37</v>
      </c>
      <c r="M1029">
        <v>1642.36</v>
      </c>
      <c r="N1029">
        <v>985.41599999999994</v>
      </c>
      <c r="O1029" s="10">
        <v>639.58399999999995</v>
      </c>
      <c r="P1029" s="10">
        <v>0.38942984485740034</v>
      </c>
      <c r="Q1029" s="8">
        <v>1642.36</v>
      </c>
      <c r="R1029" t="s">
        <v>47</v>
      </c>
      <c r="T1029" t="s">
        <v>2932</v>
      </c>
      <c r="U1029">
        <v>0</v>
      </c>
      <c r="V1029" t="str">
        <f>IF(CleanedTable[[#This Row],[Returned]] = 0,"NO","Yes")</f>
        <v>NO</v>
      </c>
      <c r="W1029" t="s">
        <v>1078</v>
      </c>
      <c r="X1029" t="s">
        <v>2516</v>
      </c>
      <c r="Y1029" s="10">
        <v>17.36</v>
      </c>
      <c r="Z1029" s="3">
        <v>45387</v>
      </c>
      <c r="AA1029" s="3">
        <v>45391</v>
      </c>
      <c r="AB1029" t="s">
        <v>2922</v>
      </c>
      <c r="AC1029">
        <v>4</v>
      </c>
    </row>
    <row r="1030" spans="1:29" x14ac:dyDescent="0.3">
      <c r="A1030" s="3">
        <v>45505</v>
      </c>
      <c r="B1030" s="3" t="str">
        <f>TEXT(CleanedTable[[#This Row],[OrderDate]],"mmm")</f>
        <v>Aug</v>
      </c>
      <c r="C1030" s="3" t="str">
        <f>TEXT(CleanedTable[[#This Row],[OrderDate]],"yyyy")</f>
        <v>2024</v>
      </c>
      <c r="D1030" s="3" t="str">
        <f>TEXT(CleanedTable[[#This Row],[OrderDate]],"mmm yyyy")</f>
        <v>Aug 2024</v>
      </c>
      <c r="E1030" t="s">
        <v>20</v>
      </c>
      <c r="F1030" t="s">
        <v>27</v>
      </c>
      <c r="G1030" s="12">
        <v>3</v>
      </c>
      <c r="H1030" s="8">
        <v>10.93</v>
      </c>
      <c r="I1030" t="s">
        <v>34</v>
      </c>
      <c r="J1030" t="s">
        <v>35</v>
      </c>
      <c r="K1030" s="10">
        <v>0.15</v>
      </c>
      <c r="L1030" t="s">
        <v>37</v>
      </c>
      <c r="M1030">
        <v>27.871499999999997</v>
      </c>
      <c r="N1030">
        <v>19.673999999999999</v>
      </c>
      <c r="O1030" s="10">
        <v>-10.812500000000004</v>
      </c>
      <c r="P1030" s="10">
        <v>-0.38794108677322731</v>
      </c>
      <c r="Q1030" s="8">
        <v>27.871500000000001</v>
      </c>
      <c r="R1030" t="s">
        <v>47</v>
      </c>
      <c r="S1030" t="s">
        <v>48</v>
      </c>
      <c r="T1030" t="s">
        <v>2931</v>
      </c>
      <c r="U1030">
        <v>0</v>
      </c>
      <c r="V1030" t="str">
        <f>IF(CleanedTable[[#This Row],[Returned]] = 0,"NO","Yes")</f>
        <v>NO</v>
      </c>
      <c r="W1030" t="s">
        <v>1079</v>
      </c>
      <c r="X1030" t="s">
        <v>2517</v>
      </c>
      <c r="Y1030" s="10">
        <v>19.010000000000002</v>
      </c>
      <c r="Z1030" s="3">
        <v>45505</v>
      </c>
      <c r="AA1030" s="3">
        <v>45514</v>
      </c>
      <c r="AB1030" t="s">
        <v>2923</v>
      </c>
      <c r="AC1030">
        <v>9</v>
      </c>
    </row>
    <row r="1031" spans="1:29" x14ac:dyDescent="0.3">
      <c r="A1031" s="3">
        <v>45483</v>
      </c>
      <c r="B1031" s="3" t="str">
        <f>TEXT(CleanedTable[[#This Row],[OrderDate]],"mmm")</f>
        <v>Jul</v>
      </c>
      <c r="C1031" s="3" t="str">
        <f>TEXT(CleanedTable[[#This Row],[OrderDate]],"yyyy")</f>
        <v>2024</v>
      </c>
      <c r="D1031" s="3" t="str">
        <f>TEXT(CleanedTable[[#This Row],[OrderDate]],"mmm yyyy")</f>
        <v>Jul 2024</v>
      </c>
      <c r="E1031" t="s">
        <v>20</v>
      </c>
      <c r="F1031" t="s">
        <v>27</v>
      </c>
      <c r="G1031" s="12">
        <v>20</v>
      </c>
      <c r="H1031" s="8">
        <v>150.16</v>
      </c>
      <c r="I1031" t="s">
        <v>33</v>
      </c>
      <c r="J1031" t="s">
        <v>35</v>
      </c>
      <c r="K1031" s="10">
        <v>0</v>
      </c>
      <c r="L1031" t="s">
        <v>42</v>
      </c>
      <c r="M1031">
        <v>3003.2</v>
      </c>
      <c r="N1031">
        <v>1801.9199999999998</v>
      </c>
      <c r="O1031" s="10">
        <v>1159.6199999999999</v>
      </c>
      <c r="P1031" s="10">
        <v>0.38612812999467233</v>
      </c>
      <c r="Q1031" s="8">
        <v>3003.2</v>
      </c>
      <c r="R1031" t="s">
        <v>47</v>
      </c>
      <c r="T1031" t="s">
        <v>2932</v>
      </c>
      <c r="U1031">
        <v>0</v>
      </c>
      <c r="V1031" t="str">
        <f>IF(CleanedTable[[#This Row],[Returned]] = 0,"NO","Yes")</f>
        <v>NO</v>
      </c>
      <c r="W1031" t="s">
        <v>1080</v>
      </c>
      <c r="X1031" t="s">
        <v>2518</v>
      </c>
      <c r="Y1031" s="10">
        <v>41.66</v>
      </c>
      <c r="Z1031" s="3">
        <v>45483</v>
      </c>
      <c r="AA1031" s="3">
        <v>45485</v>
      </c>
      <c r="AB1031" t="s">
        <v>2923</v>
      </c>
      <c r="AC1031">
        <v>2</v>
      </c>
    </row>
    <row r="1032" spans="1:29" x14ac:dyDescent="0.3">
      <c r="A1032" s="3">
        <v>45458</v>
      </c>
      <c r="B1032" s="3" t="str">
        <f>TEXT(CleanedTable[[#This Row],[OrderDate]],"mmm")</f>
        <v>Jun</v>
      </c>
      <c r="C1032" s="3" t="str">
        <f>TEXT(CleanedTable[[#This Row],[OrderDate]],"yyyy")</f>
        <v>2024</v>
      </c>
      <c r="D1032" s="3" t="str">
        <f>TEXT(CleanedTable[[#This Row],[OrderDate]],"mmm yyyy")</f>
        <v>Jun 2024</v>
      </c>
      <c r="E1032" t="s">
        <v>19</v>
      </c>
      <c r="F1032" t="s">
        <v>27</v>
      </c>
      <c r="G1032" s="12">
        <v>1</v>
      </c>
      <c r="H1032" s="8">
        <v>394.41</v>
      </c>
      <c r="I1032" t="s">
        <v>31</v>
      </c>
      <c r="J1032" t="s">
        <v>36</v>
      </c>
      <c r="K1032" s="10">
        <v>0.1</v>
      </c>
      <c r="L1032" t="s">
        <v>38</v>
      </c>
      <c r="M1032">
        <v>354.96900000000005</v>
      </c>
      <c r="N1032">
        <v>236.64600000000002</v>
      </c>
      <c r="O1032" s="10">
        <v>111.95300000000003</v>
      </c>
      <c r="P1032" s="10">
        <v>0.31538810431333447</v>
      </c>
      <c r="Q1032" s="8">
        <v>354.96900000000011</v>
      </c>
      <c r="R1032" t="s">
        <v>44</v>
      </c>
      <c r="S1032" t="s">
        <v>50</v>
      </c>
      <c r="T1032" t="s">
        <v>2931</v>
      </c>
      <c r="U1032">
        <v>0</v>
      </c>
      <c r="V1032" t="str">
        <f>IF(CleanedTable[[#This Row],[Returned]] = 0,"NO","Yes")</f>
        <v>NO</v>
      </c>
      <c r="W1032" t="s">
        <v>1081</v>
      </c>
      <c r="X1032" t="s">
        <v>2519</v>
      </c>
      <c r="Y1032" s="10">
        <v>6.37</v>
      </c>
      <c r="Z1032" s="3">
        <v>45458</v>
      </c>
      <c r="AA1032" s="3">
        <v>45463</v>
      </c>
      <c r="AB1032" t="s">
        <v>2922</v>
      </c>
      <c r="AC1032">
        <v>5</v>
      </c>
    </row>
    <row r="1033" spans="1:29" x14ac:dyDescent="0.3">
      <c r="A1033" s="3">
        <v>45434</v>
      </c>
      <c r="B1033" s="3" t="str">
        <f>TEXT(CleanedTable[[#This Row],[OrderDate]],"mmm")</f>
        <v>May</v>
      </c>
      <c r="C1033" s="3" t="str">
        <f>TEXT(CleanedTable[[#This Row],[OrderDate]],"yyyy")</f>
        <v>2024</v>
      </c>
      <c r="D1033" s="3" t="str">
        <f>TEXT(CleanedTable[[#This Row],[OrderDate]],"mmm yyyy")</f>
        <v>May 2024</v>
      </c>
      <c r="E1033" t="s">
        <v>19</v>
      </c>
      <c r="F1033" t="s">
        <v>28</v>
      </c>
      <c r="G1033" s="12">
        <v>6</v>
      </c>
      <c r="H1033" s="8">
        <v>535.38</v>
      </c>
      <c r="I1033" t="s">
        <v>33</v>
      </c>
      <c r="J1033" t="s">
        <v>35</v>
      </c>
      <c r="K1033" s="10">
        <v>0.15</v>
      </c>
      <c r="L1033" t="s">
        <v>38</v>
      </c>
      <c r="M1033">
        <v>2730.4379999999996</v>
      </c>
      <c r="N1033">
        <v>1927.3679999999999</v>
      </c>
      <c r="O1033" s="10">
        <v>754.40999999999974</v>
      </c>
      <c r="P1033" s="10">
        <v>0.27629633047884622</v>
      </c>
      <c r="Q1033" s="8">
        <v>2730.4380000000001</v>
      </c>
      <c r="R1033" t="s">
        <v>43</v>
      </c>
      <c r="T1033" t="s">
        <v>2932</v>
      </c>
      <c r="U1033">
        <v>0</v>
      </c>
      <c r="V1033" t="str">
        <f>IF(CleanedTable[[#This Row],[Returned]] = 0,"NO","Yes")</f>
        <v>NO</v>
      </c>
      <c r="W1033" t="s">
        <v>1082</v>
      </c>
      <c r="X1033" t="s">
        <v>2520</v>
      </c>
      <c r="Y1033" s="10">
        <v>48.66</v>
      </c>
      <c r="Z1033" s="3">
        <v>45434</v>
      </c>
      <c r="AA1033" s="3">
        <v>45441</v>
      </c>
      <c r="AB1033" t="s">
        <v>2922</v>
      </c>
      <c r="AC1033">
        <v>7</v>
      </c>
    </row>
    <row r="1034" spans="1:29" x14ac:dyDescent="0.3">
      <c r="A1034" s="3">
        <v>45305</v>
      </c>
      <c r="B1034" s="3" t="str">
        <f>TEXT(CleanedTable[[#This Row],[OrderDate]],"mmm")</f>
        <v>Jan</v>
      </c>
      <c r="C1034" s="3" t="str">
        <f>TEXT(CleanedTable[[#This Row],[OrderDate]],"yyyy")</f>
        <v>2024</v>
      </c>
      <c r="D1034" s="3" t="str">
        <f>TEXT(CleanedTable[[#This Row],[OrderDate]],"mmm yyyy")</f>
        <v>Jan 2024</v>
      </c>
      <c r="E1034" t="s">
        <v>19</v>
      </c>
      <c r="F1034" t="s">
        <v>28</v>
      </c>
      <c r="G1034" s="12">
        <v>19</v>
      </c>
      <c r="H1034" s="8">
        <v>407.82</v>
      </c>
      <c r="I1034" t="s">
        <v>34</v>
      </c>
      <c r="J1034" t="s">
        <v>36</v>
      </c>
      <c r="K1034" s="10">
        <v>0.05</v>
      </c>
      <c r="L1034" t="s">
        <v>41</v>
      </c>
      <c r="M1034">
        <v>7361.1509999999998</v>
      </c>
      <c r="N1034">
        <v>4649.1479999999992</v>
      </c>
      <c r="O1034" s="10">
        <v>2673.0230000000006</v>
      </c>
      <c r="P1034" s="10">
        <v>0.36312568510006121</v>
      </c>
      <c r="Q1034" s="8">
        <v>7361.1509999999998</v>
      </c>
      <c r="R1034" t="s">
        <v>44</v>
      </c>
      <c r="S1034" t="s">
        <v>48</v>
      </c>
      <c r="T1034" t="s">
        <v>2931</v>
      </c>
      <c r="U1034">
        <v>0</v>
      </c>
      <c r="V1034" t="str">
        <f>IF(CleanedTable[[#This Row],[Returned]] = 0,"NO","Yes")</f>
        <v>NO</v>
      </c>
      <c r="W1034" t="s">
        <v>1083</v>
      </c>
      <c r="X1034" t="s">
        <v>2521</v>
      </c>
      <c r="Y1034" s="10">
        <v>38.979999999999997</v>
      </c>
      <c r="Z1034" s="3">
        <v>45305</v>
      </c>
      <c r="AA1034" s="3">
        <v>45309</v>
      </c>
      <c r="AB1034" t="s">
        <v>2922</v>
      </c>
      <c r="AC1034">
        <v>4</v>
      </c>
    </row>
    <row r="1035" spans="1:29" x14ac:dyDescent="0.3">
      <c r="A1035" s="3">
        <v>45596</v>
      </c>
      <c r="B1035" s="3" t="str">
        <f>TEXT(CleanedTable[[#This Row],[OrderDate]],"mmm")</f>
        <v>Oct</v>
      </c>
      <c r="C1035" s="3" t="str">
        <f>TEXT(CleanedTable[[#This Row],[OrderDate]],"yyyy")</f>
        <v>2024</v>
      </c>
      <c r="D1035" s="3" t="str">
        <f>TEXT(CleanedTable[[#This Row],[OrderDate]],"mmm yyyy")</f>
        <v>Oct 2024</v>
      </c>
      <c r="E1035" t="s">
        <v>21</v>
      </c>
      <c r="F1035" t="s">
        <v>29</v>
      </c>
      <c r="G1035" s="12">
        <v>16</v>
      </c>
      <c r="H1035" s="8">
        <v>120.83</v>
      </c>
      <c r="I1035" t="s">
        <v>31</v>
      </c>
      <c r="J1035" t="s">
        <v>36</v>
      </c>
      <c r="K1035" s="10">
        <v>0.05</v>
      </c>
      <c r="L1035" t="s">
        <v>40</v>
      </c>
      <c r="M1035">
        <v>1836.616</v>
      </c>
      <c r="N1035">
        <v>1159.9679999999998</v>
      </c>
      <c r="O1035" s="10">
        <v>637.00800000000015</v>
      </c>
      <c r="P1035" s="10">
        <v>0.34683788010122973</v>
      </c>
      <c r="Q1035" s="8">
        <v>1836.616</v>
      </c>
      <c r="R1035" t="s">
        <v>47</v>
      </c>
      <c r="S1035" t="s">
        <v>50</v>
      </c>
      <c r="T1035" t="s">
        <v>2931</v>
      </c>
      <c r="U1035">
        <v>1</v>
      </c>
      <c r="V1035" t="str">
        <f>IF(CleanedTable[[#This Row],[Returned]] = 0,"NO","Yes")</f>
        <v>Yes</v>
      </c>
      <c r="W1035" t="s">
        <v>1084</v>
      </c>
      <c r="X1035" t="s">
        <v>1964</v>
      </c>
      <c r="Y1035" s="10">
        <v>39.64</v>
      </c>
      <c r="Z1035" s="3">
        <v>45596</v>
      </c>
      <c r="AA1035" s="3">
        <v>45598</v>
      </c>
      <c r="AB1035" t="s">
        <v>2924</v>
      </c>
      <c r="AC1035">
        <v>2</v>
      </c>
    </row>
    <row r="1036" spans="1:29" x14ac:dyDescent="0.3">
      <c r="A1036" s="3">
        <v>45405</v>
      </c>
      <c r="B1036" s="3" t="str">
        <f>TEXT(CleanedTable[[#This Row],[OrderDate]],"mmm")</f>
        <v>Apr</v>
      </c>
      <c r="C1036" s="3" t="str">
        <f>TEXT(CleanedTable[[#This Row],[OrderDate]],"yyyy")</f>
        <v>2024</v>
      </c>
      <c r="D1036" s="3" t="str">
        <f>TEXT(CleanedTable[[#This Row],[OrderDate]],"mmm yyyy")</f>
        <v>Apr 2024</v>
      </c>
      <c r="E1036" t="s">
        <v>23</v>
      </c>
      <c r="F1036" t="s">
        <v>30</v>
      </c>
      <c r="G1036" s="12">
        <v>7</v>
      </c>
      <c r="H1036" s="8">
        <v>39.53</v>
      </c>
      <c r="I1036" t="s">
        <v>34</v>
      </c>
      <c r="J1036" t="s">
        <v>36</v>
      </c>
      <c r="K1036" s="10">
        <v>0.1</v>
      </c>
      <c r="L1036" t="s">
        <v>40</v>
      </c>
      <c r="M1036">
        <v>249.03900000000004</v>
      </c>
      <c r="N1036">
        <v>166.02600000000001</v>
      </c>
      <c r="O1036" s="10">
        <v>64.853000000000037</v>
      </c>
      <c r="P1036" s="10">
        <v>0.26041302767839586</v>
      </c>
      <c r="Q1036" s="8">
        <v>249.03899999999999</v>
      </c>
      <c r="R1036" t="s">
        <v>46</v>
      </c>
      <c r="S1036" t="s">
        <v>50</v>
      </c>
      <c r="T1036" t="s">
        <v>2931</v>
      </c>
      <c r="U1036">
        <v>0</v>
      </c>
      <c r="V1036" t="str">
        <f>IF(CleanedTable[[#This Row],[Returned]] = 0,"NO","Yes")</f>
        <v>NO</v>
      </c>
      <c r="W1036" t="s">
        <v>1085</v>
      </c>
      <c r="X1036" t="s">
        <v>2522</v>
      </c>
      <c r="Y1036" s="10">
        <v>18.16</v>
      </c>
      <c r="Z1036" s="3">
        <v>45405</v>
      </c>
      <c r="AA1036" s="3">
        <v>45411</v>
      </c>
      <c r="AB1036" t="s">
        <v>2926</v>
      </c>
      <c r="AC1036">
        <v>6</v>
      </c>
    </row>
    <row r="1037" spans="1:29" x14ac:dyDescent="0.3">
      <c r="A1037" s="3">
        <v>45091</v>
      </c>
      <c r="B1037" s="3" t="str">
        <f>TEXT(CleanedTable[[#This Row],[OrderDate]],"mmm")</f>
        <v>Jun</v>
      </c>
      <c r="C1037" s="3" t="str">
        <f>TEXT(CleanedTable[[#This Row],[OrderDate]],"yyyy")</f>
        <v>2023</v>
      </c>
      <c r="D1037" s="3" t="str">
        <f>TEXT(CleanedTable[[#This Row],[OrderDate]],"mmm yyyy")</f>
        <v>Jun 2023</v>
      </c>
      <c r="E1037" t="s">
        <v>20</v>
      </c>
      <c r="F1037" t="s">
        <v>29</v>
      </c>
      <c r="G1037" s="12">
        <v>2</v>
      </c>
      <c r="H1037" s="8">
        <v>224.08</v>
      </c>
      <c r="I1037" t="s">
        <v>32</v>
      </c>
      <c r="J1037" t="s">
        <v>36</v>
      </c>
      <c r="K1037" s="10">
        <v>0.05</v>
      </c>
      <c r="L1037" t="s">
        <v>39</v>
      </c>
      <c r="M1037">
        <v>425.75200000000001</v>
      </c>
      <c r="N1037">
        <v>268.89600000000002</v>
      </c>
      <c r="O1037" s="10">
        <v>109.506</v>
      </c>
      <c r="P1037" s="10">
        <v>0.25720607301903453</v>
      </c>
      <c r="Q1037" s="8">
        <v>425.75200000000001</v>
      </c>
      <c r="R1037" t="s">
        <v>45</v>
      </c>
      <c r="S1037" t="s">
        <v>50</v>
      </c>
      <c r="T1037" t="s">
        <v>2931</v>
      </c>
      <c r="U1037">
        <v>0</v>
      </c>
      <c r="V1037" t="str">
        <f>IF(CleanedTable[[#This Row],[Returned]] = 0,"NO","Yes")</f>
        <v>NO</v>
      </c>
      <c r="W1037" t="s">
        <v>1086</v>
      </c>
      <c r="X1037" t="s">
        <v>2523</v>
      </c>
      <c r="Y1037" s="10">
        <v>47.35</v>
      </c>
      <c r="Z1037" s="3">
        <v>45091</v>
      </c>
      <c r="AA1037" s="3">
        <v>45097</v>
      </c>
      <c r="AB1037" t="s">
        <v>2923</v>
      </c>
      <c r="AC1037">
        <v>6</v>
      </c>
    </row>
    <row r="1038" spans="1:29" x14ac:dyDescent="0.3">
      <c r="A1038" s="3">
        <v>45350</v>
      </c>
      <c r="B1038" s="3" t="str">
        <f>TEXT(CleanedTable[[#This Row],[OrderDate]],"mmm")</f>
        <v>Feb</v>
      </c>
      <c r="C1038" s="3" t="str">
        <f>TEXT(CleanedTable[[#This Row],[OrderDate]],"yyyy")</f>
        <v>2024</v>
      </c>
      <c r="D1038" s="3" t="str">
        <f>TEXT(CleanedTable[[#This Row],[OrderDate]],"mmm yyyy")</f>
        <v>Feb 2024</v>
      </c>
      <c r="E1038" t="s">
        <v>21</v>
      </c>
      <c r="F1038" t="s">
        <v>30</v>
      </c>
      <c r="G1038" s="12">
        <v>11</v>
      </c>
      <c r="H1038" s="8">
        <v>382.08</v>
      </c>
      <c r="I1038" t="s">
        <v>34</v>
      </c>
      <c r="J1038" t="s">
        <v>35</v>
      </c>
      <c r="K1038" s="10">
        <v>0.05</v>
      </c>
      <c r="L1038" t="s">
        <v>39</v>
      </c>
      <c r="M1038">
        <v>3992.7359999999999</v>
      </c>
      <c r="N1038">
        <v>2521.7280000000001</v>
      </c>
      <c r="O1038" s="10">
        <v>1465.0579999999998</v>
      </c>
      <c r="P1038" s="10">
        <v>0.36693084641709339</v>
      </c>
      <c r="Q1038" s="8">
        <v>3992.7359999999999</v>
      </c>
      <c r="R1038" t="s">
        <v>47</v>
      </c>
      <c r="S1038" t="s">
        <v>50</v>
      </c>
      <c r="T1038" t="s">
        <v>2931</v>
      </c>
      <c r="U1038">
        <v>0</v>
      </c>
      <c r="V1038" t="str">
        <f>IF(CleanedTable[[#This Row],[Returned]] = 0,"NO","Yes")</f>
        <v>NO</v>
      </c>
      <c r="W1038" t="s">
        <v>1087</v>
      </c>
      <c r="X1038" t="s">
        <v>2524</v>
      </c>
      <c r="Y1038" s="10">
        <v>5.95</v>
      </c>
      <c r="Z1038" s="3">
        <v>45350</v>
      </c>
      <c r="AA1038" s="3">
        <v>45353</v>
      </c>
      <c r="AB1038" t="s">
        <v>2924</v>
      </c>
      <c r="AC1038">
        <v>3</v>
      </c>
    </row>
    <row r="1039" spans="1:29" x14ac:dyDescent="0.3">
      <c r="A1039" s="3">
        <v>45462</v>
      </c>
      <c r="B1039" s="3" t="str">
        <f>TEXT(CleanedTable[[#This Row],[OrderDate]],"mmm")</f>
        <v>Jun</v>
      </c>
      <c r="C1039" s="3" t="str">
        <f>TEXT(CleanedTable[[#This Row],[OrderDate]],"yyyy")</f>
        <v>2024</v>
      </c>
      <c r="D1039" s="3" t="str">
        <f>TEXT(CleanedTable[[#This Row],[OrderDate]],"mmm yyyy")</f>
        <v>Jun 2024</v>
      </c>
      <c r="E1039" t="s">
        <v>20</v>
      </c>
      <c r="F1039" t="s">
        <v>30</v>
      </c>
      <c r="G1039" s="12">
        <v>9</v>
      </c>
      <c r="H1039" s="8">
        <v>88.49</v>
      </c>
      <c r="I1039" t="s">
        <v>34</v>
      </c>
      <c r="J1039" t="s">
        <v>35</v>
      </c>
      <c r="K1039" s="10">
        <v>0.05</v>
      </c>
      <c r="L1039" t="s">
        <v>41</v>
      </c>
      <c r="M1039">
        <v>756.58949999999993</v>
      </c>
      <c r="N1039">
        <v>477.84599999999995</v>
      </c>
      <c r="O1039" s="10">
        <v>243.14349999999999</v>
      </c>
      <c r="P1039" s="10">
        <v>0.3213677958787427</v>
      </c>
      <c r="Q1039" s="8">
        <v>756.58949999999993</v>
      </c>
      <c r="R1039" t="s">
        <v>43</v>
      </c>
      <c r="T1039" t="s">
        <v>2932</v>
      </c>
      <c r="U1039">
        <v>0</v>
      </c>
      <c r="V1039" t="str">
        <f>IF(CleanedTable[[#This Row],[Returned]] = 0,"NO","Yes")</f>
        <v>NO</v>
      </c>
      <c r="W1039" t="s">
        <v>1088</v>
      </c>
      <c r="X1039" t="s">
        <v>2525</v>
      </c>
      <c r="Y1039" s="10">
        <v>35.6</v>
      </c>
      <c r="Z1039" s="3">
        <v>45462</v>
      </c>
      <c r="AA1039" s="3">
        <v>45469</v>
      </c>
      <c r="AB1039" t="s">
        <v>2923</v>
      </c>
      <c r="AC1039">
        <v>7</v>
      </c>
    </row>
    <row r="1040" spans="1:29" x14ac:dyDescent="0.3">
      <c r="A1040" s="3">
        <v>45003</v>
      </c>
      <c r="B1040" s="3" t="str">
        <f>TEXT(CleanedTable[[#This Row],[OrderDate]],"mmm")</f>
        <v>Mar</v>
      </c>
      <c r="C1040" s="3" t="str">
        <f>TEXT(CleanedTable[[#This Row],[OrderDate]],"yyyy")</f>
        <v>2023</v>
      </c>
      <c r="D1040" s="3" t="str">
        <f>TEXT(CleanedTable[[#This Row],[OrderDate]],"mmm yyyy")</f>
        <v>Mar 2023</v>
      </c>
      <c r="E1040" t="s">
        <v>22</v>
      </c>
      <c r="F1040" t="s">
        <v>29</v>
      </c>
      <c r="G1040" s="12">
        <v>20</v>
      </c>
      <c r="H1040" s="8">
        <v>139.1</v>
      </c>
      <c r="I1040" t="s">
        <v>33</v>
      </c>
      <c r="J1040" t="s">
        <v>35</v>
      </c>
      <c r="K1040" s="10">
        <v>0.05</v>
      </c>
      <c r="L1040" t="s">
        <v>40</v>
      </c>
      <c r="M1040">
        <v>2642.9</v>
      </c>
      <c r="N1040">
        <v>1669.1999999999998</v>
      </c>
      <c r="O1040" s="10">
        <v>943.48000000000025</v>
      </c>
      <c r="P1040" s="10">
        <v>0.35698664345983588</v>
      </c>
      <c r="Q1040" s="8">
        <v>2642.9</v>
      </c>
      <c r="R1040" t="s">
        <v>43</v>
      </c>
      <c r="S1040" t="s">
        <v>48</v>
      </c>
      <c r="T1040" t="s">
        <v>2931</v>
      </c>
      <c r="U1040">
        <v>0</v>
      </c>
      <c r="V1040" t="str">
        <f>IF(CleanedTable[[#This Row],[Returned]] = 0,"NO","Yes")</f>
        <v>NO</v>
      </c>
      <c r="W1040" t="s">
        <v>1089</v>
      </c>
      <c r="X1040" t="s">
        <v>2526</v>
      </c>
      <c r="Y1040" s="10">
        <v>30.22</v>
      </c>
      <c r="Z1040" s="3">
        <v>45003</v>
      </c>
      <c r="AA1040" s="3">
        <v>45005</v>
      </c>
      <c r="AB1040" t="s">
        <v>2925</v>
      </c>
      <c r="AC1040">
        <v>2</v>
      </c>
    </row>
    <row r="1041" spans="1:29" x14ac:dyDescent="0.3">
      <c r="A1041" s="3">
        <v>45006</v>
      </c>
      <c r="B1041" s="3" t="str">
        <f>TEXT(CleanedTable[[#This Row],[OrderDate]],"mmm")</f>
        <v>Mar</v>
      </c>
      <c r="C1041" s="3" t="str">
        <f>TEXT(CleanedTable[[#This Row],[OrderDate]],"yyyy")</f>
        <v>2023</v>
      </c>
      <c r="D1041" s="3" t="str">
        <f>TEXT(CleanedTable[[#This Row],[OrderDate]],"mmm yyyy")</f>
        <v>Mar 2023</v>
      </c>
      <c r="E1041" t="s">
        <v>23</v>
      </c>
      <c r="F1041" t="s">
        <v>26</v>
      </c>
      <c r="G1041" s="12">
        <v>19</v>
      </c>
      <c r="H1041" s="8">
        <v>322.35000000000002</v>
      </c>
      <c r="I1041" t="s">
        <v>34</v>
      </c>
      <c r="J1041" t="s">
        <v>35</v>
      </c>
      <c r="K1041" s="10">
        <v>0.1</v>
      </c>
      <c r="L1041" t="s">
        <v>38</v>
      </c>
      <c r="M1041">
        <v>5512.1850000000004</v>
      </c>
      <c r="N1041">
        <v>3674.79</v>
      </c>
      <c r="O1041" s="10">
        <v>1807.3350000000005</v>
      </c>
      <c r="P1041" s="10">
        <v>0.32787996048753815</v>
      </c>
      <c r="Q1041" s="8">
        <v>5512.1850000000004</v>
      </c>
      <c r="R1041" t="s">
        <v>46</v>
      </c>
      <c r="S1041" t="s">
        <v>50</v>
      </c>
      <c r="T1041" t="s">
        <v>2931</v>
      </c>
      <c r="U1041">
        <v>0</v>
      </c>
      <c r="V1041" t="str">
        <f>IF(CleanedTable[[#This Row],[Returned]] = 0,"NO","Yes")</f>
        <v>NO</v>
      </c>
      <c r="W1041" t="s">
        <v>1090</v>
      </c>
      <c r="X1041" t="s">
        <v>2527</v>
      </c>
      <c r="Y1041" s="10">
        <v>30.06</v>
      </c>
      <c r="Z1041" s="3">
        <v>45006</v>
      </c>
      <c r="AA1041" s="3">
        <v>45016</v>
      </c>
      <c r="AB1041" t="s">
        <v>2926</v>
      </c>
      <c r="AC1041">
        <v>10</v>
      </c>
    </row>
    <row r="1042" spans="1:29" x14ac:dyDescent="0.3">
      <c r="A1042" s="3">
        <v>45440</v>
      </c>
      <c r="B1042" s="3" t="str">
        <f>TEXT(CleanedTable[[#This Row],[OrderDate]],"mmm")</f>
        <v>May</v>
      </c>
      <c r="C1042" s="3" t="str">
        <f>TEXT(CleanedTable[[#This Row],[OrderDate]],"yyyy")</f>
        <v>2024</v>
      </c>
      <c r="D1042" s="3" t="str">
        <f>TEXT(CleanedTable[[#This Row],[OrderDate]],"mmm yyyy")</f>
        <v>May 2024</v>
      </c>
      <c r="E1042" t="s">
        <v>19</v>
      </c>
      <c r="F1042" t="s">
        <v>30</v>
      </c>
      <c r="G1042" s="12">
        <v>16</v>
      </c>
      <c r="H1042" s="8">
        <v>334.55</v>
      </c>
      <c r="I1042" t="s">
        <v>31</v>
      </c>
      <c r="J1042" t="s">
        <v>35</v>
      </c>
      <c r="K1042" s="10">
        <v>0.1</v>
      </c>
      <c r="L1042" t="s">
        <v>37</v>
      </c>
      <c r="M1042">
        <v>4817.5200000000004</v>
      </c>
      <c r="N1042">
        <v>3211.68</v>
      </c>
      <c r="O1042" s="10">
        <v>1568.4200000000005</v>
      </c>
      <c r="P1042" s="10">
        <v>0.32556585130938748</v>
      </c>
      <c r="Q1042" s="8">
        <v>4817.5200000000004</v>
      </c>
      <c r="R1042" t="s">
        <v>45</v>
      </c>
      <c r="S1042" t="s">
        <v>49</v>
      </c>
      <c r="T1042" t="s">
        <v>2931</v>
      </c>
      <c r="U1042">
        <v>0</v>
      </c>
      <c r="V1042" t="str">
        <f>IF(CleanedTable[[#This Row],[Returned]] = 0,"NO","Yes")</f>
        <v>NO</v>
      </c>
      <c r="W1042" t="s">
        <v>1091</v>
      </c>
      <c r="X1042" t="s">
        <v>2528</v>
      </c>
      <c r="Y1042" s="10">
        <v>37.42</v>
      </c>
      <c r="Z1042" s="3">
        <v>45440</v>
      </c>
      <c r="AA1042" s="3">
        <v>45444</v>
      </c>
      <c r="AB1042" t="s">
        <v>2922</v>
      </c>
      <c r="AC1042">
        <v>4</v>
      </c>
    </row>
    <row r="1043" spans="1:29" x14ac:dyDescent="0.3">
      <c r="A1043" s="3">
        <v>45012</v>
      </c>
      <c r="B1043" s="3" t="str">
        <f>TEXT(CleanedTable[[#This Row],[OrderDate]],"mmm")</f>
        <v>Mar</v>
      </c>
      <c r="C1043" s="3" t="str">
        <f>TEXT(CleanedTable[[#This Row],[OrderDate]],"yyyy")</f>
        <v>2023</v>
      </c>
      <c r="D1043" s="3" t="str">
        <f>TEXT(CleanedTable[[#This Row],[OrderDate]],"mmm yyyy")</f>
        <v>Mar 2023</v>
      </c>
      <c r="E1043" t="s">
        <v>23</v>
      </c>
      <c r="F1043" t="s">
        <v>26</v>
      </c>
      <c r="G1043" s="12">
        <v>20</v>
      </c>
      <c r="H1043" s="8">
        <v>332.48</v>
      </c>
      <c r="I1043" t="s">
        <v>31</v>
      </c>
      <c r="J1043" t="s">
        <v>35</v>
      </c>
      <c r="K1043" s="10">
        <v>0</v>
      </c>
      <c r="L1043" t="s">
        <v>37</v>
      </c>
      <c r="M1043">
        <v>6649.6</v>
      </c>
      <c r="N1043">
        <v>3989.76</v>
      </c>
      <c r="O1043" s="10">
        <v>2652.05</v>
      </c>
      <c r="P1043" s="10">
        <v>0.39882850096246392</v>
      </c>
      <c r="Q1043" s="8">
        <v>6649.6</v>
      </c>
      <c r="R1043" t="s">
        <v>43</v>
      </c>
      <c r="S1043" t="s">
        <v>49</v>
      </c>
      <c r="T1043" t="s">
        <v>2931</v>
      </c>
      <c r="U1043">
        <v>1</v>
      </c>
      <c r="V1043" t="str">
        <f>IF(CleanedTable[[#This Row],[Returned]] = 0,"NO","Yes")</f>
        <v>Yes</v>
      </c>
      <c r="W1043" t="s">
        <v>1092</v>
      </c>
      <c r="X1043" t="s">
        <v>2529</v>
      </c>
      <c r="Y1043" s="10">
        <v>7.79</v>
      </c>
      <c r="Z1043" s="3">
        <v>45012</v>
      </c>
      <c r="AA1043" s="3">
        <v>45015</v>
      </c>
      <c r="AB1043" t="s">
        <v>2926</v>
      </c>
      <c r="AC1043">
        <v>3</v>
      </c>
    </row>
    <row r="1044" spans="1:29" x14ac:dyDescent="0.3">
      <c r="A1044" s="3">
        <v>45096</v>
      </c>
      <c r="B1044" s="3" t="str">
        <f>TEXT(CleanedTable[[#This Row],[OrderDate]],"mmm")</f>
        <v>Jun</v>
      </c>
      <c r="C1044" s="3" t="str">
        <f>TEXT(CleanedTable[[#This Row],[OrderDate]],"yyyy")</f>
        <v>2023</v>
      </c>
      <c r="D1044" s="3" t="str">
        <f>TEXT(CleanedTable[[#This Row],[OrderDate]],"mmm yyyy")</f>
        <v>Jun 2023</v>
      </c>
      <c r="E1044" t="s">
        <v>22</v>
      </c>
      <c r="F1044" t="s">
        <v>30</v>
      </c>
      <c r="G1044" s="12">
        <v>1</v>
      </c>
      <c r="H1044" s="8">
        <v>123.4</v>
      </c>
      <c r="I1044" t="s">
        <v>32</v>
      </c>
      <c r="J1044" t="s">
        <v>36</v>
      </c>
      <c r="K1044" s="10">
        <v>0</v>
      </c>
      <c r="L1044" t="s">
        <v>37</v>
      </c>
      <c r="M1044">
        <v>123.4</v>
      </c>
      <c r="N1044">
        <v>74.040000000000006</v>
      </c>
      <c r="O1044" s="10">
        <v>36.729999999999997</v>
      </c>
      <c r="P1044" s="10">
        <v>0.2976499189627228</v>
      </c>
      <c r="Q1044" s="8">
        <v>123.4</v>
      </c>
      <c r="R1044" t="s">
        <v>47</v>
      </c>
      <c r="T1044" t="s">
        <v>2932</v>
      </c>
      <c r="U1044">
        <v>1</v>
      </c>
      <c r="V1044" t="str">
        <f>IF(CleanedTable[[#This Row],[Returned]] = 0,"NO","Yes")</f>
        <v>Yes</v>
      </c>
      <c r="W1044" t="s">
        <v>1093</v>
      </c>
      <c r="X1044" t="s">
        <v>2530</v>
      </c>
      <c r="Y1044" s="10">
        <v>12.63</v>
      </c>
      <c r="Z1044" s="3">
        <v>45096</v>
      </c>
      <c r="AA1044" s="3">
        <v>45102</v>
      </c>
      <c r="AB1044" t="s">
        <v>2925</v>
      </c>
      <c r="AC1044">
        <v>6</v>
      </c>
    </row>
    <row r="1045" spans="1:29" x14ac:dyDescent="0.3">
      <c r="A1045" s="3">
        <v>45230</v>
      </c>
      <c r="B1045" s="3" t="str">
        <f>TEXT(CleanedTable[[#This Row],[OrderDate]],"mmm")</f>
        <v>Oct</v>
      </c>
      <c r="C1045" s="3" t="str">
        <f>TEXT(CleanedTable[[#This Row],[OrderDate]],"yyyy")</f>
        <v>2023</v>
      </c>
      <c r="D1045" s="3" t="str">
        <f>TEXT(CleanedTable[[#This Row],[OrderDate]],"mmm yyyy")</f>
        <v>Oct 2023</v>
      </c>
      <c r="E1045" t="s">
        <v>20</v>
      </c>
      <c r="F1045" t="s">
        <v>24</v>
      </c>
      <c r="G1045" s="12">
        <v>3</v>
      </c>
      <c r="H1045" s="8">
        <v>88.26</v>
      </c>
      <c r="I1045" t="s">
        <v>34</v>
      </c>
      <c r="J1045" t="s">
        <v>35</v>
      </c>
      <c r="K1045" s="10">
        <v>0.05</v>
      </c>
      <c r="L1045" t="s">
        <v>42</v>
      </c>
      <c r="M1045">
        <v>251.54100000000003</v>
      </c>
      <c r="N1045">
        <v>158.86799999999999</v>
      </c>
      <c r="O1045" s="10">
        <v>46.223000000000027</v>
      </c>
      <c r="P1045" s="10">
        <v>0.18375930762778245</v>
      </c>
      <c r="Q1045" s="8">
        <v>251.541</v>
      </c>
      <c r="R1045" t="s">
        <v>46</v>
      </c>
      <c r="S1045" t="s">
        <v>48</v>
      </c>
      <c r="T1045" t="s">
        <v>2931</v>
      </c>
      <c r="U1045">
        <v>0</v>
      </c>
      <c r="V1045" t="str">
        <f>IF(CleanedTable[[#This Row],[Returned]] = 0,"NO","Yes")</f>
        <v>NO</v>
      </c>
      <c r="W1045" t="s">
        <v>1094</v>
      </c>
      <c r="X1045" t="s">
        <v>2531</v>
      </c>
      <c r="Y1045" s="10">
        <v>46.45</v>
      </c>
      <c r="Z1045" s="3">
        <v>45230</v>
      </c>
      <c r="AA1045" s="3">
        <v>45237</v>
      </c>
      <c r="AB1045" t="s">
        <v>2923</v>
      </c>
      <c r="AC1045">
        <v>7</v>
      </c>
    </row>
    <row r="1046" spans="1:29" x14ac:dyDescent="0.3">
      <c r="A1046" s="3">
        <v>45118</v>
      </c>
      <c r="B1046" s="3" t="str">
        <f>TEXT(CleanedTable[[#This Row],[OrderDate]],"mmm")</f>
        <v>Jul</v>
      </c>
      <c r="C1046" s="3" t="str">
        <f>TEXT(CleanedTable[[#This Row],[OrderDate]],"yyyy")</f>
        <v>2023</v>
      </c>
      <c r="D1046" s="3" t="str">
        <f>TEXT(CleanedTable[[#This Row],[OrderDate]],"mmm yyyy")</f>
        <v>Jul 2023</v>
      </c>
      <c r="E1046" t="s">
        <v>23</v>
      </c>
      <c r="F1046" t="s">
        <v>25</v>
      </c>
      <c r="G1046" s="12">
        <v>13</v>
      </c>
      <c r="H1046" s="8">
        <v>50.51</v>
      </c>
      <c r="I1046" t="s">
        <v>34</v>
      </c>
      <c r="J1046" t="s">
        <v>35</v>
      </c>
      <c r="K1046" s="10">
        <v>0.1</v>
      </c>
      <c r="L1046" t="s">
        <v>38</v>
      </c>
      <c r="M1046">
        <v>590.96699999999998</v>
      </c>
      <c r="N1046">
        <v>393.97799999999995</v>
      </c>
      <c r="O1046" s="10">
        <v>156.41900000000004</v>
      </c>
      <c r="P1046" s="10">
        <v>0.26468313797555537</v>
      </c>
      <c r="Q1046" s="8">
        <v>590.96699999999998</v>
      </c>
      <c r="R1046" t="s">
        <v>46</v>
      </c>
      <c r="S1046" t="s">
        <v>50</v>
      </c>
      <c r="T1046" t="s">
        <v>2931</v>
      </c>
      <c r="U1046">
        <v>0</v>
      </c>
      <c r="V1046" t="str">
        <f>IF(CleanedTable[[#This Row],[Returned]] = 0,"NO","Yes")</f>
        <v>NO</v>
      </c>
      <c r="W1046" t="s">
        <v>1095</v>
      </c>
      <c r="X1046" t="s">
        <v>2532</v>
      </c>
      <c r="Y1046" s="10">
        <v>40.57</v>
      </c>
      <c r="Z1046" s="3">
        <v>45118</v>
      </c>
      <c r="AA1046" s="3">
        <v>45125</v>
      </c>
      <c r="AB1046" t="s">
        <v>2926</v>
      </c>
      <c r="AC1046">
        <v>7</v>
      </c>
    </row>
    <row r="1047" spans="1:29" x14ac:dyDescent="0.3">
      <c r="A1047" s="3">
        <v>45065</v>
      </c>
      <c r="B1047" s="3" t="str">
        <f>TEXT(CleanedTable[[#This Row],[OrderDate]],"mmm")</f>
        <v>May</v>
      </c>
      <c r="C1047" s="3" t="str">
        <f>TEXT(CleanedTable[[#This Row],[OrderDate]],"yyyy")</f>
        <v>2023</v>
      </c>
      <c r="D1047" s="3" t="str">
        <f>TEXT(CleanedTable[[#This Row],[OrderDate]],"mmm yyyy")</f>
        <v>May 2023</v>
      </c>
      <c r="E1047" t="s">
        <v>20</v>
      </c>
      <c r="F1047" t="s">
        <v>28</v>
      </c>
      <c r="G1047" s="12">
        <v>11</v>
      </c>
      <c r="H1047" s="8">
        <v>237.99</v>
      </c>
      <c r="I1047" t="s">
        <v>34</v>
      </c>
      <c r="J1047" t="s">
        <v>35</v>
      </c>
      <c r="K1047" s="10">
        <v>0.05</v>
      </c>
      <c r="L1047" t="s">
        <v>42</v>
      </c>
      <c r="M1047">
        <v>2486.9955</v>
      </c>
      <c r="N1047">
        <v>1570.7340000000002</v>
      </c>
      <c r="O1047" s="10">
        <v>871.5614999999998</v>
      </c>
      <c r="P1047" s="10">
        <v>0.3504475581077649</v>
      </c>
      <c r="Q1047" s="8">
        <v>2486.9955</v>
      </c>
      <c r="R1047" t="s">
        <v>46</v>
      </c>
      <c r="S1047" t="s">
        <v>48</v>
      </c>
      <c r="T1047" t="s">
        <v>2931</v>
      </c>
      <c r="U1047">
        <v>0</v>
      </c>
      <c r="V1047" t="str">
        <f>IF(CleanedTable[[#This Row],[Returned]] = 0,"NO","Yes")</f>
        <v>NO</v>
      </c>
      <c r="W1047" t="s">
        <v>1096</v>
      </c>
      <c r="X1047" t="s">
        <v>2533</v>
      </c>
      <c r="Y1047" s="10">
        <v>44.7</v>
      </c>
      <c r="Z1047" s="3">
        <v>45065</v>
      </c>
      <c r="AA1047" s="3">
        <v>45074</v>
      </c>
      <c r="AB1047" t="s">
        <v>2923</v>
      </c>
      <c r="AC1047">
        <v>9</v>
      </c>
    </row>
    <row r="1048" spans="1:29" x14ac:dyDescent="0.3">
      <c r="A1048" s="3">
        <v>45143</v>
      </c>
      <c r="B1048" s="3" t="str">
        <f>TEXT(CleanedTable[[#This Row],[OrderDate]],"mmm")</f>
        <v>Aug</v>
      </c>
      <c r="C1048" s="3" t="str">
        <f>TEXT(CleanedTable[[#This Row],[OrderDate]],"yyyy")</f>
        <v>2023</v>
      </c>
      <c r="D1048" s="3" t="str">
        <f>TEXT(CleanedTable[[#This Row],[OrderDate]],"mmm yyyy")</f>
        <v>Aug 2023</v>
      </c>
      <c r="E1048" t="s">
        <v>21</v>
      </c>
      <c r="F1048" t="s">
        <v>27</v>
      </c>
      <c r="G1048" s="12">
        <v>7</v>
      </c>
      <c r="H1048" s="8">
        <v>294.95</v>
      </c>
      <c r="I1048" t="s">
        <v>34</v>
      </c>
      <c r="J1048" t="s">
        <v>35</v>
      </c>
      <c r="K1048" s="10">
        <v>0</v>
      </c>
      <c r="L1048" t="s">
        <v>39</v>
      </c>
      <c r="M1048">
        <v>2064.65</v>
      </c>
      <c r="N1048">
        <v>1238.79</v>
      </c>
      <c r="O1048" s="10">
        <v>810.08000000000015</v>
      </c>
      <c r="P1048" s="10">
        <v>0.3923570580970141</v>
      </c>
      <c r="Q1048" s="8">
        <v>2064.65</v>
      </c>
      <c r="R1048" t="s">
        <v>43</v>
      </c>
      <c r="S1048" t="s">
        <v>48</v>
      </c>
      <c r="T1048" t="s">
        <v>2931</v>
      </c>
      <c r="U1048">
        <v>0</v>
      </c>
      <c r="V1048" t="str">
        <f>IF(CleanedTable[[#This Row],[Returned]] = 0,"NO","Yes")</f>
        <v>NO</v>
      </c>
      <c r="W1048" t="s">
        <v>1097</v>
      </c>
      <c r="X1048" t="s">
        <v>2534</v>
      </c>
      <c r="Y1048" s="10">
        <v>15.78</v>
      </c>
      <c r="Z1048" s="3">
        <v>45143</v>
      </c>
      <c r="AA1048" s="3">
        <v>45148</v>
      </c>
      <c r="AB1048" t="s">
        <v>2924</v>
      </c>
      <c r="AC1048">
        <v>5</v>
      </c>
    </row>
    <row r="1049" spans="1:29" x14ac:dyDescent="0.3">
      <c r="A1049" s="3">
        <v>45009</v>
      </c>
      <c r="B1049" s="3" t="str">
        <f>TEXT(CleanedTable[[#This Row],[OrderDate]],"mmm")</f>
        <v>Mar</v>
      </c>
      <c r="C1049" s="3" t="str">
        <f>TEXT(CleanedTable[[#This Row],[OrderDate]],"yyyy")</f>
        <v>2023</v>
      </c>
      <c r="D1049" s="3" t="str">
        <f>TEXT(CleanedTable[[#This Row],[OrderDate]],"mmm yyyy")</f>
        <v>Mar 2023</v>
      </c>
      <c r="E1049" t="s">
        <v>23</v>
      </c>
      <c r="F1049" t="s">
        <v>26</v>
      </c>
      <c r="G1049" s="12">
        <v>8</v>
      </c>
      <c r="H1049" s="8">
        <v>384.3</v>
      </c>
      <c r="I1049" t="s">
        <v>33</v>
      </c>
      <c r="J1049" t="s">
        <v>35</v>
      </c>
      <c r="K1049" s="10">
        <v>0.1</v>
      </c>
      <c r="L1049" t="s">
        <v>39</v>
      </c>
      <c r="M1049">
        <v>2766.96</v>
      </c>
      <c r="N1049">
        <v>1844.6399999999999</v>
      </c>
      <c r="O1049" s="10">
        <v>873.49000000000012</v>
      </c>
      <c r="P1049" s="10">
        <v>0.31568580680602543</v>
      </c>
      <c r="Q1049" s="8">
        <v>2766.96</v>
      </c>
      <c r="R1049" t="s">
        <v>44</v>
      </c>
      <c r="S1049" t="s">
        <v>48</v>
      </c>
      <c r="T1049" t="s">
        <v>2931</v>
      </c>
      <c r="U1049">
        <v>0</v>
      </c>
      <c r="V1049" t="str">
        <f>IF(CleanedTable[[#This Row],[Returned]] = 0,"NO","Yes")</f>
        <v>NO</v>
      </c>
      <c r="W1049" t="s">
        <v>1098</v>
      </c>
      <c r="X1049" t="s">
        <v>1673</v>
      </c>
      <c r="Y1049" s="10">
        <v>48.83</v>
      </c>
      <c r="Z1049" s="3">
        <v>45009</v>
      </c>
      <c r="AA1049" s="3">
        <v>45019</v>
      </c>
      <c r="AB1049" t="s">
        <v>2926</v>
      </c>
      <c r="AC1049">
        <v>10</v>
      </c>
    </row>
    <row r="1050" spans="1:29" x14ac:dyDescent="0.3">
      <c r="A1050" s="3">
        <v>45702</v>
      </c>
      <c r="B1050" s="3" t="str">
        <f>TEXT(CleanedTable[[#This Row],[OrderDate]],"mmm")</f>
        <v>Feb</v>
      </c>
      <c r="C1050" s="3" t="str">
        <f>TEXT(CleanedTable[[#This Row],[OrderDate]],"yyyy")</f>
        <v>2025</v>
      </c>
      <c r="D1050" s="3" t="str">
        <f>TEXT(CleanedTable[[#This Row],[OrderDate]],"mmm yyyy")</f>
        <v>Feb 2025</v>
      </c>
      <c r="E1050" t="s">
        <v>23</v>
      </c>
      <c r="F1050" t="s">
        <v>28</v>
      </c>
      <c r="G1050" s="12">
        <v>1</v>
      </c>
      <c r="H1050" s="8">
        <v>378.35</v>
      </c>
      <c r="I1050" t="s">
        <v>33</v>
      </c>
      <c r="J1050" t="s">
        <v>35</v>
      </c>
      <c r="K1050" s="10">
        <v>0.05</v>
      </c>
      <c r="L1050" t="s">
        <v>41</v>
      </c>
      <c r="M1050">
        <v>359.4325</v>
      </c>
      <c r="N1050">
        <v>227.01000000000002</v>
      </c>
      <c r="O1050" s="10">
        <v>111.45249999999999</v>
      </c>
      <c r="P1050" s="10">
        <v>0.31007908299889403</v>
      </c>
      <c r="Q1050" s="8">
        <v>359.4325</v>
      </c>
      <c r="R1050" t="s">
        <v>47</v>
      </c>
      <c r="S1050" t="s">
        <v>48</v>
      </c>
      <c r="T1050" t="s">
        <v>2931</v>
      </c>
      <c r="U1050">
        <v>0</v>
      </c>
      <c r="V1050" t="str">
        <f>IF(CleanedTable[[#This Row],[Returned]] = 0,"NO","Yes")</f>
        <v>NO</v>
      </c>
      <c r="W1050" t="s">
        <v>1099</v>
      </c>
      <c r="X1050" t="s">
        <v>2033</v>
      </c>
      <c r="Y1050" s="10">
        <v>20.97</v>
      </c>
      <c r="Z1050" s="3">
        <v>45702</v>
      </c>
      <c r="AA1050" s="3">
        <v>45705</v>
      </c>
      <c r="AB1050" t="s">
        <v>2926</v>
      </c>
      <c r="AC1050">
        <v>3</v>
      </c>
    </row>
    <row r="1051" spans="1:29" x14ac:dyDescent="0.3">
      <c r="A1051" s="3">
        <v>45640</v>
      </c>
      <c r="B1051" s="3" t="str">
        <f>TEXT(CleanedTable[[#This Row],[OrderDate]],"mmm")</f>
        <v>Dec</v>
      </c>
      <c r="C1051" s="3" t="str">
        <f>TEXT(CleanedTable[[#This Row],[OrderDate]],"yyyy")</f>
        <v>2024</v>
      </c>
      <c r="D1051" s="3" t="str">
        <f>TEXT(CleanedTable[[#This Row],[OrderDate]],"mmm yyyy")</f>
        <v>Dec 2024</v>
      </c>
      <c r="E1051" t="s">
        <v>21</v>
      </c>
      <c r="F1051" t="s">
        <v>26</v>
      </c>
      <c r="G1051" s="12">
        <v>1</v>
      </c>
      <c r="H1051" s="8">
        <v>461.35</v>
      </c>
      <c r="I1051" t="s">
        <v>34</v>
      </c>
      <c r="J1051" t="s">
        <v>36</v>
      </c>
      <c r="K1051" s="10">
        <v>0</v>
      </c>
      <c r="L1051" t="s">
        <v>42</v>
      </c>
      <c r="M1051">
        <v>461.35</v>
      </c>
      <c r="N1051">
        <v>276.81</v>
      </c>
      <c r="O1051" s="10">
        <v>140.80000000000001</v>
      </c>
      <c r="P1051" s="10">
        <v>0.3051912864419638</v>
      </c>
      <c r="Q1051" s="8">
        <v>461.35</v>
      </c>
      <c r="R1051" t="s">
        <v>46</v>
      </c>
      <c r="S1051" t="s">
        <v>48</v>
      </c>
      <c r="T1051" t="s">
        <v>2931</v>
      </c>
      <c r="U1051">
        <v>1</v>
      </c>
      <c r="V1051" t="str">
        <f>IF(CleanedTable[[#This Row],[Returned]] = 0,"NO","Yes")</f>
        <v>Yes</v>
      </c>
      <c r="W1051" t="s">
        <v>1100</v>
      </c>
      <c r="X1051" t="s">
        <v>2535</v>
      </c>
      <c r="Y1051" s="10">
        <v>43.74</v>
      </c>
      <c r="Z1051" s="3">
        <v>45640</v>
      </c>
      <c r="AA1051" s="3">
        <v>45642</v>
      </c>
      <c r="AB1051" t="s">
        <v>2924</v>
      </c>
      <c r="AC1051">
        <v>2</v>
      </c>
    </row>
    <row r="1052" spans="1:29" x14ac:dyDescent="0.3">
      <c r="A1052" s="3">
        <v>45105</v>
      </c>
      <c r="B1052" s="3" t="str">
        <f>TEXT(CleanedTable[[#This Row],[OrderDate]],"mmm")</f>
        <v>Jun</v>
      </c>
      <c r="C1052" s="3" t="str">
        <f>TEXT(CleanedTable[[#This Row],[OrderDate]],"yyyy")</f>
        <v>2023</v>
      </c>
      <c r="D1052" s="3" t="str">
        <f>TEXT(CleanedTable[[#This Row],[OrderDate]],"mmm yyyy")</f>
        <v>Jun 2023</v>
      </c>
      <c r="E1052" t="s">
        <v>20</v>
      </c>
      <c r="F1052" t="s">
        <v>30</v>
      </c>
      <c r="G1052" s="12">
        <v>20</v>
      </c>
      <c r="H1052" s="8">
        <v>354.9</v>
      </c>
      <c r="I1052" t="s">
        <v>32</v>
      </c>
      <c r="J1052" t="s">
        <v>35</v>
      </c>
      <c r="K1052" s="10">
        <v>0</v>
      </c>
      <c r="L1052" t="s">
        <v>42</v>
      </c>
      <c r="M1052">
        <v>7098</v>
      </c>
      <c r="N1052">
        <v>4258.7999999999993</v>
      </c>
      <c r="O1052" s="10">
        <v>2795.9600000000009</v>
      </c>
      <c r="P1052" s="10">
        <v>0.39390814313891248</v>
      </c>
      <c r="Q1052" s="8">
        <v>7098</v>
      </c>
      <c r="R1052" t="s">
        <v>44</v>
      </c>
      <c r="S1052" t="s">
        <v>50</v>
      </c>
      <c r="T1052" t="s">
        <v>2931</v>
      </c>
      <c r="U1052">
        <v>0</v>
      </c>
      <c r="V1052" t="str">
        <f>IF(CleanedTable[[#This Row],[Returned]] = 0,"NO","Yes")</f>
        <v>NO</v>
      </c>
      <c r="W1052" t="s">
        <v>1101</v>
      </c>
      <c r="X1052" t="s">
        <v>2536</v>
      </c>
      <c r="Y1052" s="10">
        <v>43.24</v>
      </c>
      <c r="Z1052" s="3">
        <v>45105</v>
      </c>
      <c r="AA1052" s="3">
        <v>45108</v>
      </c>
      <c r="AB1052" t="s">
        <v>2923</v>
      </c>
      <c r="AC1052">
        <v>3</v>
      </c>
    </row>
    <row r="1053" spans="1:29" x14ac:dyDescent="0.3">
      <c r="A1053" s="3">
        <v>44950</v>
      </c>
      <c r="B1053" s="3" t="str">
        <f>TEXT(CleanedTable[[#This Row],[OrderDate]],"mmm")</f>
        <v>Jan</v>
      </c>
      <c r="C1053" s="3" t="str">
        <f>TEXT(CleanedTable[[#This Row],[OrderDate]],"yyyy")</f>
        <v>2023</v>
      </c>
      <c r="D1053" s="3" t="str">
        <f>TEXT(CleanedTable[[#This Row],[OrderDate]],"mmm yyyy")</f>
        <v>Jan 2023</v>
      </c>
      <c r="E1053" t="s">
        <v>23</v>
      </c>
      <c r="F1053" t="s">
        <v>26</v>
      </c>
      <c r="G1053" s="12">
        <v>7</v>
      </c>
      <c r="H1053" s="8">
        <v>438.41</v>
      </c>
      <c r="I1053" t="s">
        <v>33</v>
      </c>
      <c r="J1053" t="s">
        <v>36</v>
      </c>
      <c r="K1053" s="10">
        <v>0.1</v>
      </c>
      <c r="L1053" t="s">
        <v>41</v>
      </c>
      <c r="M1053">
        <v>2761.9830000000002</v>
      </c>
      <c r="N1053">
        <v>1841.3219999999999</v>
      </c>
      <c r="O1053" s="10">
        <v>872.8910000000003</v>
      </c>
      <c r="P1053" s="10">
        <v>0.31603778879160382</v>
      </c>
      <c r="Q1053" s="8">
        <v>2761.9830000000002</v>
      </c>
      <c r="R1053" t="s">
        <v>46</v>
      </c>
      <c r="S1053" t="s">
        <v>49</v>
      </c>
      <c r="T1053" t="s">
        <v>2931</v>
      </c>
      <c r="U1053">
        <v>1</v>
      </c>
      <c r="V1053" t="str">
        <f>IF(CleanedTable[[#This Row],[Returned]] = 0,"NO","Yes")</f>
        <v>Yes</v>
      </c>
      <c r="W1053" t="s">
        <v>1102</v>
      </c>
      <c r="X1053" t="s">
        <v>2537</v>
      </c>
      <c r="Y1053" s="10">
        <v>47.77</v>
      </c>
      <c r="Z1053" s="3">
        <v>44950</v>
      </c>
      <c r="AA1053" s="3">
        <v>44954</v>
      </c>
      <c r="AB1053" t="s">
        <v>2926</v>
      </c>
      <c r="AC1053">
        <v>4</v>
      </c>
    </row>
    <row r="1054" spans="1:29" x14ac:dyDescent="0.3">
      <c r="A1054" s="3">
        <v>45464</v>
      </c>
      <c r="B1054" s="3" t="str">
        <f>TEXT(CleanedTable[[#This Row],[OrderDate]],"mmm")</f>
        <v>Jun</v>
      </c>
      <c r="C1054" s="3" t="str">
        <f>TEXT(CleanedTable[[#This Row],[OrderDate]],"yyyy")</f>
        <v>2024</v>
      </c>
      <c r="D1054" s="3" t="str">
        <f>TEXT(CleanedTable[[#This Row],[OrderDate]],"mmm yyyy")</f>
        <v>Jun 2024</v>
      </c>
      <c r="E1054" t="s">
        <v>22</v>
      </c>
      <c r="F1054" t="s">
        <v>29</v>
      </c>
      <c r="G1054" s="12">
        <v>14</v>
      </c>
      <c r="H1054" s="8">
        <v>542.6</v>
      </c>
      <c r="I1054" t="s">
        <v>33</v>
      </c>
      <c r="J1054" t="s">
        <v>36</v>
      </c>
      <c r="K1054" s="10">
        <v>0.05</v>
      </c>
      <c r="L1054" t="s">
        <v>37</v>
      </c>
      <c r="M1054">
        <v>7216.58</v>
      </c>
      <c r="N1054">
        <v>4557.84</v>
      </c>
      <c r="O1054" s="10">
        <v>2613.9799999999996</v>
      </c>
      <c r="P1054" s="10">
        <v>0.36221866867685243</v>
      </c>
      <c r="Q1054" s="8">
        <v>7216.58</v>
      </c>
      <c r="R1054" t="s">
        <v>46</v>
      </c>
      <c r="T1054" t="s">
        <v>2932</v>
      </c>
      <c r="U1054">
        <v>0</v>
      </c>
      <c r="V1054" t="str">
        <f>IF(CleanedTable[[#This Row],[Returned]] = 0,"NO","Yes")</f>
        <v>NO</v>
      </c>
      <c r="W1054" t="s">
        <v>1103</v>
      </c>
      <c r="X1054" t="s">
        <v>1984</v>
      </c>
      <c r="Y1054" s="10">
        <v>44.76</v>
      </c>
      <c r="Z1054" s="3">
        <v>45464</v>
      </c>
      <c r="AA1054" s="3">
        <v>45473</v>
      </c>
      <c r="AB1054" t="s">
        <v>2925</v>
      </c>
      <c r="AC1054">
        <v>9</v>
      </c>
    </row>
    <row r="1055" spans="1:29" x14ac:dyDescent="0.3">
      <c r="A1055" s="3">
        <v>45756</v>
      </c>
      <c r="B1055" s="3" t="str">
        <f>TEXT(CleanedTable[[#This Row],[OrderDate]],"mmm")</f>
        <v>Apr</v>
      </c>
      <c r="C1055" s="3" t="str">
        <f>TEXT(CleanedTable[[#This Row],[OrderDate]],"yyyy")</f>
        <v>2025</v>
      </c>
      <c r="D1055" s="3" t="str">
        <f>TEXT(CleanedTable[[#This Row],[OrderDate]],"mmm yyyy")</f>
        <v>Apr 2025</v>
      </c>
      <c r="E1055" t="s">
        <v>21</v>
      </c>
      <c r="F1055" t="s">
        <v>30</v>
      </c>
      <c r="G1055" s="12">
        <v>3</v>
      </c>
      <c r="H1055" s="8">
        <v>238.82</v>
      </c>
      <c r="I1055" t="s">
        <v>33</v>
      </c>
      <c r="J1055" t="s">
        <v>36</v>
      </c>
      <c r="K1055" s="10">
        <v>0.1</v>
      </c>
      <c r="L1055" t="s">
        <v>42</v>
      </c>
      <c r="M1055">
        <v>644.81400000000008</v>
      </c>
      <c r="N1055">
        <v>429.87599999999998</v>
      </c>
      <c r="O1055" s="10">
        <v>177.86800000000011</v>
      </c>
      <c r="P1055" s="10">
        <v>0.27584388676424532</v>
      </c>
      <c r="Q1055" s="8">
        <v>644.81400000000008</v>
      </c>
      <c r="R1055" t="s">
        <v>44</v>
      </c>
      <c r="S1055" t="s">
        <v>50</v>
      </c>
      <c r="T1055" t="s">
        <v>2931</v>
      </c>
      <c r="U1055">
        <v>0</v>
      </c>
      <c r="V1055" t="str">
        <f>IF(CleanedTable[[#This Row],[Returned]] = 0,"NO","Yes")</f>
        <v>NO</v>
      </c>
      <c r="W1055" t="s">
        <v>1104</v>
      </c>
      <c r="X1055" t="s">
        <v>2538</v>
      </c>
      <c r="Y1055" s="10">
        <v>37.07</v>
      </c>
      <c r="Z1055" s="3">
        <v>45756</v>
      </c>
      <c r="AA1055" s="3">
        <v>45765</v>
      </c>
      <c r="AB1055" t="s">
        <v>2924</v>
      </c>
      <c r="AC1055">
        <v>9</v>
      </c>
    </row>
    <row r="1056" spans="1:29" x14ac:dyDescent="0.3">
      <c r="A1056" s="3">
        <v>45668</v>
      </c>
      <c r="B1056" s="3" t="str">
        <f>TEXT(CleanedTable[[#This Row],[OrderDate]],"mmm")</f>
        <v>Jan</v>
      </c>
      <c r="C1056" s="3" t="str">
        <f>TEXT(CleanedTable[[#This Row],[OrderDate]],"yyyy")</f>
        <v>2025</v>
      </c>
      <c r="D1056" s="3" t="str">
        <f>TEXT(CleanedTable[[#This Row],[OrderDate]],"mmm yyyy")</f>
        <v>Jan 2025</v>
      </c>
      <c r="E1056" t="s">
        <v>21</v>
      </c>
      <c r="F1056" t="s">
        <v>29</v>
      </c>
      <c r="G1056" s="12">
        <v>16</v>
      </c>
      <c r="H1056" s="8">
        <v>332.19</v>
      </c>
      <c r="I1056" t="s">
        <v>33</v>
      </c>
      <c r="J1056" t="s">
        <v>36</v>
      </c>
      <c r="K1056" s="10">
        <v>0.1</v>
      </c>
      <c r="L1056" t="s">
        <v>37</v>
      </c>
      <c r="M1056">
        <v>4783.5360000000001</v>
      </c>
      <c r="N1056">
        <v>3189.0239999999999</v>
      </c>
      <c r="O1056" s="10">
        <v>1559.5420000000001</v>
      </c>
      <c r="P1056" s="10">
        <v>0.32602284168029677</v>
      </c>
      <c r="Q1056" s="8">
        <v>4783.5360000000001</v>
      </c>
      <c r="R1056" t="s">
        <v>45</v>
      </c>
      <c r="S1056" t="s">
        <v>49</v>
      </c>
      <c r="T1056" t="s">
        <v>2931</v>
      </c>
      <c r="U1056">
        <v>1</v>
      </c>
      <c r="V1056" t="str">
        <f>IF(CleanedTable[[#This Row],[Returned]] = 0,"NO","Yes")</f>
        <v>Yes</v>
      </c>
      <c r="W1056" t="s">
        <v>1105</v>
      </c>
      <c r="X1056" t="s">
        <v>2539</v>
      </c>
      <c r="Y1056" s="10">
        <v>34.97</v>
      </c>
      <c r="Z1056" s="3">
        <v>45668</v>
      </c>
      <c r="AA1056" s="3">
        <v>45676</v>
      </c>
      <c r="AB1056" t="s">
        <v>2924</v>
      </c>
      <c r="AC1056">
        <v>8</v>
      </c>
    </row>
    <row r="1057" spans="1:29" x14ac:dyDescent="0.3">
      <c r="A1057" s="3">
        <v>45486</v>
      </c>
      <c r="B1057" s="3" t="str">
        <f>TEXT(CleanedTable[[#This Row],[OrderDate]],"mmm")</f>
        <v>Jul</v>
      </c>
      <c r="C1057" s="3" t="str">
        <f>TEXT(CleanedTable[[#This Row],[OrderDate]],"yyyy")</f>
        <v>2024</v>
      </c>
      <c r="D1057" s="3" t="str">
        <f>TEXT(CleanedTable[[#This Row],[OrderDate]],"mmm yyyy")</f>
        <v>Jul 2024</v>
      </c>
      <c r="E1057" t="s">
        <v>22</v>
      </c>
      <c r="F1057" t="s">
        <v>30</v>
      </c>
      <c r="G1057" s="12">
        <v>9</v>
      </c>
      <c r="H1057" s="8">
        <v>454.6</v>
      </c>
      <c r="I1057" t="s">
        <v>34</v>
      </c>
      <c r="J1057" t="s">
        <v>35</v>
      </c>
      <c r="K1057" s="10">
        <v>0.05</v>
      </c>
      <c r="L1057" t="s">
        <v>40</v>
      </c>
      <c r="M1057">
        <v>3886.83</v>
      </c>
      <c r="N1057">
        <v>2454.84</v>
      </c>
      <c r="O1057" s="10">
        <v>1399.1299999999999</v>
      </c>
      <c r="P1057" s="10">
        <v>0.35996686245603743</v>
      </c>
      <c r="Q1057" s="8">
        <v>3886.83</v>
      </c>
      <c r="R1057" t="s">
        <v>46</v>
      </c>
      <c r="T1057" t="s">
        <v>2932</v>
      </c>
      <c r="U1057">
        <v>0</v>
      </c>
      <c r="V1057" t="str">
        <f>IF(CleanedTable[[#This Row],[Returned]] = 0,"NO","Yes")</f>
        <v>NO</v>
      </c>
      <c r="W1057" t="s">
        <v>1106</v>
      </c>
      <c r="X1057" t="s">
        <v>2540</v>
      </c>
      <c r="Y1057" s="10">
        <v>32.86</v>
      </c>
      <c r="Z1057" s="3">
        <v>45486</v>
      </c>
      <c r="AA1057" s="3">
        <v>45493</v>
      </c>
      <c r="AB1057" t="s">
        <v>2925</v>
      </c>
      <c r="AC1057">
        <v>7</v>
      </c>
    </row>
    <row r="1058" spans="1:29" x14ac:dyDescent="0.3">
      <c r="A1058" s="3">
        <v>45661</v>
      </c>
      <c r="B1058" s="3" t="str">
        <f>TEXT(CleanedTable[[#This Row],[OrderDate]],"mmm")</f>
        <v>Jan</v>
      </c>
      <c r="C1058" s="3" t="str">
        <f>TEXT(CleanedTable[[#This Row],[OrderDate]],"yyyy")</f>
        <v>2025</v>
      </c>
      <c r="D1058" s="3" t="str">
        <f>TEXT(CleanedTable[[#This Row],[OrderDate]],"mmm yyyy")</f>
        <v>Jan 2025</v>
      </c>
      <c r="E1058" t="s">
        <v>23</v>
      </c>
      <c r="F1058" t="s">
        <v>30</v>
      </c>
      <c r="G1058" s="12">
        <v>6</v>
      </c>
      <c r="H1058" s="8">
        <v>540.54</v>
      </c>
      <c r="I1058" t="s">
        <v>32</v>
      </c>
      <c r="J1058" t="s">
        <v>36</v>
      </c>
      <c r="K1058" s="10">
        <v>0.05</v>
      </c>
      <c r="L1058" t="s">
        <v>40</v>
      </c>
      <c r="M1058">
        <v>3081.0779999999995</v>
      </c>
      <c r="N1058">
        <v>1945.9439999999997</v>
      </c>
      <c r="O1058" s="10">
        <v>1115.3639999999998</v>
      </c>
      <c r="P1058" s="10">
        <v>0.36200446726762514</v>
      </c>
      <c r="Q1058" s="8">
        <v>3081.078</v>
      </c>
      <c r="R1058" t="s">
        <v>46</v>
      </c>
      <c r="S1058" t="s">
        <v>49</v>
      </c>
      <c r="T1058" t="s">
        <v>2931</v>
      </c>
      <c r="U1058">
        <v>0</v>
      </c>
      <c r="V1058" t="str">
        <f>IF(CleanedTable[[#This Row],[Returned]] = 0,"NO","Yes")</f>
        <v>NO</v>
      </c>
      <c r="W1058" t="s">
        <v>1107</v>
      </c>
      <c r="X1058" t="s">
        <v>2541</v>
      </c>
      <c r="Y1058" s="10">
        <v>19.77</v>
      </c>
      <c r="Z1058" s="3">
        <v>45661</v>
      </c>
      <c r="AA1058" s="3">
        <v>45667</v>
      </c>
      <c r="AB1058" t="s">
        <v>2926</v>
      </c>
      <c r="AC1058">
        <v>6</v>
      </c>
    </row>
    <row r="1059" spans="1:29" x14ac:dyDescent="0.3">
      <c r="A1059" s="3">
        <v>45224</v>
      </c>
      <c r="B1059" s="3" t="str">
        <f>TEXT(CleanedTable[[#This Row],[OrderDate]],"mmm")</f>
        <v>Oct</v>
      </c>
      <c r="C1059" s="3" t="str">
        <f>TEXT(CleanedTable[[#This Row],[OrderDate]],"yyyy")</f>
        <v>2023</v>
      </c>
      <c r="D1059" s="3" t="str">
        <f>TEXT(CleanedTable[[#This Row],[OrderDate]],"mmm yyyy")</f>
        <v>Oct 2023</v>
      </c>
      <c r="E1059" t="s">
        <v>23</v>
      </c>
      <c r="F1059" t="s">
        <v>26</v>
      </c>
      <c r="G1059" s="12">
        <v>14</v>
      </c>
      <c r="H1059" s="8">
        <v>147.37</v>
      </c>
      <c r="I1059" t="s">
        <v>34</v>
      </c>
      <c r="J1059" t="s">
        <v>35</v>
      </c>
      <c r="K1059" s="10">
        <v>0.15</v>
      </c>
      <c r="L1059" t="s">
        <v>39</v>
      </c>
      <c r="M1059">
        <v>1753.7030000000002</v>
      </c>
      <c r="N1059">
        <v>1237.9079999999999</v>
      </c>
      <c r="O1059" s="10">
        <v>470.0450000000003</v>
      </c>
      <c r="P1059" s="10">
        <v>0.26802999139535044</v>
      </c>
      <c r="Q1059" s="8">
        <v>1753.703</v>
      </c>
      <c r="R1059" t="s">
        <v>46</v>
      </c>
      <c r="S1059" t="s">
        <v>50</v>
      </c>
      <c r="T1059" t="s">
        <v>2931</v>
      </c>
      <c r="U1059">
        <v>1</v>
      </c>
      <c r="V1059" t="str">
        <f>IF(CleanedTable[[#This Row],[Returned]] = 0,"NO","Yes")</f>
        <v>Yes</v>
      </c>
      <c r="W1059" t="s">
        <v>1108</v>
      </c>
      <c r="X1059" t="s">
        <v>2542</v>
      </c>
      <c r="Y1059" s="10">
        <v>45.75</v>
      </c>
      <c r="Z1059" s="3">
        <v>45224</v>
      </c>
      <c r="AA1059" s="3">
        <v>45230</v>
      </c>
      <c r="AB1059" t="s">
        <v>2926</v>
      </c>
      <c r="AC1059">
        <v>6</v>
      </c>
    </row>
    <row r="1060" spans="1:29" x14ac:dyDescent="0.3">
      <c r="A1060" s="3">
        <v>45199</v>
      </c>
      <c r="B1060" s="3" t="str">
        <f>TEXT(CleanedTable[[#This Row],[OrderDate]],"mmm")</f>
        <v>Sep</v>
      </c>
      <c r="C1060" s="3" t="str">
        <f>TEXT(CleanedTable[[#This Row],[OrderDate]],"yyyy")</f>
        <v>2023</v>
      </c>
      <c r="D1060" s="3" t="str">
        <f>TEXT(CleanedTable[[#This Row],[OrderDate]],"mmm yyyy")</f>
        <v>Sep 2023</v>
      </c>
      <c r="E1060" t="s">
        <v>20</v>
      </c>
      <c r="F1060" t="s">
        <v>24</v>
      </c>
      <c r="G1060" s="12">
        <v>7</v>
      </c>
      <c r="H1060" s="8">
        <v>421.12</v>
      </c>
      <c r="I1060" t="s">
        <v>34</v>
      </c>
      <c r="J1060" t="s">
        <v>35</v>
      </c>
      <c r="K1060" s="10">
        <v>0.15</v>
      </c>
      <c r="L1060" t="s">
        <v>41</v>
      </c>
      <c r="M1060">
        <v>2505.6640000000002</v>
      </c>
      <c r="N1060">
        <v>1768.704</v>
      </c>
      <c r="O1060" s="10">
        <v>692.47000000000025</v>
      </c>
      <c r="P1060" s="10">
        <v>0.27636187453704891</v>
      </c>
      <c r="Q1060" s="8">
        <v>2505.6640000000002</v>
      </c>
      <c r="R1060" t="s">
        <v>44</v>
      </c>
      <c r="T1060" t="s">
        <v>2932</v>
      </c>
      <c r="U1060">
        <v>0</v>
      </c>
      <c r="V1060" t="str">
        <f>IF(CleanedTable[[#This Row],[Returned]] = 0,"NO","Yes")</f>
        <v>NO</v>
      </c>
      <c r="W1060" t="s">
        <v>1109</v>
      </c>
      <c r="X1060" t="s">
        <v>2543</v>
      </c>
      <c r="Y1060" s="10">
        <v>44.49</v>
      </c>
      <c r="Z1060" s="3">
        <v>45199</v>
      </c>
      <c r="AA1060" s="3">
        <v>45201</v>
      </c>
      <c r="AB1060" t="s">
        <v>2923</v>
      </c>
      <c r="AC1060">
        <v>2</v>
      </c>
    </row>
    <row r="1061" spans="1:29" x14ac:dyDescent="0.3">
      <c r="A1061" s="3">
        <v>45001</v>
      </c>
      <c r="B1061" s="3" t="str">
        <f>TEXT(CleanedTable[[#This Row],[OrderDate]],"mmm")</f>
        <v>Mar</v>
      </c>
      <c r="C1061" s="3" t="str">
        <f>TEXT(CleanedTable[[#This Row],[OrderDate]],"yyyy")</f>
        <v>2023</v>
      </c>
      <c r="D1061" s="3" t="str">
        <f>TEXT(CleanedTable[[#This Row],[OrderDate]],"mmm yyyy")</f>
        <v>Mar 2023</v>
      </c>
      <c r="E1061" t="s">
        <v>21</v>
      </c>
      <c r="F1061" t="s">
        <v>25</v>
      </c>
      <c r="G1061" s="12">
        <v>20</v>
      </c>
      <c r="H1061" s="8">
        <v>436.32</v>
      </c>
      <c r="I1061" t="s">
        <v>34</v>
      </c>
      <c r="J1061" t="s">
        <v>36</v>
      </c>
      <c r="K1061" s="10">
        <v>0</v>
      </c>
      <c r="L1061" t="s">
        <v>41</v>
      </c>
      <c r="M1061">
        <v>8726.4</v>
      </c>
      <c r="N1061">
        <v>5235.8399999999992</v>
      </c>
      <c r="O1061" s="10">
        <v>3453.0700000000006</v>
      </c>
      <c r="P1061" s="10">
        <v>0.39570384121745517</v>
      </c>
      <c r="Q1061" s="8">
        <v>8726.4</v>
      </c>
      <c r="R1061" t="s">
        <v>45</v>
      </c>
      <c r="S1061" t="s">
        <v>48</v>
      </c>
      <c r="T1061" t="s">
        <v>2931</v>
      </c>
      <c r="U1061">
        <v>1</v>
      </c>
      <c r="V1061" t="str">
        <f>IF(CleanedTable[[#This Row],[Returned]] = 0,"NO","Yes")</f>
        <v>Yes</v>
      </c>
      <c r="W1061" t="s">
        <v>1110</v>
      </c>
      <c r="X1061" t="s">
        <v>2544</v>
      </c>
      <c r="Y1061" s="10">
        <v>37.49</v>
      </c>
      <c r="Z1061" s="3">
        <v>45001</v>
      </c>
      <c r="AA1061" s="3">
        <v>45011</v>
      </c>
      <c r="AB1061" t="s">
        <v>2924</v>
      </c>
      <c r="AC1061">
        <v>10</v>
      </c>
    </row>
    <row r="1062" spans="1:29" x14ac:dyDescent="0.3">
      <c r="A1062" s="3">
        <v>45133</v>
      </c>
      <c r="B1062" s="3" t="str">
        <f>TEXT(CleanedTable[[#This Row],[OrderDate]],"mmm")</f>
        <v>Jul</v>
      </c>
      <c r="C1062" s="3" t="str">
        <f>TEXT(CleanedTable[[#This Row],[OrderDate]],"yyyy")</f>
        <v>2023</v>
      </c>
      <c r="D1062" s="3" t="str">
        <f>TEXT(CleanedTable[[#This Row],[OrderDate]],"mmm yyyy")</f>
        <v>Jul 2023</v>
      </c>
      <c r="E1062" t="s">
        <v>21</v>
      </c>
      <c r="F1062" t="s">
        <v>24</v>
      </c>
      <c r="G1062" s="12">
        <v>18</v>
      </c>
      <c r="H1062" s="8">
        <v>436.83</v>
      </c>
      <c r="I1062" t="s">
        <v>32</v>
      </c>
      <c r="J1062" t="s">
        <v>35</v>
      </c>
      <c r="K1062" s="10">
        <v>0.1</v>
      </c>
      <c r="L1062" t="s">
        <v>42</v>
      </c>
      <c r="M1062">
        <v>7076.6459999999997</v>
      </c>
      <c r="N1062">
        <v>4717.7639999999992</v>
      </c>
      <c r="O1062" s="10">
        <v>2330.0820000000003</v>
      </c>
      <c r="P1062" s="10">
        <v>0.32926360877737848</v>
      </c>
      <c r="Q1062" s="8">
        <v>7076.6459999999997</v>
      </c>
      <c r="R1062" t="s">
        <v>45</v>
      </c>
      <c r="S1062" t="s">
        <v>49</v>
      </c>
      <c r="T1062" t="s">
        <v>2931</v>
      </c>
      <c r="U1062">
        <v>0</v>
      </c>
      <c r="V1062" t="str">
        <f>IF(CleanedTable[[#This Row],[Returned]] = 0,"NO","Yes")</f>
        <v>NO</v>
      </c>
      <c r="W1062" t="s">
        <v>1111</v>
      </c>
      <c r="X1062" t="s">
        <v>2089</v>
      </c>
      <c r="Y1062" s="10">
        <v>28.8</v>
      </c>
      <c r="Z1062" s="3">
        <v>45133</v>
      </c>
      <c r="AA1062" s="3">
        <v>45140</v>
      </c>
      <c r="AB1062" t="s">
        <v>2924</v>
      </c>
      <c r="AC1062">
        <v>7</v>
      </c>
    </row>
    <row r="1063" spans="1:29" x14ac:dyDescent="0.3">
      <c r="A1063" s="3">
        <v>45117</v>
      </c>
      <c r="B1063" s="3" t="str">
        <f>TEXT(CleanedTable[[#This Row],[OrderDate]],"mmm")</f>
        <v>Jul</v>
      </c>
      <c r="C1063" s="3" t="str">
        <f>TEXT(CleanedTable[[#This Row],[OrderDate]],"yyyy")</f>
        <v>2023</v>
      </c>
      <c r="D1063" s="3" t="str">
        <f>TEXT(CleanedTable[[#This Row],[OrderDate]],"mmm yyyy")</f>
        <v>Jul 2023</v>
      </c>
      <c r="E1063" t="s">
        <v>19</v>
      </c>
      <c r="F1063" t="s">
        <v>28</v>
      </c>
      <c r="G1063" s="12">
        <v>2</v>
      </c>
      <c r="H1063" s="8">
        <v>327.57</v>
      </c>
      <c r="I1063" t="s">
        <v>32</v>
      </c>
      <c r="J1063" t="s">
        <v>36</v>
      </c>
      <c r="K1063" s="10">
        <v>0.05</v>
      </c>
      <c r="L1063" t="s">
        <v>41</v>
      </c>
      <c r="M1063">
        <v>622.38299999999992</v>
      </c>
      <c r="N1063">
        <v>393.084</v>
      </c>
      <c r="O1063" s="10">
        <v>209.80899999999991</v>
      </c>
      <c r="P1063" s="10">
        <v>0.33710592994988609</v>
      </c>
      <c r="Q1063" s="8">
        <v>622.38299999999992</v>
      </c>
      <c r="R1063" t="s">
        <v>46</v>
      </c>
      <c r="T1063" t="s">
        <v>2932</v>
      </c>
      <c r="U1063">
        <v>0</v>
      </c>
      <c r="V1063" t="str">
        <f>IF(CleanedTable[[#This Row],[Returned]] = 0,"NO","Yes")</f>
        <v>NO</v>
      </c>
      <c r="W1063" t="s">
        <v>1112</v>
      </c>
      <c r="X1063" t="s">
        <v>2545</v>
      </c>
      <c r="Y1063" s="10">
        <v>19.489999999999998</v>
      </c>
      <c r="Z1063" s="3">
        <v>45117</v>
      </c>
      <c r="AA1063" s="3">
        <v>45126</v>
      </c>
      <c r="AB1063" t="s">
        <v>2922</v>
      </c>
      <c r="AC1063">
        <v>9</v>
      </c>
    </row>
    <row r="1064" spans="1:29" x14ac:dyDescent="0.3">
      <c r="A1064" s="3">
        <v>45510</v>
      </c>
      <c r="B1064" s="3" t="str">
        <f>TEXT(CleanedTable[[#This Row],[OrderDate]],"mmm")</f>
        <v>Aug</v>
      </c>
      <c r="C1064" s="3" t="str">
        <f>TEXT(CleanedTable[[#This Row],[OrderDate]],"yyyy")</f>
        <v>2024</v>
      </c>
      <c r="D1064" s="3" t="str">
        <f>TEXT(CleanedTable[[#This Row],[OrderDate]],"mmm yyyy")</f>
        <v>Aug 2024</v>
      </c>
      <c r="E1064" t="s">
        <v>19</v>
      </c>
      <c r="F1064" t="s">
        <v>30</v>
      </c>
      <c r="G1064" s="12">
        <v>18</v>
      </c>
      <c r="H1064" s="8">
        <v>166.92</v>
      </c>
      <c r="I1064" t="s">
        <v>33</v>
      </c>
      <c r="J1064" t="s">
        <v>35</v>
      </c>
      <c r="K1064" s="10">
        <v>0.05</v>
      </c>
      <c r="L1064" t="s">
        <v>38</v>
      </c>
      <c r="M1064">
        <v>2854.3319999999999</v>
      </c>
      <c r="N1064">
        <v>1802.7359999999999</v>
      </c>
      <c r="O1064" s="10">
        <v>1042.2460000000001</v>
      </c>
      <c r="P1064" s="10">
        <v>0.3651453299756301</v>
      </c>
      <c r="Q1064" s="8">
        <v>2854.3319999999999</v>
      </c>
      <c r="R1064" t="s">
        <v>44</v>
      </c>
      <c r="S1064" t="s">
        <v>50</v>
      </c>
      <c r="T1064" t="s">
        <v>2931</v>
      </c>
      <c r="U1064">
        <v>0</v>
      </c>
      <c r="V1064" t="str">
        <f>IF(CleanedTable[[#This Row],[Returned]] = 0,"NO","Yes")</f>
        <v>NO</v>
      </c>
      <c r="W1064" t="s">
        <v>1113</v>
      </c>
      <c r="X1064" t="s">
        <v>2546</v>
      </c>
      <c r="Y1064" s="10">
        <v>9.35</v>
      </c>
      <c r="Z1064" s="3">
        <v>45510</v>
      </c>
      <c r="AA1064" s="3">
        <v>45520</v>
      </c>
      <c r="AB1064" t="s">
        <v>2922</v>
      </c>
      <c r="AC1064">
        <v>10</v>
      </c>
    </row>
    <row r="1065" spans="1:29" x14ac:dyDescent="0.3">
      <c r="A1065" s="3">
        <v>45489</v>
      </c>
      <c r="B1065" s="3" t="str">
        <f>TEXT(CleanedTable[[#This Row],[OrderDate]],"mmm")</f>
        <v>Jul</v>
      </c>
      <c r="C1065" s="3" t="str">
        <f>TEXT(CleanedTable[[#This Row],[OrderDate]],"yyyy")</f>
        <v>2024</v>
      </c>
      <c r="D1065" s="3" t="str">
        <f>TEXT(CleanedTable[[#This Row],[OrderDate]],"mmm yyyy")</f>
        <v>Jul 2024</v>
      </c>
      <c r="E1065" t="s">
        <v>22</v>
      </c>
      <c r="F1065" t="s">
        <v>25</v>
      </c>
      <c r="G1065" s="12">
        <v>14</v>
      </c>
      <c r="H1065" s="8">
        <v>300.38</v>
      </c>
      <c r="I1065" t="s">
        <v>32</v>
      </c>
      <c r="J1065" t="s">
        <v>36</v>
      </c>
      <c r="K1065" s="10">
        <v>0.1</v>
      </c>
      <c r="L1065" t="s">
        <v>38</v>
      </c>
      <c r="M1065">
        <v>3784.788</v>
      </c>
      <c r="N1065">
        <v>2523.1919999999996</v>
      </c>
      <c r="O1065" s="10">
        <v>1222.9960000000005</v>
      </c>
      <c r="P1065" s="10">
        <v>0.32313461150267875</v>
      </c>
      <c r="Q1065" s="8">
        <v>3784.788</v>
      </c>
      <c r="R1065" t="s">
        <v>43</v>
      </c>
      <c r="T1065" t="s">
        <v>2932</v>
      </c>
      <c r="U1065">
        <v>0</v>
      </c>
      <c r="V1065" t="str">
        <f>IF(CleanedTable[[#This Row],[Returned]] = 0,"NO","Yes")</f>
        <v>NO</v>
      </c>
      <c r="W1065" t="s">
        <v>1114</v>
      </c>
      <c r="X1065" t="s">
        <v>2547</v>
      </c>
      <c r="Y1065" s="10">
        <v>38.6</v>
      </c>
      <c r="Z1065" s="3">
        <v>45489</v>
      </c>
      <c r="AA1065" s="3">
        <v>45492</v>
      </c>
      <c r="AB1065" t="s">
        <v>2925</v>
      </c>
      <c r="AC1065">
        <v>3</v>
      </c>
    </row>
    <row r="1066" spans="1:29" x14ac:dyDescent="0.3">
      <c r="A1066" s="3">
        <v>45322</v>
      </c>
      <c r="B1066" s="3" t="str">
        <f>TEXT(CleanedTable[[#This Row],[OrderDate]],"mmm")</f>
        <v>Jan</v>
      </c>
      <c r="C1066" s="3" t="str">
        <f>TEXT(CleanedTable[[#This Row],[OrderDate]],"yyyy")</f>
        <v>2024</v>
      </c>
      <c r="D1066" s="3" t="str">
        <f>TEXT(CleanedTable[[#This Row],[OrderDate]],"mmm yyyy")</f>
        <v>Jan 2024</v>
      </c>
      <c r="E1066" t="s">
        <v>21</v>
      </c>
      <c r="F1066" t="s">
        <v>30</v>
      </c>
      <c r="G1066" s="12">
        <v>5</v>
      </c>
      <c r="H1066" s="8">
        <v>232.29</v>
      </c>
      <c r="I1066" t="s">
        <v>32</v>
      </c>
      <c r="J1066" t="s">
        <v>35</v>
      </c>
      <c r="K1066" s="10">
        <v>0</v>
      </c>
      <c r="L1066" t="s">
        <v>38</v>
      </c>
      <c r="M1066">
        <v>1161.45</v>
      </c>
      <c r="N1066">
        <v>696.87</v>
      </c>
      <c r="O1066" s="10">
        <v>422.20000000000005</v>
      </c>
      <c r="P1066" s="10">
        <v>0.3635111283309656</v>
      </c>
      <c r="Q1066" s="8">
        <v>1161.45</v>
      </c>
      <c r="R1066" t="s">
        <v>43</v>
      </c>
      <c r="T1066" t="s">
        <v>2932</v>
      </c>
      <c r="U1066">
        <v>1</v>
      </c>
      <c r="V1066" t="str">
        <f>IF(CleanedTable[[#This Row],[Returned]] = 0,"NO","Yes")</f>
        <v>Yes</v>
      </c>
      <c r="W1066" t="s">
        <v>1115</v>
      </c>
      <c r="X1066" t="s">
        <v>2548</v>
      </c>
      <c r="Y1066" s="10">
        <v>42.38</v>
      </c>
      <c r="Z1066" s="3">
        <v>45322</v>
      </c>
      <c r="AA1066" s="3">
        <v>45331</v>
      </c>
      <c r="AB1066" t="s">
        <v>2924</v>
      </c>
      <c r="AC1066">
        <v>9</v>
      </c>
    </row>
    <row r="1067" spans="1:29" x14ac:dyDescent="0.3">
      <c r="A1067" s="3">
        <v>45038</v>
      </c>
      <c r="B1067" s="3" t="str">
        <f>TEXT(CleanedTable[[#This Row],[OrderDate]],"mmm")</f>
        <v>Apr</v>
      </c>
      <c r="C1067" s="3" t="str">
        <f>TEXT(CleanedTable[[#This Row],[OrderDate]],"yyyy")</f>
        <v>2023</v>
      </c>
      <c r="D1067" s="3" t="str">
        <f>TEXT(CleanedTable[[#This Row],[OrderDate]],"mmm yyyy")</f>
        <v>Apr 2023</v>
      </c>
      <c r="E1067" t="s">
        <v>22</v>
      </c>
      <c r="F1067" t="s">
        <v>29</v>
      </c>
      <c r="G1067" s="12">
        <v>1</v>
      </c>
      <c r="H1067" s="8">
        <v>173.44</v>
      </c>
      <c r="I1067" t="s">
        <v>32</v>
      </c>
      <c r="J1067" t="s">
        <v>36</v>
      </c>
      <c r="K1067" s="10">
        <v>0</v>
      </c>
      <c r="L1067" t="s">
        <v>42</v>
      </c>
      <c r="M1067">
        <v>173.44</v>
      </c>
      <c r="N1067">
        <v>104.06399999999999</v>
      </c>
      <c r="O1067" s="10">
        <v>36.546000000000006</v>
      </c>
      <c r="P1067" s="10">
        <v>0.21071263837638379</v>
      </c>
      <c r="Q1067" s="8">
        <v>173.44</v>
      </c>
      <c r="R1067" t="s">
        <v>44</v>
      </c>
      <c r="S1067" t="s">
        <v>48</v>
      </c>
      <c r="T1067" t="s">
        <v>2931</v>
      </c>
      <c r="U1067">
        <v>0</v>
      </c>
      <c r="V1067" t="str">
        <f>IF(CleanedTable[[#This Row],[Returned]] = 0,"NO","Yes")</f>
        <v>NO</v>
      </c>
      <c r="W1067" t="s">
        <v>1116</v>
      </c>
      <c r="X1067" t="s">
        <v>2549</v>
      </c>
      <c r="Y1067" s="10">
        <v>32.83</v>
      </c>
      <c r="Z1067" s="3">
        <v>45038</v>
      </c>
      <c r="AA1067" s="3">
        <v>45040</v>
      </c>
      <c r="AB1067" t="s">
        <v>2925</v>
      </c>
      <c r="AC1067">
        <v>2</v>
      </c>
    </row>
    <row r="1068" spans="1:29" x14ac:dyDescent="0.3">
      <c r="A1068" s="3">
        <v>45692</v>
      </c>
      <c r="B1068" s="3" t="str">
        <f>TEXT(CleanedTable[[#This Row],[OrderDate]],"mmm")</f>
        <v>Feb</v>
      </c>
      <c r="C1068" s="3" t="str">
        <f>TEXT(CleanedTable[[#This Row],[OrderDate]],"yyyy")</f>
        <v>2025</v>
      </c>
      <c r="D1068" s="3" t="str">
        <f>TEXT(CleanedTable[[#This Row],[OrderDate]],"mmm yyyy")</f>
        <v>Feb 2025</v>
      </c>
      <c r="E1068" t="s">
        <v>19</v>
      </c>
      <c r="F1068" t="s">
        <v>25</v>
      </c>
      <c r="G1068" s="12">
        <v>9</v>
      </c>
      <c r="H1068" s="8">
        <v>256.14</v>
      </c>
      <c r="I1068" t="s">
        <v>32</v>
      </c>
      <c r="J1068" t="s">
        <v>36</v>
      </c>
      <c r="K1068" s="10">
        <v>0.15</v>
      </c>
      <c r="L1068" t="s">
        <v>39</v>
      </c>
      <c r="M1068">
        <v>1959.4709999999998</v>
      </c>
      <c r="N1068">
        <v>1383.1559999999999</v>
      </c>
      <c r="O1068" s="10">
        <v>571.10499999999979</v>
      </c>
      <c r="P1068" s="10">
        <v>0.2914587661669909</v>
      </c>
      <c r="Q1068" s="8">
        <v>1959.471</v>
      </c>
      <c r="R1068" t="s">
        <v>45</v>
      </c>
      <c r="S1068" t="s">
        <v>49</v>
      </c>
      <c r="T1068" t="s">
        <v>2931</v>
      </c>
      <c r="U1068">
        <v>1</v>
      </c>
      <c r="V1068" t="str">
        <f>IF(CleanedTable[[#This Row],[Returned]] = 0,"NO","Yes")</f>
        <v>Yes</v>
      </c>
      <c r="W1068" t="s">
        <v>1117</v>
      </c>
      <c r="X1068" t="s">
        <v>2550</v>
      </c>
      <c r="Y1068" s="10">
        <v>5.21</v>
      </c>
      <c r="Z1068" s="3">
        <v>45692</v>
      </c>
      <c r="AA1068" s="3">
        <v>45695</v>
      </c>
      <c r="AB1068" t="s">
        <v>2922</v>
      </c>
      <c r="AC1068">
        <v>3</v>
      </c>
    </row>
    <row r="1069" spans="1:29" x14ac:dyDescent="0.3">
      <c r="A1069" s="3">
        <v>45529</v>
      </c>
      <c r="B1069" s="3" t="str">
        <f>TEXT(CleanedTable[[#This Row],[OrderDate]],"mmm")</f>
        <v>Aug</v>
      </c>
      <c r="C1069" s="3" t="str">
        <f>TEXT(CleanedTable[[#This Row],[OrderDate]],"yyyy")</f>
        <v>2024</v>
      </c>
      <c r="D1069" s="3" t="str">
        <f>TEXT(CleanedTable[[#This Row],[OrderDate]],"mmm yyyy")</f>
        <v>Aug 2024</v>
      </c>
      <c r="E1069" t="s">
        <v>22</v>
      </c>
      <c r="F1069" t="s">
        <v>24</v>
      </c>
      <c r="G1069" s="12">
        <v>12</v>
      </c>
      <c r="H1069" s="8">
        <v>461.3</v>
      </c>
      <c r="I1069" t="s">
        <v>34</v>
      </c>
      <c r="J1069" t="s">
        <v>35</v>
      </c>
      <c r="K1069" s="10">
        <v>0.15</v>
      </c>
      <c r="L1069" t="s">
        <v>41</v>
      </c>
      <c r="M1069">
        <v>4705.26</v>
      </c>
      <c r="N1069">
        <v>3321.3599999999997</v>
      </c>
      <c r="O1069" s="10">
        <v>1375.3000000000006</v>
      </c>
      <c r="P1069" s="10">
        <v>0.29228990533998134</v>
      </c>
      <c r="Q1069" s="8">
        <v>4705.26</v>
      </c>
      <c r="R1069" t="s">
        <v>44</v>
      </c>
      <c r="S1069" t="s">
        <v>48</v>
      </c>
      <c r="T1069" t="s">
        <v>2931</v>
      </c>
      <c r="U1069">
        <v>0</v>
      </c>
      <c r="V1069" t="str">
        <f>IF(CleanedTable[[#This Row],[Returned]] = 0,"NO","Yes")</f>
        <v>NO</v>
      </c>
      <c r="W1069" t="s">
        <v>1118</v>
      </c>
      <c r="X1069" t="s">
        <v>2551</v>
      </c>
      <c r="Y1069" s="10">
        <v>8.6</v>
      </c>
      <c r="Z1069" s="3">
        <v>45529</v>
      </c>
      <c r="AA1069" s="3">
        <v>45538</v>
      </c>
      <c r="AB1069" t="s">
        <v>2925</v>
      </c>
      <c r="AC1069">
        <v>9</v>
      </c>
    </row>
    <row r="1070" spans="1:29" x14ac:dyDescent="0.3">
      <c r="A1070" s="3">
        <v>45168</v>
      </c>
      <c r="B1070" s="3" t="str">
        <f>TEXT(CleanedTable[[#This Row],[OrderDate]],"mmm")</f>
        <v>Aug</v>
      </c>
      <c r="C1070" s="3" t="str">
        <f>TEXT(CleanedTable[[#This Row],[OrderDate]],"yyyy")</f>
        <v>2023</v>
      </c>
      <c r="D1070" s="3" t="str">
        <f>TEXT(CleanedTable[[#This Row],[OrderDate]],"mmm yyyy")</f>
        <v>Aug 2023</v>
      </c>
      <c r="E1070" t="s">
        <v>19</v>
      </c>
      <c r="F1070" t="s">
        <v>25</v>
      </c>
      <c r="G1070" s="12">
        <v>1</v>
      </c>
      <c r="H1070" s="8">
        <v>193.08</v>
      </c>
      <c r="I1070" t="s">
        <v>32</v>
      </c>
      <c r="J1070" t="s">
        <v>35</v>
      </c>
      <c r="K1070" s="10">
        <v>0.05</v>
      </c>
      <c r="L1070" t="s">
        <v>39</v>
      </c>
      <c r="M1070">
        <v>183.42600000000002</v>
      </c>
      <c r="N1070">
        <v>115.848</v>
      </c>
      <c r="O1070" s="10">
        <v>43.588000000000022</v>
      </c>
      <c r="P1070" s="10">
        <v>0.2376326147874348</v>
      </c>
      <c r="Q1070" s="8">
        <v>183.42599999999999</v>
      </c>
      <c r="R1070" t="s">
        <v>43</v>
      </c>
      <c r="S1070" t="s">
        <v>49</v>
      </c>
      <c r="T1070" t="s">
        <v>2931</v>
      </c>
      <c r="U1070">
        <v>0</v>
      </c>
      <c r="V1070" t="str">
        <f>IF(CleanedTable[[#This Row],[Returned]] = 0,"NO","Yes")</f>
        <v>NO</v>
      </c>
      <c r="W1070" t="s">
        <v>1119</v>
      </c>
      <c r="X1070" t="s">
        <v>2342</v>
      </c>
      <c r="Y1070" s="10">
        <v>23.99</v>
      </c>
      <c r="Z1070" s="3">
        <v>45168</v>
      </c>
      <c r="AA1070" s="3">
        <v>45174</v>
      </c>
      <c r="AB1070" t="s">
        <v>2922</v>
      </c>
      <c r="AC1070">
        <v>6</v>
      </c>
    </row>
    <row r="1071" spans="1:29" x14ac:dyDescent="0.3">
      <c r="A1071" s="3">
        <v>45175</v>
      </c>
      <c r="B1071" s="3" t="str">
        <f>TEXT(CleanedTable[[#This Row],[OrderDate]],"mmm")</f>
        <v>Sep</v>
      </c>
      <c r="C1071" s="3" t="str">
        <f>TEXT(CleanedTable[[#This Row],[OrderDate]],"yyyy")</f>
        <v>2023</v>
      </c>
      <c r="D1071" s="3" t="str">
        <f>TEXT(CleanedTable[[#This Row],[OrderDate]],"mmm yyyy")</f>
        <v>Sep 2023</v>
      </c>
      <c r="E1071" t="s">
        <v>23</v>
      </c>
      <c r="F1071" t="s">
        <v>27</v>
      </c>
      <c r="G1071" s="12">
        <v>3</v>
      </c>
      <c r="H1071" s="8">
        <v>312.97000000000003</v>
      </c>
      <c r="I1071" t="s">
        <v>33</v>
      </c>
      <c r="J1071" t="s">
        <v>36</v>
      </c>
      <c r="K1071" s="10">
        <v>0.05</v>
      </c>
      <c r="L1071" t="s">
        <v>37</v>
      </c>
      <c r="M1071">
        <v>891.96450000000004</v>
      </c>
      <c r="N1071">
        <v>563.346</v>
      </c>
      <c r="O1071" s="10">
        <v>308.55850000000004</v>
      </c>
      <c r="P1071" s="10">
        <v>0.34593136834481641</v>
      </c>
      <c r="Q1071" s="8">
        <v>891.96450000000004</v>
      </c>
      <c r="R1071" t="s">
        <v>45</v>
      </c>
      <c r="T1071" t="s">
        <v>2932</v>
      </c>
      <c r="U1071">
        <v>1</v>
      </c>
      <c r="V1071" t="str">
        <f>IF(CleanedTable[[#This Row],[Returned]] = 0,"NO","Yes")</f>
        <v>Yes</v>
      </c>
      <c r="W1071" t="s">
        <v>1120</v>
      </c>
      <c r="X1071" t="s">
        <v>2552</v>
      </c>
      <c r="Y1071" s="10">
        <v>20.059999999999999</v>
      </c>
      <c r="Z1071" s="3">
        <v>45175</v>
      </c>
      <c r="AA1071" s="3">
        <v>45181</v>
      </c>
      <c r="AB1071" t="s">
        <v>2926</v>
      </c>
      <c r="AC1071">
        <v>6</v>
      </c>
    </row>
    <row r="1072" spans="1:29" x14ac:dyDescent="0.3">
      <c r="A1072" s="3">
        <v>45790</v>
      </c>
      <c r="B1072" s="3" t="str">
        <f>TEXT(CleanedTable[[#This Row],[OrderDate]],"mmm")</f>
        <v>May</v>
      </c>
      <c r="C1072" s="3" t="str">
        <f>TEXT(CleanedTable[[#This Row],[OrderDate]],"yyyy")</f>
        <v>2025</v>
      </c>
      <c r="D1072" s="3" t="str">
        <f>TEXT(CleanedTable[[#This Row],[OrderDate]],"mmm yyyy")</f>
        <v>May 2025</v>
      </c>
      <c r="E1072" t="s">
        <v>20</v>
      </c>
      <c r="F1072" t="s">
        <v>24</v>
      </c>
      <c r="G1072" s="12">
        <v>6</v>
      </c>
      <c r="H1072" s="8">
        <v>214.14</v>
      </c>
      <c r="I1072" t="s">
        <v>34</v>
      </c>
      <c r="J1072" t="s">
        <v>35</v>
      </c>
      <c r="K1072" s="10">
        <v>0.05</v>
      </c>
      <c r="L1072" t="s">
        <v>41</v>
      </c>
      <c r="M1072">
        <v>1220.598</v>
      </c>
      <c r="N1072">
        <v>770.90399999999988</v>
      </c>
      <c r="O1072" s="10">
        <v>404.83400000000006</v>
      </c>
      <c r="P1072" s="10">
        <v>0.3316685755670582</v>
      </c>
      <c r="Q1072" s="8">
        <v>1220.598</v>
      </c>
      <c r="R1072" t="s">
        <v>47</v>
      </c>
      <c r="S1072" t="s">
        <v>48</v>
      </c>
      <c r="T1072" t="s">
        <v>2931</v>
      </c>
      <c r="U1072">
        <v>0</v>
      </c>
      <c r="V1072" t="str">
        <f>IF(CleanedTable[[#This Row],[Returned]] = 0,"NO","Yes")</f>
        <v>NO</v>
      </c>
      <c r="W1072" t="s">
        <v>1121</v>
      </c>
      <c r="X1072" t="s">
        <v>2553</v>
      </c>
      <c r="Y1072" s="10">
        <v>44.86</v>
      </c>
      <c r="Z1072" s="3">
        <v>45790</v>
      </c>
      <c r="AA1072" s="3">
        <v>45798</v>
      </c>
      <c r="AB1072" t="s">
        <v>2923</v>
      </c>
      <c r="AC1072">
        <v>8</v>
      </c>
    </row>
    <row r="1073" spans="1:29" x14ac:dyDescent="0.3">
      <c r="A1073" s="3">
        <v>45228</v>
      </c>
      <c r="B1073" s="3" t="str">
        <f>TEXT(CleanedTable[[#This Row],[OrderDate]],"mmm")</f>
        <v>Oct</v>
      </c>
      <c r="C1073" s="3" t="str">
        <f>TEXT(CleanedTable[[#This Row],[OrderDate]],"yyyy")</f>
        <v>2023</v>
      </c>
      <c r="D1073" s="3" t="str">
        <f>TEXT(CleanedTable[[#This Row],[OrderDate]],"mmm yyyy")</f>
        <v>Oct 2023</v>
      </c>
      <c r="E1073" t="s">
        <v>21</v>
      </c>
      <c r="F1073" t="s">
        <v>25</v>
      </c>
      <c r="G1073" s="12">
        <v>4</v>
      </c>
      <c r="H1073" s="8">
        <v>59.8</v>
      </c>
      <c r="I1073" t="s">
        <v>34</v>
      </c>
      <c r="J1073" t="s">
        <v>36</v>
      </c>
      <c r="K1073" s="10">
        <v>0.1</v>
      </c>
      <c r="L1073" t="s">
        <v>39</v>
      </c>
      <c r="M1073">
        <v>215.28</v>
      </c>
      <c r="N1073">
        <v>143.51999999999998</v>
      </c>
      <c r="O1073" s="10">
        <v>29.170000000000016</v>
      </c>
      <c r="P1073" s="10">
        <v>0.13549795615013013</v>
      </c>
      <c r="Q1073" s="8">
        <v>215.28</v>
      </c>
      <c r="R1073" t="s">
        <v>43</v>
      </c>
      <c r="S1073" t="s">
        <v>48</v>
      </c>
      <c r="T1073" t="s">
        <v>2931</v>
      </c>
      <c r="U1073">
        <v>0</v>
      </c>
      <c r="V1073" t="str">
        <f>IF(CleanedTable[[#This Row],[Returned]] = 0,"NO","Yes")</f>
        <v>NO</v>
      </c>
      <c r="W1073" t="s">
        <v>1122</v>
      </c>
      <c r="X1073" t="s">
        <v>2554</v>
      </c>
      <c r="Y1073" s="10">
        <v>42.59</v>
      </c>
      <c r="Z1073" s="3">
        <v>45228</v>
      </c>
      <c r="AA1073" s="3">
        <v>45236</v>
      </c>
      <c r="AB1073" t="s">
        <v>2924</v>
      </c>
      <c r="AC1073">
        <v>8</v>
      </c>
    </row>
    <row r="1074" spans="1:29" x14ac:dyDescent="0.3">
      <c r="A1074" s="3">
        <v>45455</v>
      </c>
      <c r="B1074" s="3" t="str">
        <f>TEXT(CleanedTable[[#This Row],[OrderDate]],"mmm")</f>
        <v>Jun</v>
      </c>
      <c r="C1074" s="3" t="str">
        <f>TEXT(CleanedTable[[#This Row],[OrderDate]],"yyyy")</f>
        <v>2024</v>
      </c>
      <c r="D1074" s="3" t="str">
        <f>TEXT(CleanedTable[[#This Row],[OrderDate]],"mmm yyyy")</f>
        <v>Jun 2024</v>
      </c>
      <c r="E1074" t="s">
        <v>19</v>
      </c>
      <c r="F1074" t="s">
        <v>24</v>
      </c>
      <c r="G1074" s="12">
        <v>9</v>
      </c>
      <c r="H1074" s="8">
        <v>418</v>
      </c>
      <c r="I1074" t="s">
        <v>33</v>
      </c>
      <c r="J1074" t="s">
        <v>35</v>
      </c>
      <c r="K1074" s="10">
        <v>0</v>
      </c>
      <c r="L1074" t="s">
        <v>42</v>
      </c>
      <c r="M1074">
        <v>3762</v>
      </c>
      <c r="N1074">
        <v>2257.1999999999998</v>
      </c>
      <c r="O1074" s="10">
        <v>1474.3500000000001</v>
      </c>
      <c r="P1074" s="10">
        <v>0.39190590111642748</v>
      </c>
      <c r="Q1074" s="8">
        <v>3762</v>
      </c>
      <c r="R1074" t="s">
        <v>45</v>
      </c>
      <c r="S1074" t="s">
        <v>50</v>
      </c>
      <c r="T1074" t="s">
        <v>2931</v>
      </c>
      <c r="U1074">
        <v>0</v>
      </c>
      <c r="V1074" t="str">
        <f>IF(CleanedTable[[#This Row],[Returned]] = 0,"NO","Yes")</f>
        <v>NO</v>
      </c>
      <c r="W1074" t="s">
        <v>1123</v>
      </c>
      <c r="X1074" t="s">
        <v>2555</v>
      </c>
      <c r="Y1074" s="10">
        <v>30.45</v>
      </c>
      <c r="Z1074" s="3">
        <v>45455</v>
      </c>
      <c r="AA1074" s="3">
        <v>45461</v>
      </c>
      <c r="AB1074" t="s">
        <v>2922</v>
      </c>
      <c r="AC1074">
        <v>6</v>
      </c>
    </row>
    <row r="1075" spans="1:29" x14ac:dyDescent="0.3">
      <c r="A1075" s="3">
        <v>44959</v>
      </c>
      <c r="B1075" s="3" t="str">
        <f>TEXT(CleanedTable[[#This Row],[OrderDate]],"mmm")</f>
        <v>Feb</v>
      </c>
      <c r="C1075" s="3" t="str">
        <f>TEXT(CleanedTable[[#This Row],[OrderDate]],"yyyy")</f>
        <v>2023</v>
      </c>
      <c r="D1075" s="3" t="str">
        <f>TEXT(CleanedTable[[#This Row],[OrderDate]],"mmm yyyy")</f>
        <v>Feb 2023</v>
      </c>
      <c r="E1075" t="s">
        <v>20</v>
      </c>
      <c r="F1075" t="s">
        <v>27</v>
      </c>
      <c r="G1075" s="12">
        <v>1</v>
      </c>
      <c r="H1075" s="8">
        <v>80.959999999999994</v>
      </c>
      <c r="I1075" t="s">
        <v>32</v>
      </c>
      <c r="J1075" t="s">
        <v>35</v>
      </c>
      <c r="K1075" s="10">
        <v>0</v>
      </c>
      <c r="L1075" t="s">
        <v>42</v>
      </c>
      <c r="M1075">
        <v>80.959999999999994</v>
      </c>
      <c r="N1075">
        <v>48.575999999999993</v>
      </c>
      <c r="O1075" s="10">
        <v>-15.686</v>
      </c>
      <c r="P1075" s="10">
        <v>-0.19375000000000001</v>
      </c>
      <c r="Q1075" s="8">
        <v>80.959999999999994</v>
      </c>
      <c r="R1075" t="s">
        <v>45</v>
      </c>
      <c r="S1075" t="s">
        <v>48</v>
      </c>
      <c r="T1075" t="s">
        <v>2931</v>
      </c>
      <c r="U1075">
        <v>0</v>
      </c>
      <c r="V1075" t="str">
        <f>IF(CleanedTable[[#This Row],[Returned]] = 0,"NO","Yes")</f>
        <v>NO</v>
      </c>
      <c r="W1075" t="s">
        <v>1124</v>
      </c>
      <c r="X1075" t="s">
        <v>2556</v>
      </c>
      <c r="Y1075" s="10">
        <v>48.07</v>
      </c>
      <c r="Z1075" s="3">
        <v>44959</v>
      </c>
      <c r="AA1075" s="3">
        <v>44962</v>
      </c>
      <c r="AB1075" t="s">
        <v>2923</v>
      </c>
      <c r="AC1075">
        <v>3</v>
      </c>
    </row>
    <row r="1076" spans="1:29" x14ac:dyDescent="0.3">
      <c r="A1076" s="3">
        <v>45050</v>
      </c>
      <c r="B1076" s="3" t="str">
        <f>TEXT(CleanedTable[[#This Row],[OrderDate]],"mmm")</f>
        <v>May</v>
      </c>
      <c r="C1076" s="3" t="str">
        <f>TEXT(CleanedTable[[#This Row],[OrderDate]],"yyyy")</f>
        <v>2023</v>
      </c>
      <c r="D1076" s="3" t="str">
        <f>TEXT(CleanedTable[[#This Row],[OrderDate]],"mmm yyyy")</f>
        <v>May 2023</v>
      </c>
      <c r="E1076" t="s">
        <v>19</v>
      </c>
      <c r="F1076" t="s">
        <v>25</v>
      </c>
      <c r="G1076" s="12">
        <v>20</v>
      </c>
      <c r="H1076" s="8">
        <v>42.12</v>
      </c>
      <c r="I1076" t="s">
        <v>31</v>
      </c>
      <c r="J1076" t="s">
        <v>35</v>
      </c>
      <c r="K1076" s="10">
        <v>0.15</v>
      </c>
      <c r="L1076" t="s">
        <v>38</v>
      </c>
      <c r="M1076">
        <v>716.04</v>
      </c>
      <c r="N1076">
        <v>505.43999999999994</v>
      </c>
      <c r="O1076" s="10">
        <v>167.38000000000002</v>
      </c>
      <c r="P1076" s="10">
        <v>0.23375789062063576</v>
      </c>
      <c r="Q1076" s="8">
        <v>716.04</v>
      </c>
      <c r="R1076" t="s">
        <v>45</v>
      </c>
      <c r="T1076" t="s">
        <v>2932</v>
      </c>
      <c r="U1076">
        <v>0</v>
      </c>
      <c r="V1076" t="str">
        <f>IF(CleanedTable[[#This Row],[Returned]] = 0,"NO","Yes")</f>
        <v>NO</v>
      </c>
      <c r="W1076" t="s">
        <v>1125</v>
      </c>
      <c r="X1076" t="s">
        <v>2557</v>
      </c>
      <c r="Y1076" s="10">
        <v>43.22</v>
      </c>
      <c r="Z1076" s="3">
        <v>45050</v>
      </c>
      <c r="AA1076" s="3">
        <v>45058</v>
      </c>
      <c r="AB1076" t="s">
        <v>2922</v>
      </c>
      <c r="AC1076">
        <v>8</v>
      </c>
    </row>
    <row r="1077" spans="1:29" x14ac:dyDescent="0.3">
      <c r="A1077" s="3">
        <v>45070</v>
      </c>
      <c r="B1077" s="3" t="str">
        <f>TEXT(CleanedTable[[#This Row],[OrderDate]],"mmm")</f>
        <v>May</v>
      </c>
      <c r="C1077" s="3" t="str">
        <f>TEXT(CleanedTable[[#This Row],[OrderDate]],"yyyy")</f>
        <v>2023</v>
      </c>
      <c r="D1077" s="3" t="str">
        <f>TEXT(CleanedTable[[#This Row],[OrderDate]],"mmm yyyy")</f>
        <v>May 2023</v>
      </c>
      <c r="E1077" t="s">
        <v>23</v>
      </c>
      <c r="F1077" t="s">
        <v>28</v>
      </c>
      <c r="G1077" s="12">
        <v>3</v>
      </c>
      <c r="H1077" s="8">
        <v>366.65</v>
      </c>
      <c r="I1077" t="s">
        <v>34</v>
      </c>
      <c r="J1077" t="s">
        <v>35</v>
      </c>
      <c r="K1077" s="10">
        <v>0</v>
      </c>
      <c r="L1077" t="s">
        <v>40</v>
      </c>
      <c r="M1077">
        <v>1099.9499999999998</v>
      </c>
      <c r="N1077">
        <v>659.96999999999991</v>
      </c>
      <c r="O1077" s="10">
        <v>406.37999999999988</v>
      </c>
      <c r="P1077" s="10">
        <v>0.36945315696168002</v>
      </c>
      <c r="Q1077" s="8">
        <v>1099.95</v>
      </c>
      <c r="R1077" t="s">
        <v>45</v>
      </c>
      <c r="S1077" t="s">
        <v>49</v>
      </c>
      <c r="T1077" t="s">
        <v>2931</v>
      </c>
      <c r="U1077">
        <v>0</v>
      </c>
      <c r="V1077" t="str">
        <f>IF(CleanedTable[[#This Row],[Returned]] = 0,"NO","Yes")</f>
        <v>NO</v>
      </c>
      <c r="W1077" t="s">
        <v>1126</v>
      </c>
      <c r="X1077" t="s">
        <v>2558</v>
      </c>
      <c r="Y1077" s="10">
        <v>33.6</v>
      </c>
      <c r="Z1077" s="3">
        <v>45070</v>
      </c>
      <c r="AA1077" s="3">
        <v>45077</v>
      </c>
      <c r="AB1077" t="s">
        <v>2926</v>
      </c>
      <c r="AC1077">
        <v>7</v>
      </c>
    </row>
    <row r="1078" spans="1:29" x14ac:dyDescent="0.3">
      <c r="A1078" s="3">
        <v>44960</v>
      </c>
      <c r="B1078" s="3" t="str">
        <f>TEXT(CleanedTable[[#This Row],[OrderDate]],"mmm")</f>
        <v>Feb</v>
      </c>
      <c r="C1078" s="3" t="str">
        <f>TEXT(CleanedTable[[#This Row],[OrderDate]],"yyyy")</f>
        <v>2023</v>
      </c>
      <c r="D1078" s="3" t="str">
        <f>TEXT(CleanedTable[[#This Row],[OrderDate]],"mmm yyyy")</f>
        <v>Feb 2023</v>
      </c>
      <c r="E1078" t="s">
        <v>23</v>
      </c>
      <c r="F1078" t="s">
        <v>28</v>
      </c>
      <c r="G1078" s="12">
        <v>19</v>
      </c>
      <c r="H1078" s="8">
        <v>534.91999999999996</v>
      </c>
      <c r="I1078" t="s">
        <v>34</v>
      </c>
      <c r="J1078" t="s">
        <v>36</v>
      </c>
      <c r="K1078" s="10">
        <v>0</v>
      </c>
      <c r="L1078" t="s">
        <v>41</v>
      </c>
      <c r="M1078">
        <v>10163.48</v>
      </c>
      <c r="N1078">
        <v>6098.0879999999988</v>
      </c>
      <c r="O1078" s="10">
        <v>4038.4220000000009</v>
      </c>
      <c r="P1078" s="10">
        <v>0.39734638135756661</v>
      </c>
      <c r="Q1078" s="8">
        <v>10163.48</v>
      </c>
      <c r="R1078" t="s">
        <v>43</v>
      </c>
      <c r="T1078" t="s">
        <v>2932</v>
      </c>
      <c r="U1078">
        <v>0</v>
      </c>
      <c r="V1078" t="str">
        <f>IF(CleanedTable[[#This Row],[Returned]] = 0,"NO","Yes")</f>
        <v>NO</v>
      </c>
      <c r="W1078" t="s">
        <v>1127</v>
      </c>
      <c r="X1078" t="s">
        <v>2559</v>
      </c>
      <c r="Y1078" s="10">
        <v>26.97</v>
      </c>
      <c r="Z1078" s="3">
        <v>44960</v>
      </c>
      <c r="AA1078" s="3">
        <v>44970</v>
      </c>
      <c r="AB1078" t="s">
        <v>2926</v>
      </c>
      <c r="AC1078">
        <v>10</v>
      </c>
    </row>
    <row r="1079" spans="1:29" x14ac:dyDescent="0.3">
      <c r="A1079" s="3">
        <v>45285</v>
      </c>
      <c r="B1079" s="3" t="str">
        <f>TEXT(CleanedTable[[#This Row],[OrderDate]],"mmm")</f>
        <v>Dec</v>
      </c>
      <c r="C1079" s="3" t="str">
        <f>TEXT(CleanedTable[[#This Row],[OrderDate]],"yyyy")</f>
        <v>2023</v>
      </c>
      <c r="D1079" s="3" t="str">
        <f>TEXT(CleanedTable[[#This Row],[OrderDate]],"mmm yyyy")</f>
        <v>Dec 2023</v>
      </c>
      <c r="E1079" t="s">
        <v>19</v>
      </c>
      <c r="F1079" t="s">
        <v>27</v>
      </c>
      <c r="G1079" s="12">
        <v>1</v>
      </c>
      <c r="H1079" s="8">
        <v>494.52</v>
      </c>
      <c r="I1079" t="s">
        <v>34</v>
      </c>
      <c r="J1079" t="s">
        <v>36</v>
      </c>
      <c r="K1079" s="10">
        <v>0</v>
      </c>
      <c r="L1079" t="s">
        <v>42</v>
      </c>
      <c r="M1079">
        <v>494.52</v>
      </c>
      <c r="N1079">
        <v>296.71199999999999</v>
      </c>
      <c r="O1079" s="10">
        <v>154.78799999999998</v>
      </c>
      <c r="P1079" s="10">
        <v>0.31300655180781362</v>
      </c>
      <c r="Q1079" s="8">
        <v>494.52</v>
      </c>
      <c r="R1079" t="s">
        <v>45</v>
      </c>
      <c r="T1079" t="s">
        <v>2932</v>
      </c>
      <c r="U1079">
        <v>0</v>
      </c>
      <c r="V1079" t="str">
        <f>IF(CleanedTable[[#This Row],[Returned]] = 0,"NO","Yes")</f>
        <v>NO</v>
      </c>
      <c r="W1079" t="s">
        <v>1128</v>
      </c>
      <c r="X1079" t="s">
        <v>2560</v>
      </c>
      <c r="Y1079" s="10">
        <v>43.02</v>
      </c>
      <c r="Z1079" s="3">
        <v>45285</v>
      </c>
      <c r="AA1079" s="3">
        <v>45293</v>
      </c>
      <c r="AB1079" t="s">
        <v>2922</v>
      </c>
      <c r="AC1079">
        <v>8</v>
      </c>
    </row>
    <row r="1080" spans="1:29" x14ac:dyDescent="0.3">
      <c r="A1080" s="3">
        <v>45133</v>
      </c>
      <c r="B1080" s="3" t="str">
        <f>TEXT(CleanedTable[[#This Row],[OrderDate]],"mmm")</f>
        <v>Jul</v>
      </c>
      <c r="C1080" s="3" t="str">
        <f>TEXT(CleanedTable[[#This Row],[OrderDate]],"yyyy")</f>
        <v>2023</v>
      </c>
      <c r="D1080" s="3" t="str">
        <f>TEXT(CleanedTable[[#This Row],[OrderDate]],"mmm yyyy")</f>
        <v>Jul 2023</v>
      </c>
      <c r="E1080" t="s">
        <v>19</v>
      </c>
      <c r="F1080" t="s">
        <v>28</v>
      </c>
      <c r="G1080" s="12">
        <v>6</v>
      </c>
      <c r="H1080" s="8">
        <v>344.67</v>
      </c>
      <c r="I1080" t="s">
        <v>34</v>
      </c>
      <c r="J1080" t="s">
        <v>35</v>
      </c>
      <c r="K1080" s="10">
        <v>0.1</v>
      </c>
      <c r="L1080" t="s">
        <v>41</v>
      </c>
      <c r="M1080">
        <v>1861.2180000000001</v>
      </c>
      <c r="N1080">
        <v>1240.8119999999999</v>
      </c>
      <c r="O1080" s="10">
        <v>589.27600000000018</v>
      </c>
      <c r="P1080" s="10">
        <v>0.31660772676817017</v>
      </c>
      <c r="Q1080" s="8">
        <v>1861.2180000000001</v>
      </c>
      <c r="R1080" t="s">
        <v>43</v>
      </c>
      <c r="S1080" t="s">
        <v>49</v>
      </c>
      <c r="T1080" t="s">
        <v>2931</v>
      </c>
      <c r="U1080">
        <v>1</v>
      </c>
      <c r="V1080" t="str">
        <f>IF(CleanedTable[[#This Row],[Returned]] = 0,"NO","Yes")</f>
        <v>Yes</v>
      </c>
      <c r="W1080" t="s">
        <v>1129</v>
      </c>
      <c r="X1080" t="s">
        <v>2561</v>
      </c>
      <c r="Y1080" s="10">
        <v>31.13</v>
      </c>
      <c r="Z1080" s="3">
        <v>45133</v>
      </c>
      <c r="AA1080" s="3">
        <v>45139</v>
      </c>
      <c r="AB1080" t="s">
        <v>2922</v>
      </c>
      <c r="AC1080">
        <v>6</v>
      </c>
    </row>
    <row r="1081" spans="1:29" x14ac:dyDescent="0.3">
      <c r="A1081" s="3">
        <v>45449</v>
      </c>
      <c r="B1081" s="3" t="str">
        <f>TEXT(CleanedTable[[#This Row],[OrderDate]],"mmm")</f>
        <v>Jun</v>
      </c>
      <c r="C1081" s="3" t="str">
        <f>TEXT(CleanedTable[[#This Row],[OrderDate]],"yyyy")</f>
        <v>2024</v>
      </c>
      <c r="D1081" s="3" t="str">
        <f>TEXT(CleanedTable[[#This Row],[OrderDate]],"mmm yyyy")</f>
        <v>Jun 2024</v>
      </c>
      <c r="E1081" t="s">
        <v>22</v>
      </c>
      <c r="F1081" t="s">
        <v>28</v>
      </c>
      <c r="G1081" s="12">
        <v>12</v>
      </c>
      <c r="H1081" s="8">
        <v>489.14</v>
      </c>
      <c r="I1081" t="s">
        <v>34</v>
      </c>
      <c r="J1081" t="s">
        <v>36</v>
      </c>
      <c r="K1081" s="10">
        <v>0.15</v>
      </c>
      <c r="L1081" t="s">
        <v>42</v>
      </c>
      <c r="M1081">
        <v>4989.2280000000001</v>
      </c>
      <c r="N1081">
        <v>3521.808</v>
      </c>
      <c r="O1081" s="10">
        <v>1438.1100000000001</v>
      </c>
      <c r="P1081" s="10">
        <v>0.28824299069916232</v>
      </c>
      <c r="Q1081" s="8">
        <v>4989.2280000000001</v>
      </c>
      <c r="R1081" t="s">
        <v>43</v>
      </c>
      <c r="S1081" t="s">
        <v>49</v>
      </c>
      <c r="T1081" t="s">
        <v>2931</v>
      </c>
      <c r="U1081">
        <v>0</v>
      </c>
      <c r="V1081" t="str">
        <f>IF(CleanedTable[[#This Row],[Returned]] = 0,"NO","Yes")</f>
        <v>NO</v>
      </c>
      <c r="W1081" t="s">
        <v>1130</v>
      </c>
      <c r="X1081" t="s">
        <v>1626</v>
      </c>
      <c r="Y1081" s="10">
        <v>29.31</v>
      </c>
      <c r="Z1081" s="3">
        <v>45449</v>
      </c>
      <c r="AA1081" s="3">
        <v>45458</v>
      </c>
      <c r="AB1081" t="s">
        <v>2925</v>
      </c>
      <c r="AC1081">
        <v>9</v>
      </c>
    </row>
    <row r="1082" spans="1:29" x14ac:dyDescent="0.3">
      <c r="A1082" s="3">
        <v>45578</v>
      </c>
      <c r="B1082" s="3" t="str">
        <f>TEXT(CleanedTable[[#This Row],[OrderDate]],"mmm")</f>
        <v>Oct</v>
      </c>
      <c r="C1082" s="3" t="str">
        <f>TEXT(CleanedTable[[#This Row],[OrderDate]],"yyyy")</f>
        <v>2024</v>
      </c>
      <c r="D1082" s="3" t="str">
        <f>TEXT(CleanedTable[[#This Row],[OrderDate]],"mmm yyyy")</f>
        <v>Oct 2024</v>
      </c>
      <c r="E1082" t="s">
        <v>20</v>
      </c>
      <c r="F1082" t="s">
        <v>30</v>
      </c>
      <c r="G1082" s="12">
        <v>18</v>
      </c>
      <c r="H1082" s="8">
        <v>256.23</v>
      </c>
      <c r="I1082" t="s">
        <v>31</v>
      </c>
      <c r="J1082" t="s">
        <v>35</v>
      </c>
      <c r="K1082" s="10">
        <v>0.05</v>
      </c>
      <c r="L1082" t="s">
        <v>37</v>
      </c>
      <c r="M1082">
        <v>4381.5330000000004</v>
      </c>
      <c r="N1082">
        <v>2767.2840000000001</v>
      </c>
      <c r="O1082" s="10">
        <v>1603.0390000000002</v>
      </c>
      <c r="P1082" s="10">
        <v>0.36586258736382909</v>
      </c>
      <c r="Q1082" s="8">
        <v>4381.5330000000004</v>
      </c>
      <c r="R1082" t="s">
        <v>46</v>
      </c>
      <c r="T1082" t="s">
        <v>2932</v>
      </c>
      <c r="U1082">
        <v>0</v>
      </c>
      <c r="V1082" t="str">
        <f>IF(CleanedTable[[#This Row],[Returned]] = 0,"NO","Yes")</f>
        <v>NO</v>
      </c>
      <c r="W1082" t="s">
        <v>1131</v>
      </c>
      <c r="X1082" t="s">
        <v>2562</v>
      </c>
      <c r="Y1082" s="10">
        <v>11.21</v>
      </c>
      <c r="Z1082" s="3">
        <v>45578</v>
      </c>
      <c r="AA1082" s="3">
        <v>45583</v>
      </c>
      <c r="AB1082" t="s">
        <v>2923</v>
      </c>
      <c r="AC1082">
        <v>5</v>
      </c>
    </row>
    <row r="1083" spans="1:29" x14ac:dyDescent="0.3">
      <c r="A1083" s="3">
        <v>45599</v>
      </c>
      <c r="B1083" s="3" t="str">
        <f>TEXT(CleanedTable[[#This Row],[OrderDate]],"mmm")</f>
        <v>Nov</v>
      </c>
      <c r="C1083" s="3" t="str">
        <f>TEXT(CleanedTable[[#This Row],[OrderDate]],"yyyy")</f>
        <v>2024</v>
      </c>
      <c r="D1083" s="3" t="str">
        <f>TEXT(CleanedTable[[#This Row],[OrderDate]],"mmm yyyy")</f>
        <v>Nov 2024</v>
      </c>
      <c r="E1083" t="s">
        <v>21</v>
      </c>
      <c r="F1083" t="s">
        <v>30</v>
      </c>
      <c r="G1083" s="12">
        <v>17</v>
      </c>
      <c r="H1083" s="8">
        <v>99.76</v>
      </c>
      <c r="I1083" t="s">
        <v>33</v>
      </c>
      <c r="J1083" t="s">
        <v>35</v>
      </c>
      <c r="K1083" s="10">
        <v>0</v>
      </c>
      <c r="L1083" t="s">
        <v>41</v>
      </c>
      <c r="M1083">
        <v>1695.92</v>
      </c>
      <c r="N1083">
        <v>1017.552</v>
      </c>
      <c r="O1083" s="10">
        <v>656.47800000000007</v>
      </c>
      <c r="P1083" s="10">
        <v>0.3870925515354498</v>
      </c>
      <c r="Q1083" s="8">
        <v>1695.92</v>
      </c>
      <c r="R1083" t="s">
        <v>43</v>
      </c>
      <c r="S1083" t="s">
        <v>48</v>
      </c>
      <c r="T1083" t="s">
        <v>2931</v>
      </c>
      <c r="U1083">
        <v>1</v>
      </c>
      <c r="V1083" t="str">
        <f>IF(CleanedTable[[#This Row],[Returned]] = 0,"NO","Yes")</f>
        <v>Yes</v>
      </c>
      <c r="W1083" t="s">
        <v>1132</v>
      </c>
      <c r="X1083" t="s">
        <v>1921</v>
      </c>
      <c r="Y1083" s="10">
        <v>21.89</v>
      </c>
      <c r="Z1083" s="3">
        <v>45599</v>
      </c>
      <c r="AA1083" s="3">
        <v>45609</v>
      </c>
      <c r="AB1083" t="s">
        <v>2924</v>
      </c>
      <c r="AC1083">
        <v>10</v>
      </c>
    </row>
    <row r="1084" spans="1:29" x14ac:dyDescent="0.3">
      <c r="A1084" s="3">
        <v>45325</v>
      </c>
      <c r="B1084" s="3" t="str">
        <f>TEXT(CleanedTable[[#This Row],[OrderDate]],"mmm")</f>
        <v>Feb</v>
      </c>
      <c r="C1084" s="3" t="str">
        <f>TEXT(CleanedTable[[#This Row],[OrderDate]],"yyyy")</f>
        <v>2024</v>
      </c>
      <c r="D1084" s="3" t="str">
        <f>TEXT(CleanedTable[[#This Row],[OrderDate]],"mmm yyyy")</f>
        <v>Feb 2024</v>
      </c>
      <c r="E1084" t="s">
        <v>21</v>
      </c>
      <c r="F1084" t="s">
        <v>30</v>
      </c>
      <c r="G1084" s="12">
        <v>14</v>
      </c>
      <c r="H1084" s="8">
        <v>575.66</v>
      </c>
      <c r="I1084" t="s">
        <v>33</v>
      </c>
      <c r="J1084" t="s">
        <v>35</v>
      </c>
      <c r="K1084" s="10">
        <v>0.1</v>
      </c>
      <c r="L1084" t="s">
        <v>39</v>
      </c>
      <c r="M1084">
        <v>7253.3159999999998</v>
      </c>
      <c r="N1084">
        <v>4835.5439999999999</v>
      </c>
      <c r="O1084" s="10">
        <v>2385.2419999999997</v>
      </c>
      <c r="P1084" s="10">
        <v>0.32884848805704864</v>
      </c>
      <c r="Q1084" s="8">
        <v>7253.3159999999998</v>
      </c>
      <c r="R1084" t="s">
        <v>45</v>
      </c>
      <c r="T1084" t="s">
        <v>2932</v>
      </c>
      <c r="U1084">
        <v>0</v>
      </c>
      <c r="V1084" t="str">
        <f>IF(CleanedTable[[#This Row],[Returned]] = 0,"NO","Yes")</f>
        <v>NO</v>
      </c>
      <c r="W1084" t="s">
        <v>1133</v>
      </c>
      <c r="X1084" t="s">
        <v>2563</v>
      </c>
      <c r="Y1084" s="10">
        <v>32.53</v>
      </c>
      <c r="Z1084" s="3">
        <v>45325</v>
      </c>
      <c r="AA1084" s="3">
        <v>45333</v>
      </c>
      <c r="AB1084" t="s">
        <v>2924</v>
      </c>
      <c r="AC1084">
        <v>8</v>
      </c>
    </row>
    <row r="1085" spans="1:29" x14ac:dyDescent="0.3">
      <c r="A1085" s="3">
        <v>44936</v>
      </c>
      <c r="B1085" s="3" t="str">
        <f>TEXT(CleanedTable[[#This Row],[OrderDate]],"mmm")</f>
        <v>Jan</v>
      </c>
      <c r="C1085" s="3" t="str">
        <f>TEXT(CleanedTable[[#This Row],[OrderDate]],"yyyy")</f>
        <v>2023</v>
      </c>
      <c r="D1085" s="3" t="str">
        <f>TEXT(CleanedTable[[#This Row],[OrderDate]],"mmm yyyy")</f>
        <v>Jan 2023</v>
      </c>
      <c r="E1085" t="s">
        <v>19</v>
      </c>
      <c r="F1085" t="s">
        <v>27</v>
      </c>
      <c r="G1085" s="12">
        <v>6</v>
      </c>
      <c r="H1085" s="8">
        <v>176.52</v>
      </c>
      <c r="I1085" t="s">
        <v>34</v>
      </c>
      <c r="J1085" t="s">
        <v>35</v>
      </c>
      <c r="K1085" s="10">
        <v>0.15</v>
      </c>
      <c r="L1085" t="s">
        <v>38</v>
      </c>
      <c r="M1085">
        <v>900.25200000000007</v>
      </c>
      <c r="N1085">
        <v>635.47199999999998</v>
      </c>
      <c r="O1085" s="10">
        <v>247.8000000000001</v>
      </c>
      <c r="P1085" s="10">
        <v>0.27525626158009098</v>
      </c>
      <c r="Q1085" s="8">
        <v>900.25200000000007</v>
      </c>
      <c r="R1085" t="s">
        <v>43</v>
      </c>
      <c r="S1085" t="s">
        <v>48</v>
      </c>
      <c r="T1085" t="s">
        <v>2931</v>
      </c>
      <c r="U1085">
        <v>0</v>
      </c>
      <c r="V1085" t="str">
        <f>IF(CleanedTable[[#This Row],[Returned]] = 0,"NO","Yes")</f>
        <v>NO</v>
      </c>
      <c r="W1085" t="s">
        <v>1134</v>
      </c>
      <c r="X1085" t="s">
        <v>2564</v>
      </c>
      <c r="Y1085" s="10">
        <v>16.98</v>
      </c>
      <c r="Z1085" s="3">
        <v>44936</v>
      </c>
      <c r="AA1085" s="3">
        <v>44939</v>
      </c>
      <c r="AB1085" t="s">
        <v>2922</v>
      </c>
      <c r="AC1085">
        <v>3</v>
      </c>
    </row>
    <row r="1086" spans="1:29" x14ac:dyDescent="0.3">
      <c r="A1086" s="3">
        <v>45215</v>
      </c>
      <c r="B1086" s="3" t="str">
        <f>TEXT(CleanedTable[[#This Row],[OrderDate]],"mmm")</f>
        <v>Oct</v>
      </c>
      <c r="C1086" s="3" t="str">
        <f>TEXT(CleanedTable[[#This Row],[OrderDate]],"yyyy")</f>
        <v>2023</v>
      </c>
      <c r="D1086" s="3" t="str">
        <f>TEXT(CleanedTable[[#This Row],[OrderDate]],"mmm yyyy")</f>
        <v>Oct 2023</v>
      </c>
      <c r="E1086" t="s">
        <v>19</v>
      </c>
      <c r="F1086" t="s">
        <v>29</v>
      </c>
      <c r="G1086" s="12">
        <v>6</v>
      </c>
      <c r="H1086" s="8">
        <v>485.66</v>
      </c>
      <c r="I1086" t="s">
        <v>34</v>
      </c>
      <c r="J1086" t="s">
        <v>35</v>
      </c>
      <c r="K1086" s="10">
        <v>0.05</v>
      </c>
      <c r="L1086" t="s">
        <v>37</v>
      </c>
      <c r="M1086">
        <v>2768.2619999999997</v>
      </c>
      <c r="N1086">
        <v>1748.3760000000002</v>
      </c>
      <c r="O1086" s="10">
        <v>989.26599999999951</v>
      </c>
      <c r="P1086" s="10">
        <v>0.35735996087075561</v>
      </c>
      <c r="Q1086" s="8">
        <v>2768.2620000000002</v>
      </c>
      <c r="R1086" t="s">
        <v>44</v>
      </c>
      <c r="S1086" t="s">
        <v>48</v>
      </c>
      <c r="T1086" t="s">
        <v>2931</v>
      </c>
      <c r="U1086">
        <v>0</v>
      </c>
      <c r="V1086" t="str">
        <f>IF(CleanedTable[[#This Row],[Returned]] = 0,"NO","Yes")</f>
        <v>NO</v>
      </c>
      <c r="W1086" t="s">
        <v>1135</v>
      </c>
      <c r="X1086" t="s">
        <v>2565</v>
      </c>
      <c r="Y1086" s="10">
        <v>30.62</v>
      </c>
      <c r="Z1086" s="3">
        <v>45215</v>
      </c>
      <c r="AA1086" s="3">
        <v>45221</v>
      </c>
      <c r="AB1086" t="s">
        <v>2922</v>
      </c>
      <c r="AC1086">
        <v>6</v>
      </c>
    </row>
    <row r="1087" spans="1:29" x14ac:dyDescent="0.3">
      <c r="A1087" s="3">
        <v>45735</v>
      </c>
      <c r="B1087" s="3" t="str">
        <f>TEXT(CleanedTable[[#This Row],[OrderDate]],"mmm")</f>
        <v>Mar</v>
      </c>
      <c r="C1087" s="3" t="str">
        <f>TEXT(CleanedTable[[#This Row],[OrderDate]],"yyyy")</f>
        <v>2025</v>
      </c>
      <c r="D1087" s="3" t="str">
        <f>TEXT(CleanedTable[[#This Row],[OrderDate]],"mmm yyyy")</f>
        <v>Mar 2025</v>
      </c>
      <c r="E1087" t="s">
        <v>22</v>
      </c>
      <c r="F1087" t="s">
        <v>24</v>
      </c>
      <c r="G1087" s="12">
        <v>8</v>
      </c>
      <c r="H1087" s="8">
        <v>141.61000000000001</v>
      </c>
      <c r="I1087" t="s">
        <v>31</v>
      </c>
      <c r="J1087" t="s">
        <v>36</v>
      </c>
      <c r="K1087" s="10">
        <v>0.1</v>
      </c>
      <c r="L1087" t="s">
        <v>42</v>
      </c>
      <c r="M1087">
        <v>1019.5920000000001</v>
      </c>
      <c r="N1087">
        <v>679.72800000000007</v>
      </c>
      <c r="O1087" s="10">
        <v>325.84400000000005</v>
      </c>
      <c r="P1087" s="10">
        <v>0.31958273505480628</v>
      </c>
      <c r="Q1087" s="8">
        <v>1019.592</v>
      </c>
      <c r="R1087" t="s">
        <v>44</v>
      </c>
      <c r="S1087" t="s">
        <v>50</v>
      </c>
      <c r="T1087" t="s">
        <v>2931</v>
      </c>
      <c r="U1087">
        <v>0</v>
      </c>
      <c r="V1087" t="str">
        <f>IF(CleanedTable[[#This Row],[Returned]] = 0,"NO","Yes")</f>
        <v>NO</v>
      </c>
      <c r="W1087" t="s">
        <v>1136</v>
      </c>
      <c r="X1087" t="s">
        <v>2566</v>
      </c>
      <c r="Y1087" s="10">
        <v>14.02</v>
      </c>
      <c r="Z1087" s="3">
        <v>45735</v>
      </c>
      <c r="AA1087" s="3">
        <v>45740</v>
      </c>
      <c r="AB1087" t="s">
        <v>2925</v>
      </c>
      <c r="AC1087">
        <v>5</v>
      </c>
    </row>
    <row r="1088" spans="1:29" x14ac:dyDescent="0.3">
      <c r="A1088" s="3">
        <v>45642</v>
      </c>
      <c r="B1088" s="3" t="str">
        <f>TEXT(CleanedTable[[#This Row],[OrderDate]],"mmm")</f>
        <v>Dec</v>
      </c>
      <c r="C1088" s="3" t="str">
        <f>TEXT(CleanedTable[[#This Row],[OrderDate]],"yyyy")</f>
        <v>2024</v>
      </c>
      <c r="D1088" s="3" t="str">
        <f>TEXT(CleanedTable[[#This Row],[OrderDate]],"mmm yyyy")</f>
        <v>Dec 2024</v>
      </c>
      <c r="E1088" t="s">
        <v>23</v>
      </c>
      <c r="F1088" t="s">
        <v>26</v>
      </c>
      <c r="G1088" s="12">
        <v>9</v>
      </c>
      <c r="H1088" s="8">
        <v>215.29</v>
      </c>
      <c r="I1088" t="s">
        <v>33</v>
      </c>
      <c r="J1088" t="s">
        <v>35</v>
      </c>
      <c r="K1088" s="10">
        <v>0.1</v>
      </c>
      <c r="L1088" t="s">
        <v>38</v>
      </c>
      <c r="M1088">
        <v>1743.8489999999999</v>
      </c>
      <c r="N1088">
        <v>1162.5659999999998</v>
      </c>
      <c r="O1088" s="10">
        <v>575.4430000000001</v>
      </c>
      <c r="P1088" s="10">
        <v>0.32998441952256197</v>
      </c>
      <c r="Q1088" s="8">
        <v>1743.8489999999999</v>
      </c>
      <c r="R1088" t="s">
        <v>45</v>
      </c>
      <c r="S1088" t="s">
        <v>50</v>
      </c>
      <c r="T1088" t="s">
        <v>2931</v>
      </c>
      <c r="U1088">
        <v>0</v>
      </c>
      <c r="V1088" t="str">
        <f>IF(CleanedTable[[#This Row],[Returned]] = 0,"NO","Yes")</f>
        <v>NO</v>
      </c>
      <c r="W1088" t="s">
        <v>1137</v>
      </c>
      <c r="X1088" t="s">
        <v>2567</v>
      </c>
      <c r="Y1088" s="10">
        <v>5.84</v>
      </c>
      <c r="Z1088" s="3">
        <v>45642</v>
      </c>
      <c r="AA1088" s="3">
        <v>45645</v>
      </c>
      <c r="AB1088" t="s">
        <v>2926</v>
      </c>
      <c r="AC1088">
        <v>3</v>
      </c>
    </row>
    <row r="1089" spans="1:29" x14ac:dyDescent="0.3">
      <c r="A1089" s="3">
        <v>45154</v>
      </c>
      <c r="B1089" s="3" t="str">
        <f>TEXT(CleanedTable[[#This Row],[OrderDate]],"mmm")</f>
        <v>Aug</v>
      </c>
      <c r="C1089" s="3" t="str">
        <f>TEXT(CleanedTable[[#This Row],[OrderDate]],"yyyy")</f>
        <v>2023</v>
      </c>
      <c r="D1089" s="3" t="str">
        <f>TEXT(CleanedTable[[#This Row],[OrderDate]],"mmm yyyy")</f>
        <v>Aug 2023</v>
      </c>
      <c r="E1089" t="s">
        <v>23</v>
      </c>
      <c r="F1089" t="s">
        <v>24</v>
      </c>
      <c r="G1089" s="12">
        <v>18</v>
      </c>
      <c r="H1089" s="8">
        <v>497.22</v>
      </c>
      <c r="I1089" t="s">
        <v>31</v>
      </c>
      <c r="J1089" t="s">
        <v>35</v>
      </c>
      <c r="K1089" s="10">
        <v>0.05</v>
      </c>
      <c r="L1089" t="s">
        <v>41</v>
      </c>
      <c r="M1089">
        <v>8502.4620000000014</v>
      </c>
      <c r="N1089">
        <v>5369.9759999999997</v>
      </c>
      <c r="O1089" s="10">
        <v>3115.0960000000018</v>
      </c>
      <c r="P1089" s="10">
        <v>0.3663757626908537</v>
      </c>
      <c r="Q1089" s="8">
        <v>8502.4620000000014</v>
      </c>
      <c r="R1089" t="s">
        <v>45</v>
      </c>
      <c r="S1089" t="s">
        <v>50</v>
      </c>
      <c r="T1089" t="s">
        <v>2931</v>
      </c>
      <c r="U1089">
        <v>0</v>
      </c>
      <c r="V1089" t="str">
        <f>IF(CleanedTable[[#This Row],[Returned]] = 0,"NO","Yes")</f>
        <v>NO</v>
      </c>
      <c r="W1089" t="s">
        <v>1138</v>
      </c>
      <c r="X1089" t="s">
        <v>2568</v>
      </c>
      <c r="Y1089" s="10">
        <v>17.39</v>
      </c>
      <c r="Z1089" s="3">
        <v>45154</v>
      </c>
      <c r="AA1089" s="3">
        <v>45158</v>
      </c>
      <c r="AB1089" t="s">
        <v>2926</v>
      </c>
      <c r="AC1089">
        <v>4</v>
      </c>
    </row>
    <row r="1090" spans="1:29" x14ac:dyDescent="0.3">
      <c r="A1090" s="3">
        <v>44936</v>
      </c>
      <c r="B1090" s="3" t="str">
        <f>TEXT(CleanedTable[[#This Row],[OrderDate]],"mmm")</f>
        <v>Jan</v>
      </c>
      <c r="C1090" s="3" t="str">
        <f>TEXT(CleanedTable[[#This Row],[OrderDate]],"yyyy")</f>
        <v>2023</v>
      </c>
      <c r="D1090" s="3" t="str">
        <f>TEXT(CleanedTable[[#This Row],[OrderDate]],"mmm yyyy")</f>
        <v>Jan 2023</v>
      </c>
      <c r="E1090" t="s">
        <v>19</v>
      </c>
      <c r="F1090" t="s">
        <v>26</v>
      </c>
      <c r="G1090" s="12">
        <v>13</v>
      </c>
      <c r="H1090" s="8">
        <v>347.73</v>
      </c>
      <c r="I1090" t="s">
        <v>31</v>
      </c>
      <c r="J1090" t="s">
        <v>35</v>
      </c>
      <c r="K1090" s="10">
        <v>0.05</v>
      </c>
      <c r="L1090" t="s">
        <v>41</v>
      </c>
      <c r="M1090">
        <v>4294.4654999999993</v>
      </c>
      <c r="N1090">
        <v>2712.2939999999999</v>
      </c>
      <c r="O1090" s="10">
        <v>1550.3614999999995</v>
      </c>
      <c r="P1090" s="10">
        <v>0.36101384444699808</v>
      </c>
      <c r="Q1090" s="8">
        <v>4294.4654999999993</v>
      </c>
      <c r="R1090" t="s">
        <v>44</v>
      </c>
      <c r="S1090" t="s">
        <v>48</v>
      </c>
      <c r="T1090" t="s">
        <v>2931</v>
      </c>
      <c r="U1090">
        <v>1</v>
      </c>
      <c r="V1090" t="str">
        <f>IF(CleanedTable[[#This Row],[Returned]] = 0,"NO","Yes")</f>
        <v>Yes</v>
      </c>
      <c r="W1090" t="s">
        <v>1139</v>
      </c>
      <c r="X1090" t="s">
        <v>2569</v>
      </c>
      <c r="Y1090" s="10">
        <v>31.81</v>
      </c>
      <c r="Z1090" s="3">
        <v>44936</v>
      </c>
      <c r="AA1090" s="3">
        <v>44946</v>
      </c>
      <c r="AB1090" t="s">
        <v>2922</v>
      </c>
      <c r="AC1090">
        <v>10</v>
      </c>
    </row>
    <row r="1091" spans="1:29" x14ac:dyDescent="0.3">
      <c r="A1091" s="3">
        <v>45786</v>
      </c>
      <c r="B1091" s="3" t="str">
        <f>TEXT(CleanedTable[[#This Row],[OrderDate]],"mmm")</f>
        <v>May</v>
      </c>
      <c r="C1091" s="3" t="str">
        <f>TEXT(CleanedTable[[#This Row],[OrderDate]],"yyyy")</f>
        <v>2025</v>
      </c>
      <c r="D1091" s="3" t="str">
        <f>TEXT(CleanedTable[[#This Row],[OrderDate]],"mmm yyyy")</f>
        <v>May 2025</v>
      </c>
      <c r="E1091" t="s">
        <v>22</v>
      </c>
      <c r="F1091" t="s">
        <v>27</v>
      </c>
      <c r="G1091" s="12">
        <v>3</v>
      </c>
      <c r="H1091" s="8">
        <v>371.21</v>
      </c>
      <c r="I1091" t="s">
        <v>33</v>
      </c>
      <c r="J1091" t="s">
        <v>35</v>
      </c>
      <c r="K1091" s="10">
        <v>0.1</v>
      </c>
      <c r="L1091" t="s">
        <v>37</v>
      </c>
      <c r="M1091">
        <v>1002.2669999999999</v>
      </c>
      <c r="N1091">
        <v>668.17799999999988</v>
      </c>
      <c r="O1091" s="10">
        <v>314.06900000000007</v>
      </c>
      <c r="P1091" s="10">
        <v>0.31335861601748843</v>
      </c>
      <c r="Q1091" s="8">
        <v>1002.2670000000001</v>
      </c>
      <c r="R1091" t="s">
        <v>44</v>
      </c>
      <c r="S1091" t="s">
        <v>49</v>
      </c>
      <c r="T1091" t="s">
        <v>2931</v>
      </c>
      <c r="U1091">
        <v>0</v>
      </c>
      <c r="V1091" t="str">
        <f>IF(CleanedTable[[#This Row],[Returned]] = 0,"NO","Yes")</f>
        <v>NO</v>
      </c>
      <c r="W1091" t="s">
        <v>1140</v>
      </c>
      <c r="X1091" t="s">
        <v>2570</v>
      </c>
      <c r="Y1091" s="10">
        <v>20.02</v>
      </c>
      <c r="Z1091" s="3">
        <v>45786</v>
      </c>
      <c r="AA1091" s="3">
        <v>45795</v>
      </c>
      <c r="AB1091" t="s">
        <v>2925</v>
      </c>
      <c r="AC1091">
        <v>9</v>
      </c>
    </row>
    <row r="1092" spans="1:29" x14ac:dyDescent="0.3">
      <c r="A1092" s="3">
        <v>45390</v>
      </c>
      <c r="B1092" s="3" t="str">
        <f>TEXT(CleanedTable[[#This Row],[OrderDate]],"mmm")</f>
        <v>Apr</v>
      </c>
      <c r="C1092" s="3" t="str">
        <f>TEXT(CleanedTable[[#This Row],[OrderDate]],"yyyy")</f>
        <v>2024</v>
      </c>
      <c r="D1092" s="3" t="str">
        <f>TEXT(CleanedTable[[#This Row],[OrderDate]],"mmm yyyy")</f>
        <v>Apr 2024</v>
      </c>
      <c r="E1092" t="s">
        <v>19</v>
      </c>
      <c r="F1092" t="s">
        <v>30</v>
      </c>
      <c r="G1092" s="12">
        <v>12</v>
      </c>
      <c r="H1092" s="8">
        <v>434.33</v>
      </c>
      <c r="I1092" t="s">
        <v>32</v>
      </c>
      <c r="J1092" t="s">
        <v>35</v>
      </c>
      <c r="K1092" s="10">
        <v>0.15</v>
      </c>
      <c r="L1092" t="s">
        <v>42</v>
      </c>
      <c r="M1092">
        <v>4430.1660000000002</v>
      </c>
      <c r="N1092">
        <v>3127.1759999999995</v>
      </c>
      <c r="O1092" s="10">
        <v>1287.6600000000008</v>
      </c>
      <c r="P1092" s="10">
        <v>0.2906572801109486</v>
      </c>
      <c r="Q1092" s="8">
        <v>4430.1660000000002</v>
      </c>
      <c r="R1092" t="s">
        <v>47</v>
      </c>
      <c r="S1092" t="s">
        <v>48</v>
      </c>
      <c r="T1092" t="s">
        <v>2931</v>
      </c>
      <c r="U1092">
        <v>0</v>
      </c>
      <c r="V1092" t="str">
        <f>IF(CleanedTable[[#This Row],[Returned]] = 0,"NO","Yes")</f>
        <v>NO</v>
      </c>
      <c r="W1092" t="s">
        <v>1141</v>
      </c>
      <c r="X1092" t="s">
        <v>1812</v>
      </c>
      <c r="Y1092" s="10">
        <v>15.33</v>
      </c>
      <c r="Z1092" s="3">
        <v>45390</v>
      </c>
      <c r="AA1092" s="3">
        <v>45398</v>
      </c>
      <c r="AB1092" t="s">
        <v>2922</v>
      </c>
      <c r="AC1092">
        <v>8</v>
      </c>
    </row>
    <row r="1093" spans="1:29" x14ac:dyDescent="0.3">
      <c r="A1093" s="3">
        <v>45783</v>
      </c>
      <c r="B1093" s="3" t="str">
        <f>TEXT(CleanedTable[[#This Row],[OrderDate]],"mmm")</f>
        <v>May</v>
      </c>
      <c r="C1093" s="3" t="str">
        <f>TEXT(CleanedTable[[#This Row],[OrderDate]],"yyyy")</f>
        <v>2025</v>
      </c>
      <c r="D1093" s="3" t="str">
        <f>TEXT(CleanedTable[[#This Row],[OrderDate]],"mmm yyyy")</f>
        <v>May 2025</v>
      </c>
      <c r="E1093" t="s">
        <v>19</v>
      </c>
      <c r="F1093" t="s">
        <v>28</v>
      </c>
      <c r="G1093" s="12">
        <v>16</v>
      </c>
      <c r="H1093" s="8">
        <v>426.65</v>
      </c>
      <c r="I1093" t="s">
        <v>32</v>
      </c>
      <c r="J1093" t="s">
        <v>36</v>
      </c>
      <c r="K1093" s="10">
        <v>0.1</v>
      </c>
      <c r="L1093" t="s">
        <v>41</v>
      </c>
      <c r="M1093">
        <v>6143.76</v>
      </c>
      <c r="N1093">
        <v>4095.8399999999997</v>
      </c>
      <c r="O1093" s="10">
        <v>2037.7200000000005</v>
      </c>
      <c r="P1093" s="10">
        <v>0.33167311223094659</v>
      </c>
      <c r="Q1093" s="8">
        <v>6143.76</v>
      </c>
      <c r="R1093" t="s">
        <v>44</v>
      </c>
      <c r="T1093" t="s">
        <v>2932</v>
      </c>
      <c r="U1093">
        <v>0</v>
      </c>
      <c r="V1093" t="str">
        <f>IF(CleanedTable[[#This Row],[Returned]] = 0,"NO","Yes")</f>
        <v>NO</v>
      </c>
      <c r="W1093" t="s">
        <v>1142</v>
      </c>
      <c r="X1093" t="s">
        <v>2571</v>
      </c>
      <c r="Y1093" s="10">
        <v>10.199999999999999</v>
      </c>
      <c r="Z1093" s="3">
        <v>45783</v>
      </c>
      <c r="AA1093" s="3">
        <v>45792</v>
      </c>
      <c r="AB1093" t="s">
        <v>2922</v>
      </c>
      <c r="AC1093">
        <v>9</v>
      </c>
    </row>
    <row r="1094" spans="1:29" x14ac:dyDescent="0.3">
      <c r="A1094" s="3">
        <v>45067</v>
      </c>
      <c r="B1094" s="3" t="str">
        <f>TEXT(CleanedTable[[#This Row],[OrderDate]],"mmm")</f>
        <v>May</v>
      </c>
      <c r="C1094" s="3" t="str">
        <f>TEXT(CleanedTable[[#This Row],[OrderDate]],"yyyy")</f>
        <v>2023</v>
      </c>
      <c r="D1094" s="3" t="str">
        <f>TEXT(CleanedTable[[#This Row],[OrderDate]],"mmm yyyy")</f>
        <v>May 2023</v>
      </c>
      <c r="E1094" t="s">
        <v>23</v>
      </c>
      <c r="F1094" t="s">
        <v>26</v>
      </c>
      <c r="G1094" s="12">
        <v>6</v>
      </c>
      <c r="H1094" s="8">
        <v>294.97000000000003</v>
      </c>
      <c r="I1094" t="s">
        <v>32</v>
      </c>
      <c r="J1094" t="s">
        <v>35</v>
      </c>
      <c r="K1094" s="10">
        <v>0.05</v>
      </c>
      <c r="L1094" t="s">
        <v>42</v>
      </c>
      <c r="M1094">
        <v>1681.3290000000002</v>
      </c>
      <c r="N1094">
        <v>1061.8920000000001</v>
      </c>
      <c r="O1094" s="10">
        <v>571.35700000000008</v>
      </c>
      <c r="P1094" s="10">
        <v>0.33982462682794384</v>
      </c>
      <c r="Q1094" s="8">
        <v>1681.329</v>
      </c>
      <c r="R1094" t="s">
        <v>45</v>
      </c>
      <c r="S1094" t="s">
        <v>50</v>
      </c>
      <c r="T1094" t="s">
        <v>2931</v>
      </c>
      <c r="U1094">
        <v>0</v>
      </c>
      <c r="V1094" t="str">
        <f>IF(CleanedTable[[#This Row],[Returned]] = 0,"NO","Yes")</f>
        <v>NO</v>
      </c>
      <c r="W1094" t="s">
        <v>1143</v>
      </c>
      <c r="X1094" t="s">
        <v>2572</v>
      </c>
      <c r="Y1094" s="10">
        <v>48.08</v>
      </c>
      <c r="Z1094" s="3">
        <v>45067</v>
      </c>
      <c r="AA1094" s="3">
        <v>45075</v>
      </c>
      <c r="AB1094" t="s">
        <v>2926</v>
      </c>
      <c r="AC1094">
        <v>8</v>
      </c>
    </row>
    <row r="1095" spans="1:29" x14ac:dyDescent="0.3">
      <c r="A1095" s="3">
        <v>45253</v>
      </c>
      <c r="B1095" s="3" t="str">
        <f>TEXT(CleanedTable[[#This Row],[OrderDate]],"mmm")</f>
        <v>Nov</v>
      </c>
      <c r="C1095" s="3" t="str">
        <f>TEXT(CleanedTable[[#This Row],[OrderDate]],"yyyy")</f>
        <v>2023</v>
      </c>
      <c r="D1095" s="3" t="str">
        <f>TEXT(CleanedTable[[#This Row],[OrderDate]],"mmm yyyy")</f>
        <v>Nov 2023</v>
      </c>
      <c r="E1095" t="s">
        <v>22</v>
      </c>
      <c r="F1095" t="s">
        <v>25</v>
      </c>
      <c r="G1095" s="12">
        <v>12</v>
      </c>
      <c r="H1095" s="8">
        <v>130.9</v>
      </c>
      <c r="I1095" t="s">
        <v>34</v>
      </c>
      <c r="J1095" t="s">
        <v>36</v>
      </c>
      <c r="K1095" s="10">
        <v>0.15</v>
      </c>
      <c r="L1095" t="s">
        <v>38</v>
      </c>
      <c r="M1095">
        <v>1335.18</v>
      </c>
      <c r="N1095">
        <v>942.48</v>
      </c>
      <c r="O1095" s="10">
        <v>358.01000000000005</v>
      </c>
      <c r="P1095" s="10">
        <v>0.2681361314579308</v>
      </c>
      <c r="Q1095" s="8">
        <v>1335.18</v>
      </c>
      <c r="R1095" t="s">
        <v>46</v>
      </c>
      <c r="S1095" t="s">
        <v>49</v>
      </c>
      <c r="T1095" t="s">
        <v>2931</v>
      </c>
      <c r="U1095">
        <v>0</v>
      </c>
      <c r="V1095" t="str">
        <f>IF(CleanedTable[[#This Row],[Returned]] = 0,"NO","Yes")</f>
        <v>NO</v>
      </c>
      <c r="W1095" t="s">
        <v>1144</v>
      </c>
      <c r="X1095" t="s">
        <v>2573</v>
      </c>
      <c r="Y1095" s="10">
        <v>34.69</v>
      </c>
      <c r="Z1095" s="3">
        <v>45253</v>
      </c>
      <c r="AA1095" s="3">
        <v>45260</v>
      </c>
      <c r="AB1095" t="s">
        <v>2925</v>
      </c>
      <c r="AC1095">
        <v>7</v>
      </c>
    </row>
    <row r="1096" spans="1:29" x14ac:dyDescent="0.3">
      <c r="A1096" s="3">
        <v>45377</v>
      </c>
      <c r="B1096" s="3" t="str">
        <f>TEXT(CleanedTable[[#This Row],[OrderDate]],"mmm")</f>
        <v>Mar</v>
      </c>
      <c r="C1096" s="3" t="str">
        <f>TEXT(CleanedTable[[#This Row],[OrderDate]],"yyyy")</f>
        <v>2024</v>
      </c>
      <c r="D1096" s="3" t="str">
        <f>TEXT(CleanedTable[[#This Row],[OrderDate]],"mmm yyyy")</f>
        <v>Mar 2024</v>
      </c>
      <c r="E1096" t="s">
        <v>21</v>
      </c>
      <c r="F1096" t="s">
        <v>28</v>
      </c>
      <c r="G1096" s="12">
        <v>18</v>
      </c>
      <c r="H1096" s="8">
        <v>539.98</v>
      </c>
      <c r="I1096" t="s">
        <v>33</v>
      </c>
      <c r="J1096" t="s">
        <v>36</v>
      </c>
      <c r="K1096" s="10">
        <v>0.15</v>
      </c>
      <c r="L1096" t="s">
        <v>37</v>
      </c>
      <c r="M1096">
        <v>8261.6939999999995</v>
      </c>
      <c r="N1096">
        <v>5831.7839999999997</v>
      </c>
      <c r="O1096" s="10">
        <v>2395.4699999999998</v>
      </c>
      <c r="P1096" s="10">
        <v>0.28994901045717741</v>
      </c>
      <c r="Q1096" s="8">
        <v>8261.6939999999995</v>
      </c>
      <c r="R1096" t="s">
        <v>47</v>
      </c>
      <c r="S1096" t="s">
        <v>48</v>
      </c>
      <c r="T1096" t="s">
        <v>2931</v>
      </c>
      <c r="U1096">
        <v>1</v>
      </c>
      <c r="V1096" t="str">
        <f>IF(CleanedTable[[#This Row],[Returned]] = 0,"NO","Yes")</f>
        <v>Yes</v>
      </c>
      <c r="W1096" t="s">
        <v>1145</v>
      </c>
      <c r="X1096" t="s">
        <v>2574</v>
      </c>
      <c r="Y1096" s="10">
        <v>34.44</v>
      </c>
      <c r="Z1096" s="3">
        <v>45377</v>
      </c>
      <c r="AA1096" s="3">
        <v>45387</v>
      </c>
      <c r="AB1096" t="s">
        <v>2924</v>
      </c>
      <c r="AC1096">
        <v>10</v>
      </c>
    </row>
    <row r="1097" spans="1:29" x14ac:dyDescent="0.3">
      <c r="A1097" s="3">
        <v>45560</v>
      </c>
      <c r="B1097" s="3" t="str">
        <f>TEXT(CleanedTable[[#This Row],[OrderDate]],"mmm")</f>
        <v>Sep</v>
      </c>
      <c r="C1097" s="3" t="str">
        <f>TEXT(CleanedTable[[#This Row],[OrderDate]],"yyyy")</f>
        <v>2024</v>
      </c>
      <c r="D1097" s="3" t="str">
        <f>TEXT(CleanedTable[[#This Row],[OrderDate]],"mmm yyyy")</f>
        <v>Sep 2024</v>
      </c>
      <c r="E1097" t="s">
        <v>20</v>
      </c>
      <c r="F1097" t="s">
        <v>26</v>
      </c>
      <c r="G1097" s="12">
        <v>12</v>
      </c>
      <c r="H1097" s="8">
        <v>149.37</v>
      </c>
      <c r="I1097" t="s">
        <v>34</v>
      </c>
      <c r="J1097" t="s">
        <v>36</v>
      </c>
      <c r="K1097" s="10">
        <v>0.1</v>
      </c>
      <c r="L1097" t="s">
        <v>42</v>
      </c>
      <c r="M1097">
        <v>1613.1960000000001</v>
      </c>
      <c r="N1097">
        <v>1075.4639999999999</v>
      </c>
      <c r="O1097" s="10">
        <v>517.52200000000016</v>
      </c>
      <c r="P1097" s="10">
        <v>0.32080540740244839</v>
      </c>
      <c r="Q1097" s="8">
        <v>1613.1959999999999</v>
      </c>
      <c r="R1097" t="s">
        <v>45</v>
      </c>
      <c r="T1097" t="s">
        <v>2932</v>
      </c>
      <c r="U1097">
        <v>0</v>
      </c>
      <c r="V1097" t="str">
        <f>IF(CleanedTable[[#This Row],[Returned]] = 0,"NO","Yes")</f>
        <v>NO</v>
      </c>
      <c r="W1097" t="s">
        <v>1146</v>
      </c>
      <c r="X1097" t="s">
        <v>2575</v>
      </c>
      <c r="Y1097" s="10">
        <v>20.21</v>
      </c>
      <c r="Z1097" s="3">
        <v>45560</v>
      </c>
      <c r="AA1097" s="3">
        <v>45567</v>
      </c>
      <c r="AB1097" t="s">
        <v>2923</v>
      </c>
      <c r="AC1097">
        <v>7</v>
      </c>
    </row>
    <row r="1098" spans="1:29" x14ac:dyDescent="0.3">
      <c r="A1098" s="3">
        <v>45022</v>
      </c>
      <c r="B1098" s="3" t="str">
        <f>TEXT(CleanedTable[[#This Row],[OrderDate]],"mmm")</f>
        <v>Apr</v>
      </c>
      <c r="C1098" s="3" t="str">
        <f>TEXT(CleanedTable[[#This Row],[OrderDate]],"yyyy")</f>
        <v>2023</v>
      </c>
      <c r="D1098" s="3" t="str">
        <f>TEXT(CleanedTable[[#This Row],[OrderDate]],"mmm yyyy")</f>
        <v>Apr 2023</v>
      </c>
      <c r="E1098" t="s">
        <v>19</v>
      </c>
      <c r="F1098" t="s">
        <v>27</v>
      </c>
      <c r="G1098" s="12">
        <v>5</v>
      </c>
      <c r="H1098" s="8">
        <v>411.24</v>
      </c>
      <c r="I1098" t="s">
        <v>32</v>
      </c>
      <c r="J1098" t="s">
        <v>35</v>
      </c>
      <c r="K1098" s="10">
        <v>0.15</v>
      </c>
      <c r="L1098" t="s">
        <v>42</v>
      </c>
      <c r="M1098">
        <v>1747.7699999999998</v>
      </c>
      <c r="N1098">
        <v>1233.72</v>
      </c>
      <c r="O1098" s="10">
        <v>508.6999999999997</v>
      </c>
      <c r="P1098" s="10">
        <v>0.29105660355767621</v>
      </c>
      <c r="Q1098" s="8">
        <v>1747.77</v>
      </c>
      <c r="R1098" t="s">
        <v>47</v>
      </c>
      <c r="S1098" t="s">
        <v>50</v>
      </c>
      <c r="T1098" t="s">
        <v>2931</v>
      </c>
      <c r="U1098">
        <v>1</v>
      </c>
      <c r="V1098" t="str">
        <f>IF(CleanedTable[[#This Row],[Returned]] = 0,"NO","Yes")</f>
        <v>Yes</v>
      </c>
      <c r="W1098" t="s">
        <v>1147</v>
      </c>
      <c r="X1098" t="s">
        <v>2576</v>
      </c>
      <c r="Y1098" s="10">
        <v>5.35</v>
      </c>
      <c r="Z1098" s="3">
        <v>45022</v>
      </c>
      <c r="AA1098" s="3">
        <v>45026</v>
      </c>
      <c r="AB1098" t="s">
        <v>2922</v>
      </c>
      <c r="AC1098">
        <v>4</v>
      </c>
    </row>
    <row r="1099" spans="1:29" x14ac:dyDescent="0.3">
      <c r="A1099" s="3">
        <v>45467</v>
      </c>
      <c r="B1099" s="3" t="str">
        <f>TEXT(CleanedTable[[#This Row],[OrderDate]],"mmm")</f>
        <v>Jun</v>
      </c>
      <c r="C1099" s="3" t="str">
        <f>TEXT(CleanedTable[[#This Row],[OrderDate]],"yyyy")</f>
        <v>2024</v>
      </c>
      <c r="D1099" s="3" t="str">
        <f>TEXT(CleanedTable[[#This Row],[OrderDate]],"mmm yyyy")</f>
        <v>Jun 2024</v>
      </c>
      <c r="E1099" t="s">
        <v>21</v>
      </c>
      <c r="F1099" t="s">
        <v>27</v>
      </c>
      <c r="G1099" s="12">
        <v>16</v>
      </c>
      <c r="H1099" s="8">
        <v>462.86</v>
      </c>
      <c r="I1099" t="s">
        <v>34</v>
      </c>
      <c r="J1099" t="s">
        <v>36</v>
      </c>
      <c r="K1099" s="10">
        <v>0.05</v>
      </c>
      <c r="L1099" t="s">
        <v>42</v>
      </c>
      <c r="M1099">
        <v>7035.4719999999998</v>
      </c>
      <c r="N1099">
        <v>4443.4560000000001</v>
      </c>
      <c r="O1099" s="10">
        <v>2574.5859999999998</v>
      </c>
      <c r="P1099" s="10">
        <v>0.36594360691080852</v>
      </c>
      <c r="Q1099" s="8">
        <v>7035.4719999999998</v>
      </c>
      <c r="R1099" t="s">
        <v>47</v>
      </c>
      <c r="T1099" t="s">
        <v>2932</v>
      </c>
      <c r="U1099">
        <v>1</v>
      </c>
      <c r="V1099" t="str">
        <f>IF(CleanedTable[[#This Row],[Returned]] = 0,"NO","Yes")</f>
        <v>Yes</v>
      </c>
      <c r="W1099" t="s">
        <v>1148</v>
      </c>
      <c r="X1099" t="s">
        <v>2577</v>
      </c>
      <c r="Y1099" s="10">
        <v>17.43</v>
      </c>
      <c r="Z1099" s="3">
        <v>45467</v>
      </c>
      <c r="AA1099" s="3">
        <v>45469</v>
      </c>
      <c r="AB1099" t="s">
        <v>2924</v>
      </c>
      <c r="AC1099">
        <v>2</v>
      </c>
    </row>
    <row r="1100" spans="1:29" x14ac:dyDescent="0.3">
      <c r="A1100" s="3">
        <v>45641</v>
      </c>
      <c r="B1100" s="3" t="str">
        <f>TEXT(CleanedTable[[#This Row],[OrderDate]],"mmm")</f>
        <v>Dec</v>
      </c>
      <c r="C1100" s="3" t="str">
        <f>TEXT(CleanedTable[[#This Row],[OrderDate]],"yyyy")</f>
        <v>2024</v>
      </c>
      <c r="D1100" s="3" t="str">
        <f>TEXT(CleanedTable[[#This Row],[OrderDate]],"mmm yyyy")</f>
        <v>Dec 2024</v>
      </c>
      <c r="E1100" t="s">
        <v>20</v>
      </c>
      <c r="F1100" t="s">
        <v>24</v>
      </c>
      <c r="G1100" s="12">
        <v>17</v>
      </c>
      <c r="H1100" s="8">
        <v>506.38</v>
      </c>
      <c r="I1100" t="s">
        <v>31</v>
      </c>
      <c r="J1100" t="s">
        <v>35</v>
      </c>
      <c r="K1100" s="10">
        <v>0</v>
      </c>
      <c r="L1100" t="s">
        <v>40</v>
      </c>
      <c r="M1100">
        <v>8608.4599999999991</v>
      </c>
      <c r="N1100">
        <v>5165.0759999999991</v>
      </c>
      <c r="O1100" s="10">
        <v>3410.0239999999999</v>
      </c>
      <c r="P1100" s="10">
        <v>0.39612474240456486</v>
      </c>
      <c r="Q1100" s="8">
        <v>8608.4599999999991</v>
      </c>
      <c r="R1100" t="s">
        <v>47</v>
      </c>
      <c r="S1100" t="s">
        <v>50</v>
      </c>
      <c r="T1100" t="s">
        <v>2931</v>
      </c>
      <c r="U1100">
        <v>1</v>
      </c>
      <c r="V1100" t="str">
        <f>IF(CleanedTable[[#This Row],[Returned]] = 0,"NO","Yes")</f>
        <v>Yes</v>
      </c>
      <c r="W1100" t="s">
        <v>1149</v>
      </c>
      <c r="X1100" t="s">
        <v>2578</v>
      </c>
      <c r="Y1100" s="10">
        <v>33.36</v>
      </c>
      <c r="Z1100" s="3">
        <v>45641</v>
      </c>
      <c r="AA1100" s="3">
        <v>45649</v>
      </c>
      <c r="AB1100" t="s">
        <v>2923</v>
      </c>
      <c r="AC1100">
        <v>8</v>
      </c>
    </row>
    <row r="1101" spans="1:29" x14ac:dyDescent="0.3">
      <c r="A1101" s="3">
        <v>45568</v>
      </c>
      <c r="B1101" s="3" t="str">
        <f>TEXT(CleanedTable[[#This Row],[OrderDate]],"mmm")</f>
        <v>Oct</v>
      </c>
      <c r="C1101" s="3" t="str">
        <f>TEXT(CleanedTable[[#This Row],[OrderDate]],"yyyy")</f>
        <v>2024</v>
      </c>
      <c r="D1101" s="3" t="str">
        <f>TEXT(CleanedTable[[#This Row],[OrderDate]],"mmm yyyy")</f>
        <v>Oct 2024</v>
      </c>
      <c r="E1101" t="s">
        <v>21</v>
      </c>
      <c r="F1101" t="s">
        <v>26</v>
      </c>
      <c r="G1101" s="12">
        <v>19</v>
      </c>
      <c r="H1101" s="8">
        <v>25.61</v>
      </c>
      <c r="I1101" t="s">
        <v>31</v>
      </c>
      <c r="J1101" t="s">
        <v>36</v>
      </c>
      <c r="K1101" s="10">
        <v>0</v>
      </c>
      <c r="L1101" t="s">
        <v>42</v>
      </c>
      <c r="M1101">
        <v>486.59</v>
      </c>
      <c r="N1101">
        <v>291.95400000000001</v>
      </c>
      <c r="O1101" s="10">
        <v>164.31599999999997</v>
      </c>
      <c r="P1101" s="10">
        <v>0.33768881399124517</v>
      </c>
      <c r="Q1101" s="8">
        <v>486.59</v>
      </c>
      <c r="R1101" t="s">
        <v>44</v>
      </c>
      <c r="T1101" t="s">
        <v>2932</v>
      </c>
      <c r="U1101">
        <v>0</v>
      </c>
      <c r="V1101" t="str">
        <f>IF(CleanedTable[[#This Row],[Returned]] = 0,"NO","Yes")</f>
        <v>NO</v>
      </c>
      <c r="W1101" t="s">
        <v>1150</v>
      </c>
      <c r="X1101" t="s">
        <v>2048</v>
      </c>
      <c r="Y1101" s="10">
        <v>30.32</v>
      </c>
      <c r="Z1101" s="3">
        <v>45568</v>
      </c>
      <c r="AA1101" s="3">
        <v>45576</v>
      </c>
      <c r="AB1101" t="s">
        <v>2924</v>
      </c>
      <c r="AC1101">
        <v>8</v>
      </c>
    </row>
    <row r="1102" spans="1:29" x14ac:dyDescent="0.3">
      <c r="A1102" s="3">
        <v>45172</v>
      </c>
      <c r="B1102" s="3" t="str">
        <f>TEXT(CleanedTable[[#This Row],[OrderDate]],"mmm")</f>
        <v>Sep</v>
      </c>
      <c r="C1102" s="3" t="str">
        <f>TEXT(CleanedTable[[#This Row],[OrderDate]],"yyyy")</f>
        <v>2023</v>
      </c>
      <c r="D1102" s="3" t="str">
        <f>TEXT(CleanedTable[[#This Row],[OrderDate]],"mmm yyyy")</f>
        <v>Sep 2023</v>
      </c>
      <c r="E1102" t="s">
        <v>20</v>
      </c>
      <c r="F1102" t="s">
        <v>26</v>
      </c>
      <c r="G1102" s="12">
        <v>4</v>
      </c>
      <c r="H1102" s="8">
        <v>467.45</v>
      </c>
      <c r="I1102" t="s">
        <v>33</v>
      </c>
      <c r="J1102" t="s">
        <v>35</v>
      </c>
      <c r="K1102" s="10">
        <v>0.05</v>
      </c>
      <c r="L1102" t="s">
        <v>39</v>
      </c>
      <c r="M1102">
        <v>1776.31</v>
      </c>
      <c r="N1102">
        <v>1121.8799999999999</v>
      </c>
      <c r="O1102" s="10">
        <v>629.38000000000011</v>
      </c>
      <c r="P1102" s="10">
        <v>0.35431878444640863</v>
      </c>
      <c r="Q1102" s="8">
        <v>1776.31</v>
      </c>
      <c r="R1102" t="s">
        <v>44</v>
      </c>
      <c r="S1102" t="s">
        <v>50</v>
      </c>
      <c r="T1102" t="s">
        <v>2931</v>
      </c>
      <c r="U1102">
        <v>0</v>
      </c>
      <c r="V1102" t="str">
        <f>IF(CleanedTable[[#This Row],[Returned]] = 0,"NO","Yes")</f>
        <v>NO</v>
      </c>
      <c r="W1102" t="s">
        <v>1151</v>
      </c>
      <c r="X1102" t="s">
        <v>2579</v>
      </c>
      <c r="Y1102" s="10">
        <v>25.05</v>
      </c>
      <c r="Z1102" s="3">
        <v>45172</v>
      </c>
      <c r="AA1102" s="3">
        <v>45182</v>
      </c>
      <c r="AB1102" t="s">
        <v>2923</v>
      </c>
      <c r="AC1102">
        <v>10</v>
      </c>
    </row>
    <row r="1103" spans="1:29" x14ac:dyDescent="0.3">
      <c r="A1103" s="3">
        <v>44955</v>
      </c>
      <c r="B1103" s="3" t="str">
        <f>TEXT(CleanedTable[[#This Row],[OrderDate]],"mmm")</f>
        <v>Jan</v>
      </c>
      <c r="C1103" s="3" t="str">
        <f>TEXT(CleanedTable[[#This Row],[OrderDate]],"yyyy")</f>
        <v>2023</v>
      </c>
      <c r="D1103" s="3" t="str">
        <f>TEXT(CleanedTable[[#This Row],[OrderDate]],"mmm yyyy")</f>
        <v>Jan 2023</v>
      </c>
      <c r="E1103" t="s">
        <v>21</v>
      </c>
      <c r="F1103" t="s">
        <v>30</v>
      </c>
      <c r="G1103" s="12">
        <v>10</v>
      </c>
      <c r="H1103" s="8">
        <v>140.5</v>
      </c>
      <c r="I1103" t="s">
        <v>31</v>
      </c>
      <c r="J1103" t="s">
        <v>36</v>
      </c>
      <c r="K1103" s="10">
        <v>0.15</v>
      </c>
      <c r="L1103" t="s">
        <v>40</v>
      </c>
      <c r="M1103">
        <v>1194.25</v>
      </c>
      <c r="N1103">
        <v>843</v>
      </c>
      <c r="O1103" s="10">
        <v>307.44</v>
      </c>
      <c r="P1103" s="10">
        <v>0.25743353569185679</v>
      </c>
      <c r="Q1103" s="8">
        <v>1194.25</v>
      </c>
      <c r="R1103" t="s">
        <v>43</v>
      </c>
      <c r="S1103" t="s">
        <v>48</v>
      </c>
      <c r="T1103" t="s">
        <v>2931</v>
      </c>
      <c r="U1103">
        <v>0</v>
      </c>
      <c r="V1103" t="str">
        <f>IF(CleanedTable[[#This Row],[Returned]] = 0,"NO","Yes")</f>
        <v>NO</v>
      </c>
      <c r="W1103" t="s">
        <v>1152</v>
      </c>
      <c r="X1103" t="s">
        <v>2253</v>
      </c>
      <c r="Y1103" s="10">
        <v>43.81</v>
      </c>
      <c r="Z1103" s="3">
        <v>44955</v>
      </c>
      <c r="AA1103" s="3">
        <v>44962</v>
      </c>
      <c r="AB1103" t="s">
        <v>2924</v>
      </c>
      <c r="AC1103">
        <v>7</v>
      </c>
    </row>
    <row r="1104" spans="1:29" x14ac:dyDescent="0.3">
      <c r="A1104" s="3">
        <v>45455</v>
      </c>
      <c r="B1104" s="3" t="str">
        <f>TEXT(CleanedTable[[#This Row],[OrderDate]],"mmm")</f>
        <v>Jun</v>
      </c>
      <c r="C1104" s="3" t="str">
        <f>TEXT(CleanedTable[[#This Row],[OrderDate]],"yyyy")</f>
        <v>2024</v>
      </c>
      <c r="D1104" s="3" t="str">
        <f>TEXT(CleanedTable[[#This Row],[OrderDate]],"mmm yyyy")</f>
        <v>Jun 2024</v>
      </c>
      <c r="E1104" t="s">
        <v>21</v>
      </c>
      <c r="F1104" t="s">
        <v>25</v>
      </c>
      <c r="G1104" s="12">
        <v>8</v>
      </c>
      <c r="H1104" s="8">
        <v>57.85</v>
      </c>
      <c r="I1104" t="s">
        <v>34</v>
      </c>
      <c r="J1104" t="s">
        <v>35</v>
      </c>
      <c r="K1104" s="10">
        <v>0</v>
      </c>
      <c r="L1104" t="s">
        <v>39</v>
      </c>
      <c r="M1104">
        <v>462.8</v>
      </c>
      <c r="N1104">
        <v>277.68</v>
      </c>
      <c r="O1104" s="10">
        <v>135.30000000000001</v>
      </c>
      <c r="P1104" s="10">
        <v>0.29235090751944687</v>
      </c>
      <c r="Q1104" s="8">
        <v>462.8</v>
      </c>
      <c r="R1104" t="s">
        <v>43</v>
      </c>
      <c r="S1104" t="s">
        <v>50</v>
      </c>
      <c r="T1104" t="s">
        <v>2931</v>
      </c>
      <c r="U1104">
        <v>1</v>
      </c>
      <c r="V1104" t="str">
        <f>IF(CleanedTable[[#This Row],[Returned]] = 0,"NO","Yes")</f>
        <v>Yes</v>
      </c>
      <c r="W1104" t="s">
        <v>1153</v>
      </c>
      <c r="X1104" t="s">
        <v>2580</v>
      </c>
      <c r="Y1104" s="10">
        <v>49.82</v>
      </c>
      <c r="Z1104" s="3">
        <v>45455</v>
      </c>
      <c r="AA1104" s="3">
        <v>45463</v>
      </c>
      <c r="AB1104" t="s">
        <v>2924</v>
      </c>
      <c r="AC1104">
        <v>8</v>
      </c>
    </row>
    <row r="1105" spans="1:29" x14ac:dyDescent="0.3">
      <c r="A1105" s="3">
        <v>45620</v>
      </c>
      <c r="B1105" s="3" t="str">
        <f>TEXT(CleanedTable[[#This Row],[OrderDate]],"mmm")</f>
        <v>Nov</v>
      </c>
      <c r="C1105" s="3" t="str">
        <f>TEXT(CleanedTable[[#This Row],[OrderDate]],"yyyy")</f>
        <v>2024</v>
      </c>
      <c r="D1105" s="3" t="str">
        <f>TEXT(CleanedTable[[#This Row],[OrderDate]],"mmm yyyy")</f>
        <v>Nov 2024</v>
      </c>
      <c r="E1105" t="s">
        <v>21</v>
      </c>
      <c r="F1105" t="s">
        <v>28</v>
      </c>
      <c r="G1105" s="12">
        <v>9</v>
      </c>
      <c r="H1105" s="8">
        <v>539.64</v>
      </c>
      <c r="I1105" t="s">
        <v>32</v>
      </c>
      <c r="J1105" t="s">
        <v>36</v>
      </c>
      <c r="K1105" s="10">
        <v>0.15</v>
      </c>
      <c r="L1105" t="s">
        <v>38</v>
      </c>
      <c r="M1105">
        <v>4128.2460000000001</v>
      </c>
      <c r="N1105">
        <v>2914.056</v>
      </c>
      <c r="O1105" s="10">
        <v>1198.1100000000001</v>
      </c>
      <c r="P1105" s="10">
        <v>0.29022253034339524</v>
      </c>
      <c r="Q1105" s="8">
        <v>4128.2460000000001</v>
      </c>
      <c r="R1105" t="s">
        <v>44</v>
      </c>
      <c r="T1105" t="s">
        <v>2932</v>
      </c>
      <c r="U1105">
        <v>0</v>
      </c>
      <c r="V1105" t="str">
        <f>IF(CleanedTable[[#This Row],[Returned]] = 0,"NO","Yes")</f>
        <v>NO</v>
      </c>
      <c r="W1105" t="s">
        <v>1154</v>
      </c>
      <c r="X1105" t="s">
        <v>2581</v>
      </c>
      <c r="Y1105" s="10">
        <v>16.079999999999998</v>
      </c>
      <c r="Z1105" s="3">
        <v>45620</v>
      </c>
      <c r="AA1105" s="3">
        <v>45629</v>
      </c>
      <c r="AB1105" t="s">
        <v>2924</v>
      </c>
      <c r="AC1105">
        <v>9</v>
      </c>
    </row>
    <row r="1106" spans="1:29" x14ac:dyDescent="0.3">
      <c r="A1106" s="3">
        <v>45153</v>
      </c>
      <c r="B1106" s="3" t="str">
        <f>TEXT(CleanedTable[[#This Row],[OrderDate]],"mmm")</f>
        <v>Aug</v>
      </c>
      <c r="C1106" s="3" t="str">
        <f>TEXT(CleanedTable[[#This Row],[OrderDate]],"yyyy")</f>
        <v>2023</v>
      </c>
      <c r="D1106" s="3" t="str">
        <f>TEXT(CleanedTable[[#This Row],[OrderDate]],"mmm yyyy")</f>
        <v>Aug 2023</v>
      </c>
      <c r="E1106" t="s">
        <v>23</v>
      </c>
      <c r="F1106" t="s">
        <v>28</v>
      </c>
      <c r="G1106" s="12">
        <v>18</v>
      </c>
      <c r="H1106" s="8">
        <v>476.32</v>
      </c>
      <c r="I1106" t="s">
        <v>32</v>
      </c>
      <c r="J1106" t="s">
        <v>35</v>
      </c>
      <c r="K1106" s="10">
        <v>0</v>
      </c>
      <c r="L1106" t="s">
        <v>41</v>
      </c>
      <c r="M1106">
        <v>8573.76</v>
      </c>
      <c r="N1106">
        <v>5144.2559999999994</v>
      </c>
      <c r="O1106" s="10">
        <v>3382.074000000001</v>
      </c>
      <c r="P1106" s="10">
        <v>0.39446800470272098</v>
      </c>
      <c r="Q1106" s="8">
        <v>8573.76</v>
      </c>
      <c r="R1106" t="s">
        <v>45</v>
      </c>
      <c r="S1106" t="s">
        <v>49</v>
      </c>
      <c r="T1106" t="s">
        <v>2931</v>
      </c>
      <c r="U1106">
        <v>1</v>
      </c>
      <c r="V1106" t="str">
        <f>IF(CleanedTable[[#This Row],[Returned]] = 0,"NO","Yes")</f>
        <v>Yes</v>
      </c>
      <c r="W1106" t="s">
        <v>1155</v>
      </c>
      <c r="X1106" t="s">
        <v>2582</v>
      </c>
      <c r="Y1106" s="10">
        <v>47.43</v>
      </c>
      <c r="Z1106" s="3">
        <v>45153</v>
      </c>
      <c r="AA1106" s="3">
        <v>45158</v>
      </c>
      <c r="AB1106" t="s">
        <v>2926</v>
      </c>
      <c r="AC1106">
        <v>5</v>
      </c>
    </row>
    <row r="1107" spans="1:29" x14ac:dyDescent="0.3">
      <c r="A1107" s="3">
        <v>45525</v>
      </c>
      <c r="B1107" s="3" t="str">
        <f>TEXT(CleanedTable[[#This Row],[OrderDate]],"mmm")</f>
        <v>Aug</v>
      </c>
      <c r="C1107" s="3" t="str">
        <f>TEXT(CleanedTable[[#This Row],[OrderDate]],"yyyy")</f>
        <v>2024</v>
      </c>
      <c r="D1107" s="3" t="str">
        <f>TEXT(CleanedTable[[#This Row],[OrderDate]],"mmm yyyy")</f>
        <v>Aug 2024</v>
      </c>
      <c r="E1107" t="s">
        <v>22</v>
      </c>
      <c r="F1107" t="s">
        <v>29</v>
      </c>
      <c r="G1107" s="12">
        <v>11</v>
      </c>
      <c r="H1107" s="8">
        <v>143.85</v>
      </c>
      <c r="I1107" t="s">
        <v>32</v>
      </c>
      <c r="J1107" t="s">
        <v>35</v>
      </c>
      <c r="K1107" s="10">
        <v>0.1</v>
      </c>
      <c r="L1107" t="s">
        <v>37</v>
      </c>
      <c r="M1107">
        <v>1424.115</v>
      </c>
      <c r="N1107">
        <v>949.40999999999985</v>
      </c>
      <c r="O1107" s="10">
        <v>467.85500000000013</v>
      </c>
      <c r="P1107" s="10">
        <v>0.32852332852332861</v>
      </c>
      <c r="Q1107" s="8">
        <v>1424.115</v>
      </c>
      <c r="R1107" t="s">
        <v>46</v>
      </c>
      <c r="S1107" t="s">
        <v>48</v>
      </c>
      <c r="T1107" t="s">
        <v>2931</v>
      </c>
      <c r="U1107">
        <v>0</v>
      </c>
      <c r="V1107" t="str">
        <f>IF(CleanedTable[[#This Row],[Returned]] = 0,"NO","Yes")</f>
        <v>NO</v>
      </c>
      <c r="W1107" t="s">
        <v>1156</v>
      </c>
      <c r="X1107" t="s">
        <v>2583</v>
      </c>
      <c r="Y1107" s="10">
        <v>6.85</v>
      </c>
      <c r="Z1107" s="3">
        <v>45525</v>
      </c>
      <c r="AA1107" s="3">
        <v>45534</v>
      </c>
      <c r="AB1107" t="s">
        <v>2925</v>
      </c>
      <c r="AC1107">
        <v>9</v>
      </c>
    </row>
    <row r="1108" spans="1:29" x14ac:dyDescent="0.3">
      <c r="A1108" s="3">
        <v>45070</v>
      </c>
      <c r="B1108" s="3" t="str">
        <f>TEXT(CleanedTable[[#This Row],[OrderDate]],"mmm")</f>
        <v>May</v>
      </c>
      <c r="C1108" s="3" t="str">
        <f>TEXT(CleanedTable[[#This Row],[OrderDate]],"yyyy")</f>
        <v>2023</v>
      </c>
      <c r="D1108" s="3" t="str">
        <f>TEXT(CleanedTable[[#This Row],[OrderDate]],"mmm yyyy")</f>
        <v>May 2023</v>
      </c>
      <c r="E1108" t="s">
        <v>23</v>
      </c>
      <c r="F1108" t="s">
        <v>28</v>
      </c>
      <c r="G1108" s="12">
        <v>4</v>
      </c>
      <c r="H1108" s="8">
        <v>323.63</v>
      </c>
      <c r="I1108" t="s">
        <v>33</v>
      </c>
      <c r="J1108" t="s">
        <v>36</v>
      </c>
      <c r="K1108" s="10">
        <v>0.1</v>
      </c>
      <c r="L1108" t="s">
        <v>40</v>
      </c>
      <c r="M1108">
        <v>1165.068</v>
      </c>
      <c r="N1108">
        <v>776.71199999999999</v>
      </c>
      <c r="O1108" s="10">
        <v>355.43599999999998</v>
      </c>
      <c r="P1108" s="10">
        <v>0.30507747187288636</v>
      </c>
      <c r="Q1108" s="8">
        <v>1165.068</v>
      </c>
      <c r="R1108" t="s">
        <v>45</v>
      </c>
      <c r="S1108" t="s">
        <v>48</v>
      </c>
      <c r="T1108" t="s">
        <v>2931</v>
      </c>
      <c r="U1108">
        <v>0</v>
      </c>
      <c r="V1108" t="str">
        <f>IF(CleanedTable[[#This Row],[Returned]] = 0,"NO","Yes")</f>
        <v>NO</v>
      </c>
      <c r="W1108" t="s">
        <v>1157</v>
      </c>
      <c r="X1108" t="s">
        <v>2584</v>
      </c>
      <c r="Y1108" s="10">
        <v>32.92</v>
      </c>
      <c r="Z1108" s="3">
        <v>45070</v>
      </c>
      <c r="AA1108" s="3">
        <v>45078</v>
      </c>
      <c r="AB1108" t="s">
        <v>2926</v>
      </c>
      <c r="AC1108">
        <v>8</v>
      </c>
    </row>
    <row r="1109" spans="1:29" x14ac:dyDescent="0.3">
      <c r="A1109" s="3">
        <v>45043</v>
      </c>
      <c r="B1109" s="3" t="str">
        <f>TEXT(CleanedTable[[#This Row],[OrderDate]],"mmm")</f>
        <v>Apr</v>
      </c>
      <c r="C1109" s="3" t="str">
        <f>TEXT(CleanedTable[[#This Row],[OrderDate]],"yyyy")</f>
        <v>2023</v>
      </c>
      <c r="D1109" s="3" t="str">
        <f>TEXT(CleanedTable[[#This Row],[OrderDate]],"mmm yyyy")</f>
        <v>Apr 2023</v>
      </c>
      <c r="E1109" t="s">
        <v>23</v>
      </c>
      <c r="F1109" t="s">
        <v>28</v>
      </c>
      <c r="G1109" s="12">
        <v>16</v>
      </c>
      <c r="H1109" s="8">
        <v>37.4</v>
      </c>
      <c r="I1109" t="s">
        <v>32</v>
      </c>
      <c r="J1109" t="s">
        <v>35</v>
      </c>
      <c r="K1109" s="10">
        <v>0.05</v>
      </c>
      <c r="L1109" t="s">
        <v>42</v>
      </c>
      <c r="M1109">
        <v>568.4799999999999</v>
      </c>
      <c r="N1109">
        <v>359.03999999999996</v>
      </c>
      <c r="O1109" s="10">
        <v>159.88999999999993</v>
      </c>
      <c r="P1109" s="10">
        <v>0.2812587953841823</v>
      </c>
      <c r="Q1109" s="8">
        <v>568.4799999999999</v>
      </c>
      <c r="R1109" t="s">
        <v>45</v>
      </c>
      <c r="S1109" t="s">
        <v>48</v>
      </c>
      <c r="T1109" t="s">
        <v>2931</v>
      </c>
      <c r="U1109">
        <v>0</v>
      </c>
      <c r="V1109" t="str">
        <f>IF(CleanedTable[[#This Row],[Returned]] = 0,"NO","Yes")</f>
        <v>NO</v>
      </c>
      <c r="W1109" t="s">
        <v>1158</v>
      </c>
      <c r="X1109" t="s">
        <v>2585</v>
      </c>
      <c r="Y1109" s="10">
        <v>49.55</v>
      </c>
      <c r="Z1109" s="3">
        <v>45043</v>
      </c>
      <c r="AA1109" s="3">
        <v>45047</v>
      </c>
      <c r="AB1109" t="s">
        <v>2926</v>
      </c>
      <c r="AC1109">
        <v>4</v>
      </c>
    </row>
    <row r="1110" spans="1:29" x14ac:dyDescent="0.3">
      <c r="A1110" s="3">
        <v>45067</v>
      </c>
      <c r="B1110" s="3" t="str">
        <f>TEXT(CleanedTable[[#This Row],[OrderDate]],"mmm")</f>
        <v>May</v>
      </c>
      <c r="C1110" s="3" t="str">
        <f>TEXT(CleanedTable[[#This Row],[OrderDate]],"yyyy")</f>
        <v>2023</v>
      </c>
      <c r="D1110" s="3" t="str">
        <f>TEXT(CleanedTable[[#This Row],[OrderDate]],"mmm yyyy")</f>
        <v>May 2023</v>
      </c>
      <c r="E1110" t="s">
        <v>19</v>
      </c>
      <c r="F1110" t="s">
        <v>29</v>
      </c>
      <c r="G1110" s="12">
        <v>1</v>
      </c>
      <c r="H1110" s="8">
        <v>418.98</v>
      </c>
      <c r="I1110" t="s">
        <v>31</v>
      </c>
      <c r="J1110" t="s">
        <v>36</v>
      </c>
      <c r="K1110" s="10">
        <v>0.1</v>
      </c>
      <c r="L1110" t="s">
        <v>40</v>
      </c>
      <c r="M1110">
        <v>377.08200000000005</v>
      </c>
      <c r="N1110">
        <v>251.38800000000001</v>
      </c>
      <c r="O1110" s="10">
        <v>81.974000000000046</v>
      </c>
      <c r="P1110" s="10">
        <v>0.2173903819328423</v>
      </c>
      <c r="Q1110" s="8">
        <v>377.08200000000011</v>
      </c>
      <c r="R1110" t="s">
        <v>44</v>
      </c>
      <c r="S1110" t="s">
        <v>48</v>
      </c>
      <c r="T1110" t="s">
        <v>2931</v>
      </c>
      <c r="U1110">
        <v>0</v>
      </c>
      <c r="V1110" t="str">
        <f>IF(CleanedTable[[#This Row],[Returned]] = 0,"NO","Yes")</f>
        <v>NO</v>
      </c>
      <c r="W1110" t="s">
        <v>1159</v>
      </c>
      <c r="X1110" t="s">
        <v>2586</v>
      </c>
      <c r="Y1110" s="10">
        <v>43.72</v>
      </c>
      <c r="Z1110" s="3">
        <v>45067</v>
      </c>
      <c r="AA1110" s="3">
        <v>45072</v>
      </c>
      <c r="AB1110" t="s">
        <v>2922</v>
      </c>
      <c r="AC1110">
        <v>5</v>
      </c>
    </row>
    <row r="1111" spans="1:29" x14ac:dyDescent="0.3">
      <c r="A1111" s="3">
        <v>45704</v>
      </c>
      <c r="B1111" s="3" t="str">
        <f>TEXT(CleanedTable[[#This Row],[OrderDate]],"mmm")</f>
        <v>Feb</v>
      </c>
      <c r="C1111" s="3" t="str">
        <f>TEXT(CleanedTable[[#This Row],[OrderDate]],"yyyy")</f>
        <v>2025</v>
      </c>
      <c r="D1111" s="3" t="str">
        <f>TEXT(CleanedTable[[#This Row],[OrderDate]],"mmm yyyy")</f>
        <v>Feb 2025</v>
      </c>
      <c r="E1111" t="s">
        <v>19</v>
      </c>
      <c r="F1111" t="s">
        <v>28</v>
      </c>
      <c r="G1111" s="12">
        <v>12</v>
      </c>
      <c r="H1111" s="8">
        <v>108.35</v>
      </c>
      <c r="I1111" t="s">
        <v>32</v>
      </c>
      <c r="J1111" t="s">
        <v>35</v>
      </c>
      <c r="K1111" s="10">
        <v>0</v>
      </c>
      <c r="L1111" t="s">
        <v>41</v>
      </c>
      <c r="M1111">
        <v>1300.1999999999998</v>
      </c>
      <c r="N1111">
        <v>780.11999999999989</v>
      </c>
      <c r="O1111" s="10">
        <v>478.01999999999992</v>
      </c>
      <c r="P1111" s="10">
        <v>0.36765113059529303</v>
      </c>
      <c r="Q1111" s="8">
        <v>1300.2</v>
      </c>
      <c r="R1111" t="s">
        <v>43</v>
      </c>
      <c r="S1111" t="s">
        <v>48</v>
      </c>
      <c r="T1111" t="s">
        <v>2931</v>
      </c>
      <c r="U1111">
        <v>0</v>
      </c>
      <c r="V1111" t="str">
        <f>IF(CleanedTable[[#This Row],[Returned]] = 0,"NO","Yes")</f>
        <v>NO</v>
      </c>
      <c r="W1111" t="s">
        <v>1160</v>
      </c>
      <c r="X1111" t="s">
        <v>2587</v>
      </c>
      <c r="Y1111" s="10">
        <v>42.06</v>
      </c>
      <c r="Z1111" s="3">
        <v>45704</v>
      </c>
      <c r="AA1111" s="3">
        <v>45713</v>
      </c>
      <c r="AB1111" t="s">
        <v>2922</v>
      </c>
      <c r="AC1111">
        <v>9</v>
      </c>
    </row>
    <row r="1112" spans="1:29" x14ac:dyDescent="0.3">
      <c r="A1112" s="3">
        <v>45162</v>
      </c>
      <c r="B1112" s="3" t="str">
        <f>TEXT(CleanedTable[[#This Row],[OrderDate]],"mmm")</f>
        <v>Aug</v>
      </c>
      <c r="C1112" s="3" t="str">
        <f>TEXT(CleanedTable[[#This Row],[OrderDate]],"yyyy")</f>
        <v>2023</v>
      </c>
      <c r="D1112" s="3" t="str">
        <f>TEXT(CleanedTable[[#This Row],[OrderDate]],"mmm yyyy")</f>
        <v>Aug 2023</v>
      </c>
      <c r="E1112" t="s">
        <v>19</v>
      </c>
      <c r="F1112" t="s">
        <v>29</v>
      </c>
      <c r="G1112" s="12">
        <v>5</v>
      </c>
      <c r="H1112" s="8">
        <v>256.42</v>
      </c>
      <c r="I1112" t="s">
        <v>31</v>
      </c>
      <c r="J1112" t="s">
        <v>36</v>
      </c>
      <c r="K1112" s="10">
        <v>0</v>
      </c>
      <c r="L1112" t="s">
        <v>38</v>
      </c>
      <c r="M1112">
        <v>1282.1000000000001</v>
      </c>
      <c r="N1112">
        <v>769.26</v>
      </c>
      <c r="O1112" s="10">
        <v>484.10000000000014</v>
      </c>
      <c r="P1112" s="10">
        <v>0.37758365182123088</v>
      </c>
      <c r="Q1112" s="8">
        <v>1282.0999999999999</v>
      </c>
      <c r="R1112" t="s">
        <v>44</v>
      </c>
      <c r="S1112" t="s">
        <v>48</v>
      </c>
      <c r="T1112" t="s">
        <v>2931</v>
      </c>
      <c r="U1112">
        <v>0</v>
      </c>
      <c r="V1112" t="str">
        <f>IF(CleanedTable[[#This Row],[Returned]] = 0,"NO","Yes")</f>
        <v>NO</v>
      </c>
      <c r="W1112" t="s">
        <v>1161</v>
      </c>
      <c r="X1112" t="s">
        <v>2588</v>
      </c>
      <c r="Y1112" s="10">
        <v>28.74</v>
      </c>
      <c r="Z1112" s="3">
        <v>45162</v>
      </c>
      <c r="AA1112" s="3">
        <v>45167</v>
      </c>
      <c r="AB1112" t="s">
        <v>2922</v>
      </c>
      <c r="AC1112">
        <v>5</v>
      </c>
    </row>
    <row r="1113" spans="1:29" x14ac:dyDescent="0.3">
      <c r="A1113" s="3">
        <v>45365</v>
      </c>
      <c r="B1113" s="3" t="str">
        <f>TEXT(CleanedTable[[#This Row],[OrderDate]],"mmm")</f>
        <v>Mar</v>
      </c>
      <c r="C1113" s="3" t="str">
        <f>TEXT(CleanedTable[[#This Row],[OrderDate]],"yyyy")</f>
        <v>2024</v>
      </c>
      <c r="D1113" s="3" t="str">
        <f>TEXT(CleanedTable[[#This Row],[OrderDate]],"mmm yyyy")</f>
        <v>Mar 2024</v>
      </c>
      <c r="E1113" t="s">
        <v>19</v>
      </c>
      <c r="F1113" t="s">
        <v>26</v>
      </c>
      <c r="G1113" s="12">
        <v>16</v>
      </c>
      <c r="H1113" s="8">
        <v>544.91</v>
      </c>
      <c r="I1113" t="s">
        <v>31</v>
      </c>
      <c r="J1113" t="s">
        <v>36</v>
      </c>
      <c r="K1113" s="10">
        <v>0.1</v>
      </c>
      <c r="L1113" t="s">
        <v>39</v>
      </c>
      <c r="M1113">
        <v>7846.7039999999997</v>
      </c>
      <c r="N1113">
        <v>5231.1359999999995</v>
      </c>
      <c r="O1113" s="10">
        <v>2576.308</v>
      </c>
      <c r="P1113" s="10">
        <v>0.32832995866799614</v>
      </c>
      <c r="Q1113" s="8">
        <v>7846.7039999999997</v>
      </c>
      <c r="R1113" t="s">
        <v>45</v>
      </c>
      <c r="S1113" t="s">
        <v>48</v>
      </c>
      <c r="T1113" t="s">
        <v>2931</v>
      </c>
      <c r="U1113">
        <v>0</v>
      </c>
      <c r="V1113" t="str">
        <f>IF(CleanedTable[[#This Row],[Returned]] = 0,"NO","Yes")</f>
        <v>NO</v>
      </c>
      <c r="W1113" t="s">
        <v>1162</v>
      </c>
      <c r="X1113" t="s">
        <v>2589</v>
      </c>
      <c r="Y1113" s="10">
        <v>39.26</v>
      </c>
      <c r="Z1113" s="3">
        <v>45365</v>
      </c>
      <c r="AA1113" s="3">
        <v>45372</v>
      </c>
      <c r="AB1113" t="s">
        <v>2922</v>
      </c>
      <c r="AC1113">
        <v>7</v>
      </c>
    </row>
    <row r="1114" spans="1:29" x14ac:dyDescent="0.3">
      <c r="A1114" s="3">
        <v>45320</v>
      </c>
      <c r="B1114" s="3" t="str">
        <f>TEXT(CleanedTable[[#This Row],[OrderDate]],"mmm")</f>
        <v>Jan</v>
      </c>
      <c r="C1114" s="3" t="str">
        <f>TEXT(CleanedTable[[#This Row],[OrderDate]],"yyyy")</f>
        <v>2024</v>
      </c>
      <c r="D1114" s="3" t="str">
        <f>TEXT(CleanedTable[[#This Row],[OrderDate]],"mmm yyyy")</f>
        <v>Jan 2024</v>
      </c>
      <c r="E1114" t="s">
        <v>21</v>
      </c>
      <c r="F1114" t="s">
        <v>26</v>
      </c>
      <c r="G1114" s="12">
        <v>19</v>
      </c>
      <c r="H1114" s="8">
        <v>113.42</v>
      </c>
      <c r="I1114" t="s">
        <v>32</v>
      </c>
      <c r="J1114" t="s">
        <v>36</v>
      </c>
      <c r="K1114" s="10">
        <v>0</v>
      </c>
      <c r="L1114" t="s">
        <v>37</v>
      </c>
      <c r="M1114">
        <v>2154.98</v>
      </c>
      <c r="N1114">
        <v>1292.9879999999998</v>
      </c>
      <c r="O1114" s="10">
        <v>817.03200000000015</v>
      </c>
      <c r="P1114" s="10">
        <v>0.37913669732433719</v>
      </c>
      <c r="Q1114" s="8">
        <v>2154.98</v>
      </c>
      <c r="R1114" t="s">
        <v>46</v>
      </c>
      <c r="S1114" t="s">
        <v>50</v>
      </c>
      <c r="T1114" t="s">
        <v>2931</v>
      </c>
      <c r="U1114">
        <v>0</v>
      </c>
      <c r="V1114" t="str">
        <f>IF(CleanedTable[[#This Row],[Returned]] = 0,"NO","Yes")</f>
        <v>NO</v>
      </c>
      <c r="W1114" t="s">
        <v>1163</v>
      </c>
      <c r="X1114" t="s">
        <v>2590</v>
      </c>
      <c r="Y1114" s="10">
        <v>44.96</v>
      </c>
      <c r="Z1114" s="3">
        <v>45320</v>
      </c>
      <c r="AA1114" s="3">
        <v>45329</v>
      </c>
      <c r="AB1114" t="s">
        <v>2924</v>
      </c>
      <c r="AC1114">
        <v>9</v>
      </c>
    </row>
    <row r="1115" spans="1:29" x14ac:dyDescent="0.3">
      <c r="A1115" s="3">
        <v>45513</v>
      </c>
      <c r="B1115" s="3" t="str">
        <f>TEXT(CleanedTable[[#This Row],[OrderDate]],"mmm")</f>
        <v>Aug</v>
      </c>
      <c r="C1115" s="3" t="str">
        <f>TEXT(CleanedTable[[#This Row],[OrderDate]],"yyyy")</f>
        <v>2024</v>
      </c>
      <c r="D1115" s="3" t="str">
        <f>TEXT(CleanedTable[[#This Row],[OrderDate]],"mmm yyyy")</f>
        <v>Aug 2024</v>
      </c>
      <c r="E1115" t="s">
        <v>20</v>
      </c>
      <c r="F1115" t="s">
        <v>25</v>
      </c>
      <c r="G1115" s="12">
        <v>10</v>
      </c>
      <c r="H1115" s="8">
        <v>522.73</v>
      </c>
      <c r="I1115" t="s">
        <v>33</v>
      </c>
      <c r="J1115" t="s">
        <v>36</v>
      </c>
      <c r="K1115" s="10">
        <v>0.1</v>
      </c>
      <c r="L1115" t="s">
        <v>42</v>
      </c>
      <c r="M1115">
        <v>4704.5700000000006</v>
      </c>
      <c r="N1115">
        <v>3136.3799999999997</v>
      </c>
      <c r="O1115" s="10">
        <v>1548.130000000001</v>
      </c>
      <c r="P1115" s="10">
        <v>0.32906939422731529</v>
      </c>
      <c r="Q1115" s="8">
        <v>4704.5700000000006</v>
      </c>
      <c r="R1115" t="s">
        <v>45</v>
      </c>
      <c r="T1115" t="s">
        <v>2932</v>
      </c>
      <c r="U1115">
        <v>0</v>
      </c>
      <c r="V1115" t="str">
        <f>IF(CleanedTable[[#This Row],[Returned]] = 0,"NO","Yes")</f>
        <v>NO</v>
      </c>
      <c r="W1115" t="s">
        <v>1164</v>
      </c>
      <c r="X1115" t="s">
        <v>2591</v>
      </c>
      <c r="Y1115" s="10">
        <v>20.059999999999999</v>
      </c>
      <c r="Z1115" s="3">
        <v>45513</v>
      </c>
      <c r="AA1115" s="3">
        <v>45519</v>
      </c>
      <c r="AB1115" t="s">
        <v>2923</v>
      </c>
      <c r="AC1115">
        <v>6</v>
      </c>
    </row>
    <row r="1116" spans="1:29" x14ac:dyDescent="0.3">
      <c r="A1116" s="3">
        <v>45481</v>
      </c>
      <c r="B1116" s="3" t="str">
        <f>TEXT(CleanedTable[[#This Row],[OrderDate]],"mmm")</f>
        <v>Jul</v>
      </c>
      <c r="C1116" s="3" t="str">
        <f>TEXT(CleanedTable[[#This Row],[OrderDate]],"yyyy")</f>
        <v>2024</v>
      </c>
      <c r="D1116" s="3" t="str">
        <f>TEXT(CleanedTable[[#This Row],[OrderDate]],"mmm yyyy")</f>
        <v>Jul 2024</v>
      </c>
      <c r="E1116" t="s">
        <v>21</v>
      </c>
      <c r="F1116" t="s">
        <v>29</v>
      </c>
      <c r="G1116" s="12">
        <v>18</v>
      </c>
      <c r="H1116" s="8">
        <v>448.03</v>
      </c>
      <c r="I1116" t="s">
        <v>31</v>
      </c>
      <c r="J1116" t="s">
        <v>36</v>
      </c>
      <c r="K1116" s="10">
        <v>0.15</v>
      </c>
      <c r="L1116" t="s">
        <v>39</v>
      </c>
      <c r="M1116">
        <v>6854.8589999999995</v>
      </c>
      <c r="N1116">
        <v>4838.7240000000002</v>
      </c>
      <c r="O1116" s="10">
        <v>2002.9049999999993</v>
      </c>
      <c r="P1116" s="10">
        <v>0.29218762924226444</v>
      </c>
      <c r="Q1116" s="8">
        <v>6854.8589999999986</v>
      </c>
      <c r="R1116" t="s">
        <v>47</v>
      </c>
      <c r="S1116" t="s">
        <v>50</v>
      </c>
      <c r="T1116" t="s">
        <v>2931</v>
      </c>
      <c r="U1116">
        <v>1</v>
      </c>
      <c r="V1116" t="str">
        <f>IF(CleanedTable[[#This Row],[Returned]] = 0,"NO","Yes")</f>
        <v>Yes</v>
      </c>
      <c r="W1116" t="s">
        <v>1165</v>
      </c>
      <c r="X1116" t="s">
        <v>2592</v>
      </c>
      <c r="Y1116" s="10">
        <v>13.23</v>
      </c>
      <c r="Z1116" s="3">
        <v>45481</v>
      </c>
      <c r="AA1116" s="3">
        <v>45490</v>
      </c>
      <c r="AB1116" t="s">
        <v>2924</v>
      </c>
      <c r="AC1116">
        <v>9</v>
      </c>
    </row>
    <row r="1117" spans="1:29" x14ac:dyDescent="0.3">
      <c r="A1117" s="3">
        <v>45524</v>
      </c>
      <c r="B1117" s="3" t="str">
        <f>TEXT(CleanedTable[[#This Row],[OrderDate]],"mmm")</f>
        <v>Aug</v>
      </c>
      <c r="C1117" s="3" t="str">
        <f>TEXT(CleanedTable[[#This Row],[OrderDate]],"yyyy")</f>
        <v>2024</v>
      </c>
      <c r="D1117" s="3" t="str">
        <f>TEXT(CleanedTable[[#This Row],[OrderDate]],"mmm yyyy")</f>
        <v>Aug 2024</v>
      </c>
      <c r="E1117" t="s">
        <v>21</v>
      </c>
      <c r="F1117" t="s">
        <v>28</v>
      </c>
      <c r="G1117" s="12">
        <v>15</v>
      </c>
      <c r="H1117" s="8">
        <v>208.51</v>
      </c>
      <c r="I1117" t="s">
        <v>32</v>
      </c>
      <c r="J1117" t="s">
        <v>36</v>
      </c>
      <c r="K1117" s="10">
        <v>0.05</v>
      </c>
      <c r="L1117" t="s">
        <v>40</v>
      </c>
      <c r="M1117">
        <v>2971.2674999999995</v>
      </c>
      <c r="N1117">
        <v>1876.59</v>
      </c>
      <c r="O1117" s="10">
        <v>1056.8674999999996</v>
      </c>
      <c r="P1117" s="10">
        <v>0.35569584360883016</v>
      </c>
      <c r="Q1117" s="8">
        <v>2971.267499999999</v>
      </c>
      <c r="R1117" t="s">
        <v>44</v>
      </c>
      <c r="T1117" t="s">
        <v>2932</v>
      </c>
      <c r="U1117">
        <v>0</v>
      </c>
      <c r="V1117" t="str">
        <f>IF(CleanedTable[[#This Row],[Returned]] = 0,"NO","Yes")</f>
        <v>NO</v>
      </c>
      <c r="W1117" t="s">
        <v>1166</v>
      </c>
      <c r="X1117" t="s">
        <v>2593</v>
      </c>
      <c r="Y1117" s="10">
        <v>37.81</v>
      </c>
      <c r="Z1117" s="3">
        <v>45524</v>
      </c>
      <c r="AA1117" s="3">
        <v>45533</v>
      </c>
      <c r="AB1117" t="s">
        <v>2924</v>
      </c>
      <c r="AC1117">
        <v>9</v>
      </c>
    </row>
    <row r="1118" spans="1:29" x14ac:dyDescent="0.3">
      <c r="A1118" s="3">
        <v>45103</v>
      </c>
      <c r="B1118" s="3" t="str">
        <f>TEXT(CleanedTable[[#This Row],[OrderDate]],"mmm")</f>
        <v>Jun</v>
      </c>
      <c r="C1118" s="3" t="str">
        <f>TEXT(CleanedTable[[#This Row],[OrderDate]],"yyyy")</f>
        <v>2023</v>
      </c>
      <c r="D1118" s="3" t="str">
        <f>TEXT(CleanedTable[[#This Row],[OrderDate]],"mmm yyyy")</f>
        <v>Jun 2023</v>
      </c>
      <c r="E1118" t="s">
        <v>22</v>
      </c>
      <c r="F1118" t="s">
        <v>24</v>
      </c>
      <c r="G1118" s="12">
        <v>13</v>
      </c>
      <c r="H1118" s="8">
        <v>423.64</v>
      </c>
      <c r="I1118" t="s">
        <v>33</v>
      </c>
      <c r="J1118" t="s">
        <v>36</v>
      </c>
      <c r="K1118" s="10">
        <v>0.1</v>
      </c>
      <c r="L1118" t="s">
        <v>38</v>
      </c>
      <c r="M1118">
        <v>4956.5879999999997</v>
      </c>
      <c r="N1118">
        <v>3304.3919999999998</v>
      </c>
      <c r="O1118" s="10">
        <v>1628.886</v>
      </c>
      <c r="P1118" s="10">
        <v>0.32863050146592776</v>
      </c>
      <c r="Q1118" s="8">
        <v>4956.5879999999997</v>
      </c>
      <c r="R1118" t="s">
        <v>46</v>
      </c>
      <c r="T1118" t="s">
        <v>2932</v>
      </c>
      <c r="U1118">
        <v>1</v>
      </c>
      <c r="V1118" t="str">
        <f>IF(CleanedTable[[#This Row],[Returned]] = 0,"NO","Yes")</f>
        <v>Yes</v>
      </c>
      <c r="W1118" t="s">
        <v>1167</v>
      </c>
      <c r="X1118" t="s">
        <v>2594</v>
      </c>
      <c r="Y1118" s="10">
        <v>23.31</v>
      </c>
      <c r="Z1118" s="3">
        <v>45103</v>
      </c>
      <c r="AA1118" s="3">
        <v>45105</v>
      </c>
      <c r="AB1118" t="s">
        <v>2925</v>
      </c>
      <c r="AC1118">
        <v>2</v>
      </c>
    </row>
    <row r="1119" spans="1:29" x14ac:dyDescent="0.3">
      <c r="A1119" s="3">
        <v>45283</v>
      </c>
      <c r="B1119" s="3" t="str">
        <f>TEXT(CleanedTable[[#This Row],[OrderDate]],"mmm")</f>
        <v>Dec</v>
      </c>
      <c r="C1119" s="3" t="str">
        <f>TEXT(CleanedTable[[#This Row],[OrderDate]],"yyyy")</f>
        <v>2023</v>
      </c>
      <c r="D1119" s="3" t="str">
        <f>TEXT(CleanedTable[[#This Row],[OrderDate]],"mmm yyyy")</f>
        <v>Dec 2023</v>
      </c>
      <c r="E1119" t="s">
        <v>19</v>
      </c>
      <c r="F1119" t="s">
        <v>27</v>
      </c>
      <c r="G1119" s="12">
        <v>5</v>
      </c>
      <c r="H1119" s="8">
        <v>552.26</v>
      </c>
      <c r="I1119" t="s">
        <v>34</v>
      </c>
      <c r="J1119" t="s">
        <v>35</v>
      </c>
      <c r="K1119" s="10">
        <v>0.15</v>
      </c>
      <c r="L1119" t="s">
        <v>38</v>
      </c>
      <c r="M1119">
        <v>2347.105</v>
      </c>
      <c r="N1119">
        <v>1656.78</v>
      </c>
      <c r="O1119" s="10">
        <v>663.82500000000005</v>
      </c>
      <c r="P1119" s="10">
        <v>0.28282714237326412</v>
      </c>
      <c r="Q1119" s="8">
        <v>2347.105</v>
      </c>
      <c r="R1119" t="s">
        <v>46</v>
      </c>
      <c r="S1119" t="s">
        <v>50</v>
      </c>
      <c r="T1119" t="s">
        <v>2931</v>
      </c>
      <c r="U1119">
        <v>0</v>
      </c>
      <c r="V1119" t="str">
        <f>IF(CleanedTable[[#This Row],[Returned]] = 0,"NO","Yes")</f>
        <v>NO</v>
      </c>
      <c r="W1119" t="s">
        <v>1168</v>
      </c>
      <c r="X1119" t="s">
        <v>2595</v>
      </c>
      <c r="Y1119" s="10">
        <v>26.5</v>
      </c>
      <c r="Z1119" s="3">
        <v>45283</v>
      </c>
      <c r="AA1119" s="3">
        <v>45285</v>
      </c>
      <c r="AB1119" t="s">
        <v>2922</v>
      </c>
      <c r="AC1119">
        <v>2</v>
      </c>
    </row>
    <row r="1120" spans="1:29" x14ac:dyDescent="0.3">
      <c r="A1120" s="3">
        <v>45158</v>
      </c>
      <c r="B1120" s="3" t="str">
        <f>TEXT(CleanedTable[[#This Row],[OrderDate]],"mmm")</f>
        <v>Aug</v>
      </c>
      <c r="C1120" s="3" t="str">
        <f>TEXT(CleanedTable[[#This Row],[OrderDate]],"yyyy")</f>
        <v>2023</v>
      </c>
      <c r="D1120" s="3" t="str">
        <f>TEXT(CleanedTable[[#This Row],[OrderDate]],"mmm yyyy")</f>
        <v>Aug 2023</v>
      </c>
      <c r="E1120" t="s">
        <v>22</v>
      </c>
      <c r="F1120" t="s">
        <v>26</v>
      </c>
      <c r="G1120" s="12">
        <v>1</v>
      </c>
      <c r="H1120" s="8">
        <v>182.11</v>
      </c>
      <c r="I1120" t="s">
        <v>32</v>
      </c>
      <c r="J1120" t="s">
        <v>36</v>
      </c>
      <c r="K1120" s="10">
        <v>0.1</v>
      </c>
      <c r="L1120" t="s">
        <v>40</v>
      </c>
      <c r="M1120">
        <v>163.89900000000003</v>
      </c>
      <c r="N1120">
        <v>109.26600000000001</v>
      </c>
      <c r="O1120" s="10">
        <v>47.323000000000022</v>
      </c>
      <c r="P1120" s="10">
        <v>0.28873269513541883</v>
      </c>
      <c r="Q1120" s="8">
        <v>163.899</v>
      </c>
      <c r="R1120" t="s">
        <v>45</v>
      </c>
      <c r="S1120" t="s">
        <v>50</v>
      </c>
      <c r="T1120" t="s">
        <v>2931</v>
      </c>
      <c r="U1120">
        <v>0</v>
      </c>
      <c r="V1120" t="str">
        <f>IF(CleanedTable[[#This Row],[Returned]] = 0,"NO","Yes")</f>
        <v>NO</v>
      </c>
      <c r="W1120" t="s">
        <v>1169</v>
      </c>
      <c r="X1120" t="s">
        <v>2596</v>
      </c>
      <c r="Y1120" s="10">
        <v>7.31</v>
      </c>
      <c r="Z1120" s="3">
        <v>45158</v>
      </c>
      <c r="AA1120" s="3">
        <v>45165</v>
      </c>
      <c r="AB1120" t="s">
        <v>2925</v>
      </c>
      <c r="AC1120">
        <v>7</v>
      </c>
    </row>
    <row r="1121" spans="1:29" x14ac:dyDescent="0.3">
      <c r="A1121" s="3">
        <v>45593</v>
      </c>
      <c r="B1121" s="3" t="str">
        <f>TEXT(CleanedTable[[#This Row],[OrderDate]],"mmm")</f>
        <v>Oct</v>
      </c>
      <c r="C1121" s="3" t="str">
        <f>TEXT(CleanedTable[[#This Row],[OrderDate]],"yyyy")</f>
        <v>2024</v>
      </c>
      <c r="D1121" s="3" t="str">
        <f>TEXT(CleanedTable[[#This Row],[OrderDate]],"mmm yyyy")</f>
        <v>Oct 2024</v>
      </c>
      <c r="E1121" t="s">
        <v>23</v>
      </c>
      <c r="F1121" t="s">
        <v>26</v>
      </c>
      <c r="G1121" s="12">
        <v>7</v>
      </c>
      <c r="H1121" s="8">
        <v>466.36</v>
      </c>
      <c r="I1121" t="s">
        <v>34</v>
      </c>
      <c r="J1121" t="s">
        <v>35</v>
      </c>
      <c r="K1121" s="10">
        <v>0.05</v>
      </c>
      <c r="L1121" t="s">
        <v>42</v>
      </c>
      <c r="M1121">
        <v>3101.2939999999999</v>
      </c>
      <c r="N1121">
        <v>1958.7119999999998</v>
      </c>
      <c r="O1121" s="10">
        <v>1131.1320000000001</v>
      </c>
      <c r="P1121" s="10">
        <v>0.36472904535977568</v>
      </c>
      <c r="Q1121" s="8">
        <v>3101.2939999999999</v>
      </c>
      <c r="R1121" t="s">
        <v>43</v>
      </c>
      <c r="S1121" t="s">
        <v>49</v>
      </c>
      <c r="T1121" t="s">
        <v>2931</v>
      </c>
      <c r="U1121">
        <v>1</v>
      </c>
      <c r="V1121" t="str">
        <f>IF(CleanedTable[[#This Row],[Returned]] = 0,"NO","Yes")</f>
        <v>Yes</v>
      </c>
      <c r="W1121" t="s">
        <v>1170</v>
      </c>
      <c r="X1121" t="s">
        <v>2597</v>
      </c>
      <c r="Y1121" s="10">
        <v>11.45</v>
      </c>
      <c r="Z1121" s="3">
        <v>45593</v>
      </c>
      <c r="AA1121" s="3">
        <v>45602</v>
      </c>
      <c r="AB1121" t="s">
        <v>2926</v>
      </c>
      <c r="AC1121">
        <v>9</v>
      </c>
    </row>
    <row r="1122" spans="1:29" x14ac:dyDescent="0.3">
      <c r="A1122" s="3">
        <v>45607</v>
      </c>
      <c r="B1122" s="3" t="str">
        <f>TEXT(CleanedTable[[#This Row],[OrderDate]],"mmm")</f>
        <v>Nov</v>
      </c>
      <c r="C1122" s="3" t="str">
        <f>TEXT(CleanedTable[[#This Row],[OrderDate]],"yyyy")</f>
        <v>2024</v>
      </c>
      <c r="D1122" s="3" t="str">
        <f>TEXT(CleanedTable[[#This Row],[OrderDate]],"mmm yyyy")</f>
        <v>Nov 2024</v>
      </c>
      <c r="E1122" t="s">
        <v>19</v>
      </c>
      <c r="F1122" t="s">
        <v>30</v>
      </c>
      <c r="G1122" s="12">
        <v>15</v>
      </c>
      <c r="H1122" s="8">
        <v>140.54</v>
      </c>
      <c r="I1122" t="s">
        <v>32</v>
      </c>
      <c r="J1122" t="s">
        <v>35</v>
      </c>
      <c r="K1122" s="10">
        <v>0.1</v>
      </c>
      <c r="L1122" t="s">
        <v>37</v>
      </c>
      <c r="M1122">
        <v>1897.29</v>
      </c>
      <c r="N1122">
        <v>1264.8599999999999</v>
      </c>
      <c r="O1122" s="10">
        <v>582.5200000000001</v>
      </c>
      <c r="P1122" s="10">
        <v>0.30702739170079435</v>
      </c>
      <c r="Q1122" s="8">
        <v>1897.29</v>
      </c>
      <c r="R1122" t="s">
        <v>45</v>
      </c>
      <c r="S1122" t="s">
        <v>49</v>
      </c>
      <c r="T1122" t="s">
        <v>2931</v>
      </c>
      <c r="U1122">
        <v>0</v>
      </c>
      <c r="V1122" t="str">
        <f>IF(CleanedTable[[#This Row],[Returned]] = 0,"NO","Yes")</f>
        <v>NO</v>
      </c>
      <c r="W1122" t="s">
        <v>1171</v>
      </c>
      <c r="X1122" t="s">
        <v>2598</v>
      </c>
      <c r="Y1122" s="10">
        <v>49.91</v>
      </c>
      <c r="Z1122" s="3">
        <v>45607</v>
      </c>
      <c r="AA1122" s="3">
        <v>45617</v>
      </c>
      <c r="AB1122" t="s">
        <v>2922</v>
      </c>
      <c r="AC1122">
        <v>10</v>
      </c>
    </row>
    <row r="1123" spans="1:29" x14ac:dyDescent="0.3">
      <c r="A1123" s="3">
        <v>45267</v>
      </c>
      <c r="B1123" s="3" t="str">
        <f>TEXT(CleanedTable[[#This Row],[OrderDate]],"mmm")</f>
        <v>Dec</v>
      </c>
      <c r="C1123" s="3" t="str">
        <f>TEXT(CleanedTable[[#This Row],[OrderDate]],"yyyy")</f>
        <v>2023</v>
      </c>
      <c r="D1123" s="3" t="str">
        <f>TEXT(CleanedTable[[#This Row],[OrderDate]],"mmm yyyy")</f>
        <v>Dec 2023</v>
      </c>
      <c r="E1123" t="s">
        <v>23</v>
      </c>
      <c r="F1123" t="s">
        <v>26</v>
      </c>
      <c r="G1123" s="12">
        <v>17</v>
      </c>
      <c r="H1123" s="8">
        <v>460.31</v>
      </c>
      <c r="I1123" t="s">
        <v>32</v>
      </c>
      <c r="J1123" t="s">
        <v>36</v>
      </c>
      <c r="K1123" s="10">
        <v>0.15</v>
      </c>
      <c r="L1123" t="s">
        <v>41</v>
      </c>
      <c r="M1123">
        <v>6651.4795000000004</v>
      </c>
      <c r="N1123">
        <v>4695.1619999999994</v>
      </c>
      <c r="O1123" s="10">
        <v>1916.137500000001</v>
      </c>
      <c r="P1123" s="10">
        <v>0.28807688575150847</v>
      </c>
      <c r="Q1123" s="8">
        <v>6651.4795000000004</v>
      </c>
      <c r="R1123" t="s">
        <v>43</v>
      </c>
      <c r="S1123" t="s">
        <v>50</v>
      </c>
      <c r="T1123" t="s">
        <v>2931</v>
      </c>
      <c r="U1123">
        <v>0</v>
      </c>
      <c r="V1123" t="str">
        <f>IF(CleanedTable[[#This Row],[Returned]] = 0,"NO","Yes")</f>
        <v>NO</v>
      </c>
      <c r="W1123" t="s">
        <v>1172</v>
      </c>
      <c r="X1123" t="s">
        <v>2599</v>
      </c>
      <c r="Y1123" s="10">
        <v>40.18</v>
      </c>
      <c r="Z1123" s="3">
        <v>45267</v>
      </c>
      <c r="AA1123" s="3">
        <v>45275</v>
      </c>
      <c r="AB1123" t="s">
        <v>2926</v>
      </c>
      <c r="AC1123">
        <v>8</v>
      </c>
    </row>
    <row r="1124" spans="1:29" x14ac:dyDescent="0.3">
      <c r="A1124" s="3">
        <v>45374</v>
      </c>
      <c r="B1124" s="3" t="str">
        <f>TEXT(CleanedTable[[#This Row],[OrderDate]],"mmm")</f>
        <v>Mar</v>
      </c>
      <c r="C1124" s="3" t="str">
        <f>TEXT(CleanedTable[[#This Row],[OrderDate]],"yyyy")</f>
        <v>2024</v>
      </c>
      <c r="D1124" s="3" t="str">
        <f>TEXT(CleanedTable[[#This Row],[OrderDate]],"mmm yyyy")</f>
        <v>Mar 2024</v>
      </c>
      <c r="E1124" t="s">
        <v>23</v>
      </c>
      <c r="F1124" t="s">
        <v>24</v>
      </c>
      <c r="G1124" s="12">
        <v>5</v>
      </c>
      <c r="H1124" s="8">
        <v>132.87</v>
      </c>
      <c r="I1124" t="s">
        <v>31</v>
      </c>
      <c r="J1124" t="s">
        <v>36</v>
      </c>
      <c r="K1124" s="10">
        <v>0</v>
      </c>
      <c r="L1124" t="s">
        <v>42</v>
      </c>
      <c r="M1124">
        <v>664.35</v>
      </c>
      <c r="N1124">
        <v>398.60999999999996</v>
      </c>
      <c r="O1124" s="10">
        <v>227.83000000000007</v>
      </c>
      <c r="P1124" s="10">
        <v>0.34293670505004903</v>
      </c>
      <c r="Q1124" s="8">
        <v>664.35</v>
      </c>
      <c r="R1124" t="s">
        <v>46</v>
      </c>
      <c r="S1124" t="s">
        <v>50</v>
      </c>
      <c r="T1124" t="s">
        <v>2931</v>
      </c>
      <c r="U1124">
        <v>0</v>
      </c>
      <c r="V1124" t="str">
        <f>IF(CleanedTable[[#This Row],[Returned]] = 0,"NO","Yes")</f>
        <v>NO</v>
      </c>
      <c r="W1124" t="s">
        <v>1173</v>
      </c>
      <c r="X1124" t="s">
        <v>2600</v>
      </c>
      <c r="Y1124" s="10">
        <v>37.909999999999997</v>
      </c>
      <c r="Z1124" s="3">
        <v>45374</v>
      </c>
      <c r="AA1124" s="3">
        <v>45384</v>
      </c>
      <c r="AB1124" t="s">
        <v>2926</v>
      </c>
      <c r="AC1124">
        <v>10</v>
      </c>
    </row>
    <row r="1125" spans="1:29" x14ac:dyDescent="0.3">
      <c r="A1125" s="3">
        <v>45594</v>
      </c>
      <c r="B1125" s="3" t="str">
        <f>TEXT(CleanedTable[[#This Row],[OrderDate]],"mmm")</f>
        <v>Oct</v>
      </c>
      <c r="C1125" s="3" t="str">
        <f>TEXT(CleanedTable[[#This Row],[OrderDate]],"yyyy")</f>
        <v>2024</v>
      </c>
      <c r="D1125" s="3" t="str">
        <f>TEXT(CleanedTable[[#This Row],[OrderDate]],"mmm yyyy")</f>
        <v>Oct 2024</v>
      </c>
      <c r="E1125" t="s">
        <v>23</v>
      </c>
      <c r="F1125" t="s">
        <v>29</v>
      </c>
      <c r="G1125" s="12">
        <v>12</v>
      </c>
      <c r="H1125" s="8">
        <v>209.86</v>
      </c>
      <c r="I1125" t="s">
        <v>34</v>
      </c>
      <c r="J1125" t="s">
        <v>36</v>
      </c>
      <c r="K1125" s="10">
        <v>0.05</v>
      </c>
      <c r="L1125" t="s">
        <v>42</v>
      </c>
      <c r="M1125">
        <v>2392.404</v>
      </c>
      <c r="N1125">
        <v>1510.992</v>
      </c>
      <c r="O1125" s="10">
        <v>872.63200000000006</v>
      </c>
      <c r="P1125" s="10">
        <v>0.36475110391054355</v>
      </c>
      <c r="Q1125" s="8">
        <v>2392.404</v>
      </c>
      <c r="R1125" t="s">
        <v>43</v>
      </c>
      <c r="S1125" t="s">
        <v>50</v>
      </c>
      <c r="T1125" t="s">
        <v>2931</v>
      </c>
      <c r="U1125">
        <v>0</v>
      </c>
      <c r="V1125" t="str">
        <f>IF(CleanedTable[[#This Row],[Returned]] = 0,"NO","Yes")</f>
        <v>NO</v>
      </c>
      <c r="W1125" t="s">
        <v>1174</v>
      </c>
      <c r="X1125" t="s">
        <v>2601</v>
      </c>
      <c r="Y1125" s="10">
        <v>8.7799999999999994</v>
      </c>
      <c r="Z1125" s="3">
        <v>45594</v>
      </c>
      <c r="AA1125" s="3">
        <v>45598</v>
      </c>
      <c r="AB1125" t="s">
        <v>2926</v>
      </c>
      <c r="AC1125">
        <v>4</v>
      </c>
    </row>
    <row r="1126" spans="1:29" x14ac:dyDescent="0.3">
      <c r="A1126" s="3">
        <v>45825</v>
      </c>
      <c r="B1126" s="3" t="str">
        <f>TEXT(CleanedTable[[#This Row],[OrderDate]],"mmm")</f>
        <v>Jun</v>
      </c>
      <c r="C1126" s="3" t="str">
        <f>TEXT(CleanedTable[[#This Row],[OrderDate]],"yyyy")</f>
        <v>2025</v>
      </c>
      <c r="D1126" s="3" t="str">
        <f>TEXT(CleanedTable[[#This Row],[OrderDate]],"mmm yyyy")</f>
        <v>Jun 2025</v>
      </c>
      <c r="E1126" t="s">
        <v>19</v>
      </c>
      <c r="F1126" t="s">
        <v>24</v>
      </c>
      <c r="G1126" s="12">
        <v>9</v>
      </c>
      <c r="H1126" s="8">
        <v>31.35</v>
      </c>
      <c r="I1126" t="s">
        <v>31</v>
      </c>
      <c r="J1126" t="s">
        <v>36</v>
      </c>
      <c r="K1126" s="10">
        <v>0.1</v>
      </c>
      <c r="L1126" t="s">
        <v>41</v>
      </c>
      <c r="M1126">
        <v>253.93500000000003</v>
      </c>
      <c r="N1126">
        <v>169.29</v>
      </c>
      <c r="O1126" s="10">
        <v>45.325000000000038</v>
      </c>
      <c r="P1126" s="10">
        <v>0.17849055860751781</v>
      </c>
      <c r="Q1126" s="8">
        <v>253.935</v>
      </c>
      <c r="R1126" t="s">
        <v>47</v>
      </c>
      <c r="S1126" t="s">
        <v>49</v>
      </c>
      <c r="T1126" t="s">
        <v>2931</v>
      </c>
      <c r="U1126">
        <v>0</v>
      </c>
      <c r="V1126" t="str">
        <f>IF(CleanedTable[[#This Row],[Returned]] = 0,"NO","Yes")</f>
        <v>NO</v>
      </c>
      <c r="W1126" t="s">
        <v>1175</v>
      </c>
      <c r="X1126" t="s">
        <v>2602</v>
      </c>
      <c r="Y1126" s="10">
        <v>39.32</v>
      </c>
      <c r="Z1126" s="3">
        <v>45825</v>
      </c>
      <c r="AA1126" s="3">
        <v>45830</v>
      </c>
      <c r="AB1126" t="s">
        <v>2922</v>
      </c>
      <c r="AC1126">
        <v>5</v>
      </c>
    </row>
    <row r="1127" spans="1:29" x14ac:dyDescent="0.3">
      <c r="A1127" s="3">
        <v>45003</v>
      </c>
      <c r="B1127" s="3" t="str">
        <f>TEXT(CleanedTable[[#This Row],[OrderDate]],"mmm")</f>
        <v>Mar</v>
      </c>
      <c r="C1127" s="3" t="str">
        <f>TEXT(CleanedTable[[#This Row],[OrderDate]],"yyyy")</f>
        <v>2023</v>
      </c>
      <c r="D1127" s="3" t="str">
        <f>TEXT(CleanedTable[[#This Row],[OrderDate]],"mmm yyyy")</f>
        <v>Mar 2023</v>
      </c>
      <c r="E1127" t="s">
        <v>21</v>
      </c>
      <c r="F1127" t="s">
        <v>27</v>
      </c>
      <c r="G1127" s="12">
        <v>11</v>
      </c>
      <c r="H1127" s="8">
        <v>335.11</v>
      </c>
      <c r="I1127" t="s">
        <v>33</v>
      </c>
      <c r="J1127" t="s">
        <v>36</v>
      </c>
      <c r="K1127" s="10">
        <v>0</v>
      </c>
      <c r="L1127" t="s">
        <v>39</v>
      </c>
      <c r="M1127">
        <v>3686.21</v>
      </c>
      <c r="N1127">
        <v>2211.7260000000001</v>
      </c>
      <c r="O1127" s="10">
        <v>1444.5339999999999</v>
      </c>
      <c r="P1127" s="10">
        <v>0.39187512377211281</v>
      </c>
      <c r="Q1127" s="8">
        <v>3686.21</v>
      </c>
      <c r="R1127" t="s">
        <v>44</v>
      </c>
      <c r="S1127" t="s">
        <v>48</v>
      </c>
      <c r="T1127" t="s">
        <v>2931</v>
      </c>
      <c r="U1127">
        <v>0</v>
      </c>
      <c r="V1127" t="str">
        <f>IF(CleanedTable[[#This Row],[Returned]] = 0,"NO","Yes")</f>
        <v>NO</v>
      </c>
      <c r="W1127" t="s">
        <v>1176</v>
      </c>
      <c r="X1127" t="s">
        <v>2603</v>
      </c>
      <c r="Y1127" s="10">
        <v>29.95</v>
      </c>
      <c r="Z1127" s="3">
        <v>45003</v>
      </c>
      <c r="AA1127" s="3">
        <v>45011</v>
      </c>
      <c r="AB1127" t="s">
        <v>2924</v>
      </c>
      <c r="AC1127">
        <v>8</v>
      </c>
    </row>
    <row r="1128" spans="1:29" x14ac:dyDescent="0.3">
      <c r="A1128" s="3">
        <v>44945</v>
      </c>
      <c r="B1128" s="3" t="str">
        <f>TEXT(CleanedTable[[#This Row],[OrderDate]],"mmm")</f>
        <v>Jan</v>
      </c>
      <c r="C1128" s="3" t="str">
        <f>TEXT(CleanedTable[[#This Row],[OrderDate]],"yyyy")</f>
        <v>2023</v>
      </c>
      <c r="D1128" s="3" t="str">
        <f>TEXT(CleanedTable[[#This Row],[OrderDate]],"mmm yyyy")</f>
        <v>Jan 2023</v>
      </c>
      <c r="E1128" t="s">
        <v>19</v>
      </c>
      <c r="F1128" t="s">
        <v>25</v>
      </c>
      <c r="G1128" s="12">
        <v>8</v>
      </c>
      <c r="H1128" s="8">
        <v>277.43</v>
      </c>
      <c r="I1128" t="s">
        <v>34</v>
      </c>
      <c r="J1128" t="s">
        <v>35</v>
      </c>
      <c r="K1128" s="10">
        <v>0</v>
      </c>
      <c r="L1128" t="s">
        <v>40</v>
      </c>
      <c r="M1128">
        <v>2219.44</v>
      </c>
      <c r="N1128">
        <v>1331.664</v>
      </c>
      <c r="O1128" s="10">
        <v>851.39600000000007</v>
      </c>
      <c r="P1128" s="10">
        <v>0.38360847781422341</v>
      </c>
      <c r="Q1128" s="8">
        <v>2219.44</v>
      </c>
      <c r="R1128" t="s">
        <v>43</v>
      </c>
      <c r="S1128" t="s">
        <v>49</v>
      </c>
      <c r="T1128" t="s">
        <v>2931</v>
      </c>
      <c r="U1128">
        <v>0</v>
      </c>
      <c r="V1128" t="str">
        <f>IF(CleanedTable[[#This Row],[Returned]] = 0,"NO","Yes")</f>
        <v>NO</v>
      </c>
      <c r="W1128" t="s">
        <v>1177</v>
      </c>
      <c r="X1128" t="s">
        <v>2604</v>
      </c>
      <c r="Y1128" s="10">
        <v>36.380000000000003</v>
      </c>
      <c r="Z1128" s="3">
        <v>44945</v>
      </c>
      <c r="AA1128" s="3">
        <v>44949</v>
      </c>
      <c r="AB1128" t="s">
        <v>2922</v>
      </c>
      <c r="AC1128">
        <v>4</v>
      </c>
    </row>
    <row r="1129" spans="1:29" x14ac:dyDescent="0.3">
      <c r="A1129" s="3">
        <v>45116</v>
      </c>
      <c r="B1129" s="3" t="str">
        <f>TEXT(CleanedTable[[#This Row],[OrderDate]],"mmm")</f>
        <v>Jul</v>
      </c>
      <c r="C1129" s="3" t="str">
        <f>TEXT(CleanedTable[[#This Row],[OrderDate]],"yyyy")</f>
        <v>2023</v>
      </c>
      <c r="D1129" s="3" t="str">
        <f>TEXT(CleanedTable[[#This Row],[OrderDate]],"mmm yyyy")</f>
        <v>Jul 2023</v>
      </c>
      <c r="E1129" t="s">
        <v>23</v>
      </c>
      <c r="F1129" t="s">
        <v>26</v>
      </c>
      <c r="G1129" s="12">
        <v>6</v>
      </c>
      <c r="H1129" s="8">
        <v>287.72000000000003</v>
      </c>
      <c r="I1129" t="s">
        <v>32</v>
      </c>
      <c r="J1129" t="s">
        <v>36</v>
      </c>
      <c r="K1129" s="10">
        <v>0.05</v>
      </c>
      <c r="L1129" t="s">
        <v>42</v>
      </c>
      <c r="M1129">
        <v>1640.0040000000001</v>
      </c>
      <c r="N1129">
        <v>1035.7919999999999</v>
      </c>
      <c r="O1129" s="10">
        <v>587.07200000000023</v>
      </c>
      <c r="P1129" s="10">
        <v>0.35796985861010105</v>
      </c>
      <c r="Q1129" s="8">
        <v>1640.0039999999999</v>
      </c>
      <c r="R1129" t="s">
        <v>46</v>
      </c>
      <c r="S1129" t="s">
        <v>50</v>
      </c>
      <c r="T1129" t="s">
        <v>2931</v>
      </c>
      <c r="U1129">
        <v>0</v>
      </c>
      <c r="V1129" t="str">
        <f>IF(CleanedTable[[#This Row],[Returned]] = 0,"NO","Yes")</f>
        <v>NO</v>
      </c>
      <c r="W1129" t="s">
        <v>1178</v>
      </c>
      <c r="X1129" t="s">
        <v>2605</v>
      </c>
      <c r="Y1129" s="10">
        <v>17.14</v>
      </c>
      <c r="Z1129" s="3">
        <v>45116</v>
      </c>
      <c r="AA1129" s="3">
        <v>45121</v>
      </c>
      <c r="AB1129" t="s">
        <v>2926</v>
      </c>
      <c r="AC1129">
        <v>5</v>
      </c>
    </row>
    <row r="1130" spans="1:29" x14ac:dyDescent="0.3">
      <c r="A1130" s="3">
        <v>45732</v>
      </c>
      <c r="B1130" s="3" t="str">
        <f>TEXT(CleanedTable[[#This Row],[OrderDate]],"mmm")</f>
        <v>Mar</v>
      </c>
      <c r="C1130" s="3" t="str">
        <f>TEXT(CleanedTable[[#This Row],[OrderDate]],"yyyy")</f>
        <v>2025</v>
      </c>
      <c r="D1130" s="3" t="str">
        <f>TEXT(CleanedTable[[#This Row],[OrderDate]],"mmm yyyy")</f>
        <v>Mar 2025</v>
      </c>
      <c r="E1130" t="s">
        <v>19</v>
      </c>
      <c r="F1130" t="s">
        <v>24</v>
      </c>
      <c r="G1130" s="12">
        <v>14</v>
      </c>
      <c r="H1130" s="8">
        <v>459.61</v>
      </c>
      <c r="I1130" t="s">
        <v>31</v>
      </c>
      <c r="J1130" t="s">
        <v>36</v>
      </c>
      <c r="K1130" s="10">
        <v>0.05</v>
      </c>
      <c r="L1130" t="s">
        <v>39</v>
      </c>
      <c r="M1130">
        <v>6112.8130000000001</v>
      </c>
      <c r="N1130">
        <v>3860.7240000000002</v>
      </c>
      <c r="O1130" s="10">
        <v>2208.6790000000001</v>
      </c>
      <c r="P1130" s="10">
        <v>0.36131957578286789</v>
      </c>
      <c r="Q1130" s="8">
        <v>6112.8130000000001</v>
      </c>
      <c r="R1130" t="s">
        <v>43</v>
      </c>
      <c r="T1130" t="s">
        <v>2932</v>
      </c>
      <c r="U1130">
        <v>1</v>
      </c>
      <c r="V1130" t="str">
        <f>IF(CleanedTable[[#This Row],[Returned]] = 0,"NO","Yes")</f>
        <v>Yes</v>
      </c>
      <c r="W1130" t="s">
        <v>1179</v>
      </c>
      <c r="X1130" t="s">
        <v>2606</v>
      </c>
      <c r="Y1130" s="10">
        <v>43.41</v>
      </c>
      <c r="Z1130" s="3">
        <v>45732</v>
      </c>
      <c r="AA1130" s="3">
        <v>45742</v>
      </c>
      <c r="AB1130" t="s">
        <v>2922</v>
      </c>
      <c r="AC1130">
        <v>10</v>
      </c>
    </row>
    <row r="1131" spans="1:29" x14ac:dyDescent="0.3">
      <c r="A1131" s="3">
        <v>45696</v>
      </c>
      <c r="B1131" s="3" t="str">
        <f>TEXT(CleanedTable[[#This Row],[OrderDate]],"mmm")</f>
        <v>Feb</v>
      </c>
      <c r="C1131" s="3" t="str">
        <f>TEXT(CleanedTable[[#This Row],[OrderDate]],"yyyy")</f>
        <v>2025</v>
      </c>
      <c r="D1131" s="3" t="str">
        <f>TEXT(CleanedTable[[#This Row],[OrderDate]],"mmm yyyy")</f>
        <v>Feb 2025</v>
      </c>
      <c r="E1131" t="s">
        <v>21</v>
      </c>
      <c r="F1131" t="s">
        <v>29</v>
      </c>
      <c r="G1131" s="12">
        <v>10</v>
      </c>
      <c r="H1131" s="8">
        <v>396.73</v>
      </c>
      <c r="I1131" t="s">
        <v>31</v>
      </c>
      <c r="J1131" t="s">
        <v>36</v>
      </c>
      <c r="K1131" s="10">
        <v>0.1</v>
      </c>
      <c r="L1131" t="s">
        <v>37</v>
      </c>
      <c r="M1131">
        <v>3570.57</v>
      </c>
      <c r="N1131">
        <v>2380.38</v>
      </c>
      <c r="O1131" s="10">
        <v>1172.06</v>
      </c>
      <c r="P1131" s="10">
        <v>0.32825571267332665</v>
      </c>
      <c r="Q1131" s="8">
        <v>3570.57</v>
      </c>
      <c r="R1131" t="s">
        <v>43</v>
      </c>
      <c r="S1131" t="s">
        <v>48</v>
      </c>
      <c r="T1131" t="s">
        <v>2931</v>
      </c>
      <c r="U1131">
        <v>0</v>
      </c>
      <c r="V1131" t="str">
        <f>IF(CleanedTable[[#This Row],[Returned]] = 0,"NO","Yes")</f>
        <v>NO</v>
      </c>
      <c r="W1131" t="s">
        <v>1180</v>
      </c>
      <c r="X1131" t="s">
        <v>2607</v>
      </c>
      <c r="Y1131" s="10">
        <v>18.13</v>
      </c>
      <c r="Z1131" s="3">
        <v>45696</v>
      </c>
      <c r="AA1131" s="3">
        <v>45701</v>
      </c>
      <c r="AB1131" t="s">
        <v>2924</v>
      </c>
      <c r="AC1131">
        <v>5</v>
      </c>
    </row>
    <row r="1132" spans="1:29" x14ac:dyDescent="0.3">
      <c r="A1132" s="3">
        <v>45402</v>
      </c>
      <c r="B1132" s="3" t="str">
        <f>TEXT(CleanedTable[[#This Row],[OrderDate]],"mmm")</f>
        <v>Apr</v>
      </c>
      <c r="C1132" s="3" t="str">
        <f>TEXT(CleanedTable[[#This Row],[OrderDate]],"yyyy")</f>
        <v>2024</v>
      </c>
      <c r="D1132" s="3" t="str">
        <f>TEXT(CleanedTable[[#This Row],[OrderDate]],"mmm yyyy")</f>
        <v>Apr 2024</v>
      </c>
      <c r="E1132" t="s">
        <v>20</v>
      </c>
      <c r="F1132" t="s">
        <v>30</v>
      </c>
      <c r="G1132" s="12">
        <v>20</v>
      </c>
      <c r="H1132" s="8">
        <v>516.42999999999995</v>
      </c>
      <c r="I1132" t="s">
        <v>31</v>
      </c>
      <c r="J1132" t="s">
        <v>36</v>
      </c>
      <c r="K1132" s="10">
        <v>0</v>
      </c>
      <c r="L1132" t="s">
        <v>42</v>
      </c>
      <c r="M1132">
        <v>10328.599999999999</v>
      </c>
      <c r="N1132">
        <v>6197.1599999999989</v>
      </c>
      <c r="O1132" s="10">
        <v>4095.2099999999996</v>
      </c>
      <c r="P1132" s="10">
        <v>0.3964922641984393</v>
      </c>
      <c r="Q1132" s="8">
        <v>10328.6</v>
      </c>
      <c r="R1132" t="s">
        <v>43</v>
      </c>
      <c r="S1132" t="s">
        <v>48</v>
      </c>
      <c r="T1132" t="s">
        <v>2931</v>
      </c>
      <c r="U1132">
        <v>0</v>
      </c>
      <c r="V1132" t="str">
        <f>IF(CleanedTable[[#This Row],[Returned]] = 0,"NO","Yes")</f>
        <v>NO</v>
      </c>
      <c r="W1132" t="s">
        <v>1181</v>
      </c>
      <c r="X1132" t="s">
        <v>1669</v>
      </c>
      <c r="Y1132" s="10">
        <v>36.229999999999997</v>
      </c>
      <c r="Z1132" s="3">
        <v>45402</v>
      </c>
      <c r="AA1132" s="3">
        <v>45404</v>
      </c>
      <c r="AB1132" t="s">
        <v>2923</v>
      </c>
      <c r="AC1132">
        <v>2</v>
      </c>
    </row>
    <row r="1133" spans="1:29" x14ac:dyDescent="0.3">
      <c r="A1133" s="3">
        <v>45813</v>
      </c>
      <c r="B1133" s="3" t="str">
        <f>TEXT(CleanedTable[[#This Row],[OrderDate]],"mmm")</f>
        <v>Jun</v>
      </c>
      <c r="C1133" s="3" t="str">
        <f>TEXT(CleanedTable[[#This Row],[OrderDate]],"yyyy")</f>
        <v>2025</v>
      </c>
      <c r="D1133" s="3" t="str">
        <f>TEXT(CleanedTable[[#This Row],[OrderDate]],"mmm yyyy")</f>
        <v>Jun 2025</v>
      </c>
      <c r="E1133" t="s">
        <v>19</v>
      </c>
      <c r="F1133" t="s">
        <v>24</v>
      </c>
      <c r="G1133" s="12">
        <v>1</v>
      </c>
      <c r="H1133" s="8">
        <v>299.66000000000003</v>
      </c>
      <c r="I1133" t="s">
        <v>32</v>
      </c>
      <c r="J1133" t="s">
        <v>36</v>
      </c>
      <c r="K1133" s="10">
        <v>0.1</v>
      </c>
      <c r="L1133" t="s">
        <v>41</v>
      </c>
      <c r="M1133">
        <v>269.69400000000002</v>
      </c>
      <c r="N1133">
        <v>179.79600000000002</v>
      </c>
      <c r="O1133" s="10">
        <v>50.957999999999998</v>
      </c>
      <c r="P1133" s="10">
        <v>0.1889474738036441</v>
      </c>
      <c r="Q1133" s="8">
        <v>269.69400000000002</v>
      </c>
      <c r="R1133" t="s">
        <v>47</v>
      </c>
      <c r="S1133" t="s">
        <v>49</v>
      </c>
      <c r="T1133" t="s">
        <v>2931</v>
      </c>
      <c r="U1133">
        <v>0</v>
      </c>
      <c r="V1133" t="str">
        <f>IF(CleanedTable[[#This Row],[Returned]] = 0,"NO","Yes")</f>
        <v>NO</v>
      </c>
      <c r="W1133" t="s">
        <v>1182</v>
      </c>
      <c r="X1133" t="s">
        <v>2608</v>
      </c>
      <c r="Y1133" s="10">
        <v>38.94</v>
      </c>
      <c r="Z1133" s="3">
        <v>45813</v>
      </c>
      <c r="AA1133" s="3">
        <v>45815</v>
      </c>
      <c r="AB1133" t="s">
        <v>2922</v>
      </c>
      <c r="AC1133">
        <v>2</v>
      </c>
    </row>
    <row r="1134" spans="1:29" x14ac:dyDescent="0.3">
      <c r="A1134" s="3">
        <v>45772</v>
      </c>
      <c r="B1134" s="3" t="str">
        <f>TEXT(CleanedTable[[#This Row],[OrderDate]],"mmm")</f>
        <v>Apr</v>
      </c>
      <c r="C1134" s="3" t="str">
        <f>TEXT(CleanedTable[[#This Row],[OrderDate]],"yyyy")</f>
        <v>2025</v>
      </c>
      <c r="D1134" s="3" t="str">
        <f>TEXT(CleanedTable[[#This Row],[OrderDate]],"mmm yyyy")</f>
        <v>Apr 2025</v>
      </c>
      <c r="E1134" t="s">
        <v>20</v>
      </c>
      <c r="F1134" t="s">
        <v>27</v>
      </c>
      <c r="G1134" s="12">
        <v>12</v>
      </c>
      <c r="H1134" s="8">
        <v>31.72</v>
      </c>
      <c r="I1134" t="s">
        <v>31</v>
      </c>
      <c r="J1134" t="s">
        <v>36</v>
      </c>
      <c r="K1134" s="10">
        <v>0</v>
      </c>
      <c r="L1134" t="s">
        <v>38</v>
      </c>
      <c r="M1134">
        <v>380.64</v>
      </c>
      <c r="N1134">
        <v>228.38400000000001</v>
      </c>
      <c r="O1134" s="10">
        <v>121.47599999999997</v>
      </c>
      <c r="P1134" s="10">
        <v>0.31913619167717522</v>
      </c>
      <c r="Q1134" s="8">
        <v>380.64</v>
      </c>
      <c r="R1134" t="s">
        <v>46</v>
      </c>
      <c r="S1134" t="s">
        <v>49</v>
      </c>
      <c r="T1134" t="s">
        <v>2931</v>
      </c>
      <c r="U1134">
        <v>0</v>
      </c>
      <c r="V1134" t="str">
        <f>IF(CleanedTable[[#This Row],[Returned]] = 0,"NO","Yes")</f>
        <v>NO</v>
      </c>
      <c r="W1134" t="s">
        <v>1183</v>
      </c>
      <c r="X1134" t="s">
        <v>2609</v>
      </c>
      <c r="Y1134" s="10">
        <v>30.78</v>
      </c>
      <c r="Z1134" s="3">
        <v>45772</v>
      </c>
      <c r="AA1134" s="3">
        <v>45780</v>
      </c>
      <c r="AB1134" t="s">
        <v>2923</v>
      </c>
      <c r="AC1134">
        <v>8</v>
      </c>
    </row>
    <row r="1135" spans="1:29" x14ac:dyDescent="0.3">
      <c r="A1135" s="3">
        <v>45175</v>
      </c>
      <c r="B1135" s="3" t="str">
        <f>TEXT(CleanedTable[[#This Row],[OrderDate]],"mmm")</f>
        <v>Sep</v>
      </c>
      <c r="C1135" s="3" t="str">
        <f>TEXT(CleanedTable[[#This Row],[OrderDate]],"yyyy")</f>
        <v>2023</v>
      </c>
      <c r="D1135" s="3" t="str">
        <f>TEXT(CleanedTable[[#This Row],[OrderDate]],"mmm yyyy")</f>
        <v>Sep 2023</v>
      </c>
      <c r="E1135" t="s">
        <v>22</v>
      </c>
      <c r="F1135" t="s">
        <v>25</v>
      </c>
      <c r="G1135" s="12">
        <v>17</v>
      </c>
      <c r="H1135" s="8">
        <v>588.58000000000004</v>
      </c>
      <c r="I1135" t="s">
        <v>34</v>
      </c>
      <c r="J1135" t="s">
        <v>35</v>
      </c>
      <c r="K1135" s="10">
        <v>0.05</v>
      </c>
      <c r="L1135" t="s">
        <v>41</v>
      </c>
      <c r="M1135">
        <v>9505.5670000000009</v>
      </c>
      <c r="N1135">
        <v>6003.5160000000005</v>
      </c>
      <c r="O1135" s="10">
        <v>3476.7410000000004</v>
      </c>
      <c r="P1135" s="10">
        <v>0.36575840241828816</v>
      </c>
      <c r="Q1135" s="8">
        <v>9505.5670000000009</v>
      </c>
      <c r="R1135" t="s">
        <v>46</v>
      </c>
      <c r="S1135" t="s">
        <v>49</v>
      </c>
      <c r="T1135" t="s">
        <v>2931</v>
      </c>
      <c r="U1135">
        <v>1</v>
      </c>
      <c r="V1135" t="str">
        <f>IF(CleanedTable[[#This Row],[Returned]] = 0,"NO","Yes")</f>
        <v>Yes</v>
      </c>
      <c r="W1135" t="s">
        <v>1184</v>
      </c>
      <c r="X1135" t="s">
        <v>2610</v>
      </c>
      <c r="Y1135" s="10">
        <v>25.31</v>
      </c>
      <c r="Z1135" s="3">
        <v>45175</v>
      </c>
      <c r="AA1135" s="3">
        <v>45182</v>
      </c>
      <c r="AB1135" t="s">
        <v>2925</v>
      </c>
      <c r="AC1135">
        <v>7</v>
      </c>
    </row>
    <row r="1136" spans="1:29" x14ac:dyDescent="0.3">
      <c r="A1136" s="3">
        <v>45198</v>
      </c>
      <c r="B1136" s="3" t="str">
        <f>TEXT(CleanedTable[[#This Row],[OrderDate]],"mmm")</f>
        <v>Sep</v>
      </c>
      <c r="C1136" s="3" t="str">
        <f>TEXT(CleanedTable[[#This Row],[OrderDate]],"yyyy")</f>
        <v>2023</v>
      </c>
      <c r="D1136" s="3" t="str">
        <f>TEXT(CleanedTable[[#This Row],[OrderDate]],"mmm yyyy")</f>
        <v>Sep 2023</v>
      </c>
      <c r="E1136" t="s">
        <v>19</v>
      </c>
      <c r="F1136" t="s">
        <v>24</v>
      </c>
      <c r="G1136" s="12">
        <v>11</v>
      </c>
      <c r="H1136" s="8">
        <v>203.15</v>
      </c>
      <c r="I1136" t="s">
        <v>33</v>
      </c>
      <c r="J1136" t="s">
        <v>36</v>
      </c>
      <c r="K1136" s="10">
        <v>0.1</v>
      </c>
      <c r="L1136" t="s">
        <v>37</v>
      </c>
      <c r="M1136">
        <v>2011.1850000000002</v>
      </c>
      <c r="N1136">
        <v>1340.79</v>
      </c>
      <c r="O1136" s="10">
        <v>639.42500000000018</v>
      </c>
      <c r="P1136" s="10">
        <v>0.31793445157954148</v>
      </c>
      <c r="Q1136" s="8">
        <v>2011.1849999999999</v>
      </c>
      <c r="R1136" t="s">
        <v>43</v>
      </c>
      <c r="S1136" t="s">
        <v>48</v>
      </c>
      <c r="T1136" t="s">
        <v>2931</v>
      </c>
      <c r="U1136">
        <v>0</v>
      </c>
      <c r="V1136" t="str">
        <f>IF(CleanedTable[[#This Row],[Returned]] = 0,"NO","Yes")</f>
        <v>NO</v>
      </c>
      <c r="W1136" t="s">
        <v>1185</v>
      </c>
      <c r="X1136" t="s">
        <v>2611</v>
      </c>
      <c r="Y1136" s="10">
        <v>30.97</v>
      </c>
      <c r="Z1136" s="3">
        <v>45198</v>
      </c>
      <c r="AA1136" s="3">
        <v>45201</v>
      </c>
      <c r="AB1136" t="s">
        <v>2922</v>
      </c>
      <c r="AC1136">
        <v>3</v>
      </c>
    </row>
    <row r="1137" spans="1:29" x14ac:dyDescent="0.3">
      <c r="A1137" s="3">
        <v>45433</v>
      </c>
      <c r="B1137" s="3" t="str">
        <f>TEXT(CleanedTable[[#This Row],[OrderDate]],"mmm")</f>
        <v>May</v>
      </c>
      <c r="C1137" s="3" t="str">
        <f>TEXT(CleanedTable[[#This Row],[OrderDate]],"yyyy")</f>
        <v>2024</v>
      </c>
      <c r="D1137" s="3" t="str">
        <f>TEXT(CleanedTable[[#This Row],[OrderDate]],"mmm yyyy")</f>
        <v>May 2024</v>
      </c>
      <c r="E1137" t="s">
        <v>22</v>
      </c>
      <c r="F1137" t="s">
        <v>28</v>
      </c>
      <c r="G1137" s="12">
        <v>18</v>
      </c>
      <c r="H1137" s="8">
        <v>139.13999999999999</v>
      </c>
      <c r="I1137" t="s">
        <v>32</v>
      </c>
      <c r="J1137" t="s">
        <v>35</v>
      </c>
      <c r="K1137" s="10">
        <v>0</v>
      </c>
      <c r="L1137" t="s">
        <v>40</v>
      </c>
      <c r="M1137">
        <v>2504.5199999999995</v>
      </c>
      <c r="N1137">
        <v>1502.712</v>
      </c>
      <c r="O1137" s="10">
        <v>991.24799999999959</v>
      </c>
      <c r="P1137" s="10">
        <v>0.3957836232092376</v>
      </c>
      <c r="Q1137" s="8">
        <v>2504.52</v>
      </c>
      <c r="R1137" t="s">
        <v>43</v>
      </c>
      <c r="S1137" t="s">
        <v>48</v>
      </c>
      <c r="T1137" t="s">
        <v>2931</v>
      </c>
      <c r="U1137">
        <v>1</v>
      </c>
      <c r="V1137" t="str">
        <f>IF(CleanedTable[[#This Row],[Returned]] = 0,"NO","Yes")</f>
        <v>Yes</v>
      </c>
      <c r="W1137" t="s">
        <v>1186</v>
      </c>
      <c r="X1137" t="s">
        <v>2612</v>
      </c>
      <c r="Y1137" s="10">
        <v>10.56</v>
      </c>
      <c r="Z1137" s="3">
        <v>45433</v>
      </c>
      <c r="AA1137" s="3">
        <v>45435</v>
      </c>
      <c r="AB1137" t="s">
        <v>2925</v>
      </c>
      <c r="AC1137">
        <v>2</v>
      </c>
    </row>
    <row r="1138" spans="1:29" x14ac:dyDescent="0.3">
      <c r="A1138" s="3">
        <v>45760</v>
      </c>
      <c r="B1138" s="3" t="str">
        <f>TEXT(CleanedTable[[#This Row],[OrderDate]],"mmm")</f>
        <v>Apr</v>
      </c>
      <c r="C1138" s="3" t="str">
        <f>TEXT(CleanedTable[[#This Row],[OrderDate]],"yyyy")</f>
        <v>2025</v>
      </c>
      <c r="D1138" s="3" t="str">
        <f>TEXT(CleanedTable[[#This Row],[OrderDate]],"mmm yyyy")</f>
        <v>Apr 2025</v>
      </c>
      <c r="E1138" t="s">
        <v>23</v>
      </c>
      <c r="F1138" t="s">
        <v>28</v>
      </c>
      <c r="G1138" s="12">
        <v>2</v>
      </c>
      <c r="H1138" s="8">
        <v>158.99</v>
      </c>
      <c r="I1138" t="s">
        <v>32</v>
      </c>
      <c r="J1138" t="s">
        <v>35</v>
      </c>
      <c r="K1138" s="10">
        <v>0</v>
      </c>
      <c r="L1138" t="s">
        <v>42</v>
      </c>
      <c r="M1138">
        <v>317.98</v>
      </c>
      <c r="N1138">
        <v>190.78800000000001</v>
      </c>
      <c r="O1138" s="10">
        <v>78.872000000000014</v>
      </c>
      <c r="P1138" s="10">
        <v>0.24804075728033212</v>
      </c>
      <c r="Q1138" s="8">
        <v>317.98</v>
      </c>
      <c r="R1138" t="s">
        <v>43</v>
      </c>
      <c r="T1138" t="s">
        <v>2932</v>
      </c>
      <c r="U1138">
        <v>0</v>
      </c>
      <c r="V1138" t="str">
        <f>IF(CleanedTable[[#This Row],[Returned]] = 0,"NO","Yes")</f>
        <v>NO</v>
      </c>
      <c r="W1138" t="s">
        <v>1187</v>
      </c>
      <c r="X1138" t="s">
        <v>2613</v>
      </c>
      <c r="Y1138" s="10">
        <v>48.32</v>
      </c>
      <c r="Z1138" s="3">
        <v>45760</v>
      </c>
      <c r="AA1138" s="3">
        <v>45766</v>
      </c>
      <c r="AB1138" t="s">
        <v>2926</v>
      </c>
      <c r="AC1138">
        <v>6</v>
      </c>
    </row>
    <row r="1139" spans="1:29" x14ac:dyDescent="0.3">
      <c r="A1139" s="3">
        <v>45612</v>
      </c>
      <c r="B1139" s="3" t="str">
        <f>TEXT(CleanedTable[[#This Row],[OrderDate]],"mmm")</f>
        <v>Nov</v>
      </c>
      <c r="C1139" s="3" t="str">
        <f>TEXT(CleanedTable[[#This Row],[OrderDate]],"yyyy")</f>
        <v>2024</v>
      </c>
      <c r="D1139" s="3" t="str">
        <f>TEXT(CleanedTable[[#This Row],[OrderDate]],"mmm yyyy")</f>
        <v>Nov 2024</v>
      </c>
      <c r="E1139" t="s">
        <v>19</v>
      </c>
      <c r="F1139" t="s">
        <v>27</v>
      </c>
      <c r="G1139" s="12">
        <v>3</v>
      </c>
      <c r="H1139" s="8">
        <v>387.63</v>
      </c>
      <c r="I1139" t="s">
        <v>32</v>
      </c>
      <c r="J1139" t="s">
        <v>35</v>
      </c>
      <c r="K1139" s="10">
        <v>0</v>
      </c>
      <c r="L1139" t="s">
        <v>41</v>
      </c>
      <c r="M1139">
        <v>1162.8899999999999</v>
      </c>
      <c r="N1139">
        <v>697.73399999999992</v>
      </c>
      <c r="O1139" s="10">
        <v>435.07599999999996</v>
      </c>
      <c r="P1139" s="10">
        <v>0.37413340900687081</v>
      </c>
      <c r="Q1139" s="8">
        <v>1162.8900000000001</v>
      </c>
      <c r="R1139" t="s">
        <v>45</v>
      </c>
      <c r="S1139" t="s">
        <v>50</v>
      </c>
      <c r="T1139" t="s">
        <v>2931</v>
      </c>
      <c r="U1139">
        <v>0</v>
      </c>
      <c r="V1139" t="str">
        <f>IF(CleanedTable[[#This Row],[Returned]] = 0,"NO","Yes")</f>
        <v>NO</v>
      </c>
      <c r="W1139" t="s">
        <v>1188</v>
      </c>
      <c r="X1139" t="s">
        <v>2614</v>
      </c>
      <c r="Y1139" s="10">
        <v>30.08</v>
      </c>
      <c r="Z1139" s="3">
        <v>45612</v>
      </c>
      <c r="AA1139" s="3">
        <v>45616</v>
      </c>
      <c r="AB1139" t="s">
        <v>2922</v>
      </c>
      <c r="AC1139">
        <v>4</v>
      </c>
    </row>
    <row r="1140" spans="1:29" x14ac:dyDescent="0.3">
      <c r="A1140" s="3">
        <v>45493</v>
      </c>
      <c r="B1140" s="3" t="str">
        <f>TEXT(CleanedTable[[#This Row],[OrderDate]],"mmm")</f>
        <v>Jul</v>
      </c>
      <c r="C1140" s="3" t="str">
        <f>TEXT(CleanedTable[[#This Row],[OrderDate]],"yyyy")</f>
        <v>2024</v>
      </c>
      <c r="D1140" s="3" t="str">
        <f>TEXT(CleanedTable[[#This Row],[OrderDate]],"mmm yyyy")</f>
        <v>Jul 2024</v>
      </c>
      <c r="E1140" t="s">
        <v>21</v>
      </c>
      <c r="F1140" t="s">
        <v>26</v>
      </c>
      <c r="G1140" s="12">
        <v>5</v>
      </c>
      <c r="H1140" s="8">
        <v>202.12</v>
      </c>
      <c r="I1140" t="s">
        <v>32</v>
      </c>
      <c r="J1140" t="s">
        <v>36</v>
      </c>
      <c r="K1140" s="10">
        <v>0.1</v>
      </c>
      <c r="L1140" t="s">
        <v>41</v>
      </c>
      <c r="M1140">
        <v>909.54000000000008</v>
      </c>
      <c r="N1140">
        <v>606.3599999999999</v>
      </c>
      <c r="O1140" s="10">
        <v>257.57000000000016</v>
      </c>
      <c r="P1140" s="10">
        <v>0.28318710556984866</v>
      </c>
      <c r="Q1140" s="8">
        <v>909.54000000000008</v>
      </c>
      <c r="R1140" t="s">
        <v>43</v>
      </c>
      <c r="S1140" t="s">
        <v>48</v>
      </c>
      <c r="T1140" t="s">
        <v>2931</v>
      </c>
      <c r="U1140">
        <v>1</v>
      </c>
      <c r="V1140" t="str">
        <f>IF(CleanedTable[[#This Row],[Returned]] = 0,"NO","Yes")</f>
        <v>Yes</v>
      </c>
      <c r="W1140" t="s">
        <v>1189</v>
      </c>
      <c r="X1140" t="s">
        <v>2593</v>
      </c>
      <c r="Y1140" s="10">
        <v>45.61</v>
      </c>
      <c r="Z1140" s="3">
        <v>45493</v>
      </c>
      <c r="AA1140" s="3">
        <v>45501</v>
      </c>
      <c r="AB1140" t="s">
        <v>2924</v>
      </c>
      <c r="AC1140">
        <v>8</v>
      </c>
    </row>
    <row r="1141" spans="1:29" x14ac:dyDescent="0.3">
      <c r="A1141" s="3">
        <v>45066</v>
      </c>
      <c r="B1141" s="3" t="str">
        <f>TEXT(CleanedTable[[#This Row],[OrderDate]],"mmm")</f>
        <v>May</v>
      </c>
      <c r="C1141" s="3" t="str">
        <f>TEXT(CleanedTable[[#This Row],[OrderDate]],"yyyy")</f>
        <v>2023</v>
      </c>
      <c r="D1141" s="3" t="str">
        <f>TEXT(CleanedTable[[#This Row],[OrderDate]],"mmm yyyy")</f>
        <v>May 2023</v>
      </c>
      <c r="E1141" t="s">
        <v>21</v>
      </c>
      <c r="F1141" t="s">
        <v>26</v>
      </c>
      <c r="G1141" s="12">
        <v>4</v>
      </c>
      <c r="H1141" s="8">
        <v>334.57</v>
      </c>
      <c r="I1141" t="s">
        <v>33</v>
      </c>
      <c r="J1141" t="s">
        <v>36</v>
      </c>
      <c r="K1141" s="10">
        <v>0.15</v>
      </c>
      <c r="L1141" t="s">
        <v>40</v>
      </c>
      <c r="M1141">
        <v>1137.538</v>
      </c>
      <c r="N1141">
        <v>802.96799999999996</v>
      </c>
      <c r="O1141" s="10">
        <v>323.08000000000004</v>
      </c>
      <c r="P1141" s="10">
        <v>0.28401688558975613</v>
      </c>
      <c r="Q1141" s="8">
        <v>1137.538</v>
      </c>
      <c r="R1141" t="s">
        <v>44</v>
      </c>
      <c r="T1141" t="s">
        <v>2932</v>
      </c>
      <c r="U1141">
        <v>0</v>
      </c>
      <c r="V1141" t="str">
        <f>IF(CleanedTable[[#This Row],[Returned]] = 0,"NO","Yes")</f>
        <v>NO</v>
      </c>
      <c r="W1141" t="s">
        <v>1190</v>
      </c>
      <c r="X1141" t="s">
        <v>2615</v>
      </c>
      <c r="Y1141" s="10">
        <v>11.49</v>
      </c>
      <c r="Z1141" s="3">
        <v>45066</v>
      </c>
      <c r="AA1141" s="3">
        <v>45073</v>
      </c>
      <c r="AB1141" t="s">
        <v>2924</v>
      </c>
      <c r="AC1141">
        <v>7</v>
      </c>
    </row>
    <row r="1142" spans="1:29" x14ac:dyDescent="0.3">
      <c r="A1142" s="3">
        <v>45221</v>
      </c>
      <c r="B1142" s="3" t="str">
        <f>TEXT(CleanedTable[[#This Row],[OrderDate]],"mmm")</f>
        <v>Oct</v>
      </c>
      <c r="C1142" s="3" t="str">
        <f>TEXT(CleanedTable[[#This Row],[OrderDate]],"yyyy")</f>
        <v>2023</v>
      </c>
      <c r="D1142" s="3" t="str">
        <f>TEXT(CleanedTable[[#This Row],[OrderDate]],"mmm yyyy")</f>
        <v>Oct 2023</v>
      </c>
      <c r="E1142" t="s">
        <v>23</v>
      </c>
      <c r="F1142" t="s">
        <v>25</v>
      </c>
      <c r="G1142" s="12">
        <v>16</v>
      </c>
      <c r="H1142" s="8">
        <v>486.71</v>
      </c>
      <c r="I1142" t="s">
        <v>31</v>
      </c>
      <c r="J1142" t="s">
        <v>35</v>
      </c>
      <c r="K1142" s="10">
        <v>0.15</v>
      </c>
      <c r="L1142" t="s">
        <v>40</v>
      </c>
      <c r="M1142">
        <v>6619.2559999999994</v>
      </c>
      <c r="N1142">
        <v>4672.4159999999993</v>
      </c>
      <c r="O1142" s="10">
        <v>1934.3100000000002</v>
      </c>
      <c r="P1142" s="10">
        <v>0.29222468507034632</v>
      </c>
      <c r="Q1142" s="8">
        <v>6619.2559999999994</v>
      </c>
      <c r="R1142" t="s">
        <v>43</v>
      </c>
      <c r="S1142" t="s">
        <v>48</v>
      </c>
      <c r="T1142" t="s">
        <v>2931</v>
      </c>
      <c r="U1142">
        <v>1</v>
      </c>
      <c r="V1142" t="str">
        <f>IF(CleanedTable[[#This Row],[Returned]] = 0,"NO","Yes")</f>
        <v>Yes</v>
      </c>
      <c r="W1142" t="s">
        <v>1191</v>
      </c>
      <c r="X1142" t="s">
        <v>2616</v>
      </c>
      <c r="Y1142" s="10">
        <v>12.53</v>
      </c>
      <c r="Z1142" s="3">
        <v>45221</v>
      </c>
      <c r="AA1142" s="3">
        <v>45225</v>
      </c>
      <c r="AB1142" t="s">
        <v>2926</v>
      </c>
      <c r="AC1142">
        <v>4</v>
      </c>
    </row>
    <row r="1143" spans="1:29" x14ac:dyDescent="0.3">
      <c r="A1143" s="3">
        <v>45795</v>
      </c>
      <c r="B1143" s="3" t="str">
        <f>TEXT(CleanedTable[[#This Row],[OrderDate]],"mmm")</f>
        <v>May</v>
      </c>
      <c r="C1143" s="3" t="str">
        <f>TEXT(CleanedTable[[#This Row],[OrderDate]],"yyyy")</f>
        <v>2025</v>
      </c>
      <c r="D1143" s="3" t="str">
        <f>TEXT(CleanedTable[[#This Row],[OrderDate]],"mmm yyyy")</f>
        <v>May 2025</v>
      </c>
      <c r="E1143" t="s">
        <v>21</v>
      </c>
      <c r="F1143" t="s">
        <v>28</v>
      </c>
      <c r="G1143" s="12">
        <v>2</v>
      </c>
      <c r="H1143" s="8">
        <v>188.29</v>
      </c>
      <c r="I1143" t="s">
        <v>34</v>
      </c>
      <c r="J1143" t="s">
        <v>35</v>
      </c>
      <c r="K1143" s="10">
        <v>0.15</v>
      </c>
      <c r="L1143" t="s">
        <v>42</v>
      </c>
      <c r="M1143">
        <v>320.09299999999996</v>
      </c>
      <c r="N1143">
        <v>225.94799999999998</v>
      </c>
      <c r="O1143" s="10">
        <v>61.924999999999983</v>
      </c>
      <c r="P1143" s="10">
        <v>0.19345940086162455</v>
      </c>
      <c r="Q1143" s="8">
        <v>320.09300000000002</v>
      </c>
      <c r="R1143" t="s">
        <v>45</v>
      </c>
      <c r="S1143" t="s">
        <v>49</v>
      </c>
      <c r="T1143" t="s">
        <v>2931</v>
      </c>
      <c r="U1143">
        <v>0</v>
      </c>
      <c r="V1143" t="str">
        <f>IF(CleanedTable[[#This Row],[Returned]] = 0,"NO","Yes")</f>
        <v>NO</v>
      </c>
      <c r="W1143" t="s">
        <v>1192</v>
      </c>
      <c r="X1143" t="s">
        <v>2617</v>
      </c>
      <c r="Y1143" s="10">
        <v>32.22</v>
      </c>
      <c r="Z1143" s="3">
        <v>45795</v>
      </c>
      <c r="AA1143" s="3">
        <v>45798</v>
      </c>
      <c r="AB1143" t="s">
        <v>2924</v>
      </c>
      <c r="AC1143">
        <v>3</v>
      </c>
    </row>
    <row r="1144" spans="1:29" x14ac:dyDescent="0.3">
      <c r="A1144" s="3">
        <v>45354</v>
      </c>
      <c r="B1144" s="3" t="str">
        <f>TEXT(CleanedTable[[#This Row],[OrderDate]],"mmm")</f>
        <v>Mar</v>
      </c>
      <c r="C1144" s="3" t="str">
        <f>TEXT(CleanedTable[[#This Row],[OrderDate]],"yyyy")</f>
        <v>2024</v>
      </c>
      <c r="D1144" s="3" t="str">
        <f>TEXT(CleanedTable[[#This Row],[OrderDate]],"mmm yyyy")</f>
        <v>Mar 2024</v>
      </c>
      <c r="E1144" t="s">
        <v>20</v>
      </c>
      <c r="F1144" t="s">
        <v>24</v>
      </c>
      <c r="G1144" s="12">
        <v>3</v>
      </c>
      <c r="H1144" s="8">
        <v>260.72000000000003</v>
      </c>
      <c r="I1144" t="s">
        <v>31</v>
      </c>
      <c r="J1144" t="s">
        <v>35</v>
      </c>
      <c r="K1144" s="10">
        <v>0.15</v>
      </c>
      <c r="L1144" t="s">
        <v>39</v>
      </c>
      <c r="M1144">
        <v>664.83600000000001</v>
      </c>
      <c r="N1144">
        <v>469.29600000000005</v>
      </c>
      <c r="O1144" s="10">
        <v>176.12999999999997</v>
      </c>
      <c r="P1144" s="10">
        <v>0.26492247712217742</v>
      </c>
      <c r="Q1144" s="8">
        <v>664.83600000000001</v>
      </c>
      <c r="R1144" t="s">
        <v>43</v>
      </c>
      <c r="S1144" t="s">
        <v>50</v>
      </c>
      <c r="T1144" t="s">
        <v>2931</v>
      </c>
      <c r="U1144">
        <v>0</v>
      </c>
      <c r="V1144" t="str">
        <f>IF(CleanedTable[[#This Row],[Returned]] = 0,"NO","Yes")</f>
        <v>NO</v>
      </c>
      <c r="W1144" t="s">
        <v>1193</v>
      </c>
      <c r="X1144" t="s">
        <v>2618</v>
      </c>
      <c r="Y1144" s="10">
        <v>19.41</v>
      </c>
      <c r="Z1144" s="3">
        <v>45354</v>
      </c>
      <c r="AA1144" s="3">
        <v>45357</v>
      </c>
      <c r="AB1144" t="s">
        <v>2923</v>
      </c>
      <c r="AC1144">
        <v>3</v>
      </c>
    </row>
    <row r="1145" spans="1:29" x14ac:dyDescent="0.3">
      <c r="A1145" s="3">
        <v>45130</v>
      </c>
      <c r="B1145" s="3" t="str">
        <f>TEXT(CleanedTable[[#This Row],[OrderDate]],"mmm")</f>
        <v>Jul</v>
      </c>
      <c r="C1145" s="3" t="str">
        <f>TEXT(CleanedTable[[#This Row],[OrderDate]],"yyyy")</f>
        <v>2023</v>
      </c>
      <c r="D1145" s="3" t="str">
        <f>TEXT(CleanedTable[[#This Row],[OrderDate]],"mmm yyyy")</f>
        <v>Jul 2023</v>
      </c>
      <c r="E1145" t="s">
        <v>19</v>
      </c>
      <c r="F1145" t="s">
        <v>26</v>
      </c>
      <c r="G1145" s="12">
        <v>6</v>
      </c>
      <c r="H1145" s="8">
        <v>358.27</v>
      </c>
      <c r="I1145" t="s">
        <v>31</v>
      </c>
      <c r="J1145" t="s">
        <v>36</v>
      </c>
      <c r="K1145" s="10">
        <v>0.1</v>
      </c>
      <c r="L1145" t="s">
        <v>39</v>
      </c>
      <c r="M1145">
        <v>1934.6579999999999</v>
      </c>
      <c r="N1145">
        <v>1289.7719999999999</v>
      </c>
      <c r="O1145" s="10">
        <v>637.54599999999994</v>
      </c>
      <c r="P1145" s="10">
        <v>0.32953938112059078</v>
      </c>
      <c r="Q1145" s="8">
        <v>1934.6579999999999</v>
      </c>
      <c r="R1145" t="s">
        <v>44</v>
      </c>
      <c r="T1145" t="s">
        <v>2932</v>
      </c>
      <c r="U1145">
        <v>0</v>
      </c>
      <c r="V1145" t="str">
        <f>IF(CleanedTable[[#This Row],[Returned]] = 0,"NO","Yes")</f>
        <v>NO</v>
      </c>
      <c r="W1145" t="s">
        <v>1194</v>
      </c>
      <c r="X1145" t="s">
        <v>2556</v>
      </c>
      <c r="Y1145" s="10">
        <v>7.34</v>
      </c>
      <c r="Z1145" s="3">
        <v>45130</v>
      </c>
      <c r="AA1145" s="3">
        <v>45140</v>
      </c>
      <c r="AB1145" t="s">
        <v>2922</v>
      </c>
      <c r="AC1145">
        <v>10</v>
      </c>
    </row>
    <row r="1146" spans="1:29" x14ac:dyDescent="0.3">
      <c r="A1146" s="3">
        <v>45697</v>
      </c>
      <c r="B1146" s="3" t="str">
        <f>TEXT(CleanedTable[[#This Row],[OrderDate]],"mmm")</f>
        <v>Feb</v>
      </c>
      <c r="C1146" s="3" t="str">
        <f>TEXT(CleanedTable[[#This Row],[OrderDate]],"yyyy")</f>
        <v>2025</v>
      </c>
      <c r="D1146" s="3" t="str">
        <f>TEXT(CleanedTable[[#This Row],[OrderDate]],"mmm yyyy")</f>
        <v>Feb 2025</v>
      </c>
      <c r="E1146" t="s">
        <v>21</v>
      </c>
      <c r="F1146" t="s">
        <v>26</v>
      </c>
      <c r="G1146" s="12">
        <v>13</v>
      </c>
      <c r="H1146" s="8">
        <v>492.66</v>
      </c>
      <c r="I1146" t="s">
        <v>31</v>
      </c>
      <c r="J1146" t="s">
        <v>36</v>
      </c>
      <c r="K1146" s="10">
        <v>0.1</v>
      </c>
      <c r="L1146" t="s">
        <v>39</v>
      </c>
      <c r="M1146">
        <v>5764.1220000000003</v>
      </c>
      <c r="N1146">
        <v>3842.748</v>
      </c>
      <c r="O1146" s="10">
        <v>1875.1640000000002</v>
      </c>
      <c r="P1146" s="10">
        <v>0.32531650093457426</v>
      </c>
      <c r="Q1146" s="8">
        <v>5764.1220000000003</v>
      </c>
      <c r="R1146" t="s">
        <v>44</v>
      </c>
      <c r="S1146" t="s">
        <v>48</v>
      </c>
      <c r="T1146" t="s">
        <v>2931</v>
      </c>
      <c r="U1146">
        <v>0</v>
      </c>
      <c r="V1146" t="str">
        <f>IF(CleanedTable[[#This Row],[Returned]] = 0,"NO","Yes")</f>
        <v>NO</v>
      </c>
      <c r="W1146" t="s">
        <v>1195</v>
      </c>
      <c r="X1146" t="s">
        <v>2619</v>
      </c>
      <c r="Y1146" s="10">
        <v>46.21</v>
      </c>
      <c r="Z1146" s="3">
        <v>45697</v>
      </c>
      <c r="AA1146" s="3">
        <v>45702</v>
      </c>
      <c r="AB1146" t="s">
        <v>2924</v>
      </c>
      <c r="AC1146">
        <v>5</v>
      </c>
    </row>
    <row r="1147" spans="1:29" x14ac:dyDescent="0.3">
      <c r="A1147" s="3">
        <v>44943</v>
      </c>
      <c r="B1147" s="3" t="str">
        <f>TEXT(CleanedTable[[#This Row],[OrderDate]],"mmm")</f>
        <v>Jan</v>
      </c>
      <c r="C1147" s="3" t="str">
        <f>TEXT(CleanedTable[[#This Row],[OrderDate]],"yyyy")</f>
        <v>2023</v>
      </c>
      <c r="D1147" s="3" t="str">
        <f>TEXT(CleanedTable[[#This Row],[OrderDate]],"mmm yyyy")</f>
        <v>Jan 2023</v>
      </c>
      <c r="E1147" t="s">
        <v>20</v>
      </c>
      <c r="F1147" t="s">
        <v>27</v>
      </c>
      <c r="G1147" s="12">
        <v>3</v>
      </c>
      <c r="H1147" s="8">
        <v>348.38</v>
      </c>
      <c r="I1147" t="s">
        <v>31</v>
      </c>
      <c r="J1147" t="s">
        <v>35</v>
      </c>
      <c r="K1147" s="10">
        <v>0</v>
      </c>
      <c r="L1147" t="s">
        <v>40</v>
      </c>
      <c r="M1147">
        <v>1045.1399999999999</v>
      </c>
      <c r="N1147">
        <v>627.08399999999995</v>
      </c>
      <c r="O1147" s="10">
        <v>391.80599999999993</v>
      </c>
      <c r="P1147" s="10">
        <v>0.37488374763189619</v>
      </c>
      <c r="Q1147" s="8">
        <v>1045.1400000000001</v>
      </c>
      <c r="R1147" t="s">
        <v>44</v>
      </c>
      <c r="S1147" t="s">
        <v>48</v>
      </c>
      <c r="T1147" t="s">
        <v>2931</v>
      </c>
      <c r="U1147">
        <v>0</v>
      </c>
      <c r="V1147" t="str">
        <f>IF(CleanedTable[[#This Row],[Returned]] = 0,"NO","Yes")</f>
        <v>NO</v>
      </c>
      <c r="W1147" t="s">
        <v>1196</v>
      </c>
      <c r="X1147" t="s">
        <v>2620</v>
      </c>
      <c r="Y1147" s="10">
        <v>26.25</v>
      </c>
      <c r="Z1147" s="3">
        <v>44943</v>
      </c>
      <c r="AA1147" s="3">
        <v>44949</v>
      </c>
      <c r="AB1147" t="s">
        <v>2923</v>
      </c>
      <c r="AC1147">
        <v>6</v>
      </c>
    </row>
    <row r="1148" spans="1:29" x14ac:dyDescent="0.3">
      <c r="A1148" s="3">
        <v>45186</v>
      </c>
      <c r="B1148" s="3" t="str">
        <f>TEXT(CleanedTable[[#This Row],[OrderDate]],"mmm")</f>
        <v>Sep</v>
      </c>
      <c r="C1148" s="3" t="str">
        <f>TEXT(CleanedTable[[#This Row],[OrderDate]],"yyyy")</f>
        <v>2023</v>
      </c>
      <c r="D1148" s="3" t="str">
        <f>TEXT(CleanedTable[[#This Row],[OrderDate]],"mmm yyyy")</f>
        <v>Sep 2023</v>
      </c>
      <c r="E1148" t="s">
        <v>21</v>
      </c>
      <c r="F1148" t="s">
        <v>25</v>
      </c>
      <c r="G1148" s="12">
        <v>6</v>
      </c>
      <c r="H1148" s="8">
        <v>437.59</v>
      </c>
      <c r="I1148" t="s">
        <v>34</v>
      </c>
      <c r="J1148" t="s">
        <v>35</v>
      </c>
      <c r="K1148" s="10">
        <v>0.05</v>
      </c>
      <c r="L1148" t="s">
        <v>41</v>
      </c>
      <c r="M1148">
        <v>2494.2629999999999</v>
      </c>
      <c r="N1148">
        <v>1575.3239999999998</v>
      </c>
      <c r="O1148" s="10">
        <v>879.5390000000001</v>
      </c>
      <c r="P1148" s="10">
        <v>0.35262480339883973</v>
      </c>
      <c r="Q1148" s="8">
        <v>2494.2629999999999</v>
      </c>
      <c r="R1148" t="s">
        <v>44</v>
      </c>
      <c r="S1148" t="s">
        <v>50</v>
      </c>
      <c r="T1148" t="s">
        <v>2931</v>
      </c>
      <c r="U1148">
        <v>1</v>
      </c>
      <c r="V1148" t="str">
        <f>IF(CleanedTable[[#This Row],[Returned]] = 0,"NO","Yes")</f>
        <v>Yes</v>
      </c>
      <c r="W1148" t="s">
        <v>1197</v>
      </c>
      <c r="X1148" t="s">
        <v>2621</v>
      </c>
      <c r="Y1148" s="10">
        <v>39.4</v>
      </c>
      <c r="Z1148" s="3">
        <v>45186</v>
      </c>
      <c r="AA1148" s="3">
        <v>45195</v>
      </c>
      <c r="AB1148" t="s">
        <v>2924</v>
      </c>
      <c r="AC1148">
        <v>9</v>
      </c>
    </row>
    <row r="1149" spans="1:29" x14ac:dyDescent="0.3">
      <c r="A1149" s="3">
        <v>45703</v>
      </c>
      <c r="B1149" s="3" t="str">
        <f>TEXT(CleanedTable[[#This Row],[OrderDate]],"mmm")</f>
        <v>Feb</v>
      </c>
      <c r="C1149" s="3" t="str">
        <f>TEXT(CleanedTable[[#This Row],[OrderDate]],"yyyy")</f>
        <v>2025</v>
      </c>
      <c r="D1149" s="3" t="str">
        <f>TEXT(CleanedTable[[#This Row],[OrderDate]],"mmm yyyy")</f>
        <v>Feb 2025</v>
      </c>
      <c r="E1149" t="s">
        <v>21</v>
      </c>
      <c r="F1149" t="s">
        <v>30</v>
      </c>
      <c r="G1149" s="12">
        <v>19</v>
      </c>
      <c r="H1149" s="8">
        <v>118.09</v>
      </c>
      <c r="I1149" t="s">
        <v>34</v>
      </c>
      <c r="J1149" t="s">
        <v>35</v>
      </c>
      <c r="K1149" s="10">
        <v>0.1</v>
      </c>
      <c r="L1149" t="s">
        <v>38</v>
      </c>
      <c r="M1149">
        <v>2019.3390000000002</v>
      </c>
      <c r="N1149">
        <v>1346.2259999999999</v>
      </c>
      <c r="O1149" s="10">
        <v>662.3430000000003</v>
      </c>
      <c r="P1149" s="10">
        <v>0.32799990491938213</v>
      </c>
      <c r="Q1149" s="8">
        <v>2019.3389999999999</v>
      </c>
      <c r="R1149" t="s">
        <v>43</v>
      </c>
      <c r="S1149" t="s">
        <v>49</v>
      </c>
      <c r="T1149" t="s">
        <v>2931</v>
      </c>
      <c r="U1149">
        <v>0</v>
      </c>
      <c r="V1149" t="str">
        <f>IF(CleanedTable[[#This Row],[Returned]] = 0,"NO","Yes")</f>
        <v>NO</v>
      </c>
      <c r="W1149" t="s">
        <v>1198</v>
      </c>
      <c r="X1149" t="s">
        <v>2622</v>
      </c>
      <c r="Y1149" s="10">
        <v>10.77</v>
      </c>
      <c r="Z1149" s="3">
        <v>45703</v>
      </c>
      <c r="AA1149" s="3">
        <v>45711</v>
      </c>
      <c r="AB1149" t="s">
        <v>2924</v>
      </c>
      <c r="AC1149">
        <v>8</v>
      </c>
    </row>
    <row r="1150" spans="1:29" x14ac:dyDescent="0.3">
      <c r="A1150" s="3">
        <v>45206</v>
      </c>
      <c r="B1150" s="3" t="str">
        <f>TEXT(CleanedTable[[#This Row],[OrderDate]],"mmm")</f>
        <v>Oct</v>
      </c>
      <c r="C1150" s="3" t="str">
        <f>TEXT(CleanedTable[[#This Row],[OrderDate]],"yyyy")</f>
        <v>2023</v>
      </c>
      <c r="D1150" s="3" t="str">
        <f>TEXT(CleanedTable[[#This Row],[OrderDate]],"mmm yyyy")</f>
        <v>Oct 2023</v>
      </c>
      <c r="E1150" t="s">
        <v>23</v>
      </c>
      <c r="F1150" t="s">
        <v>29</v>
      </c>
      <c r="G1150" s="12">
        <v>15</v>
      </c>
      <c r="H1150" s="8">
        <v>188.57</v>
      </c>
      <c r="I1150" t="s">
        <v>33</v>
      </c>
      <c r="J1150" t="s">
        <v>35</v>
      </c>
      <c r="K1150" s="10">
        <v>0.05</v>
      </c>
      <c r="L1150" t="s">
        <v>42</v>
      </c>
      <c r="M1150">
        <v>2687.1224999999995</v>
      </c>
      <c r="N1150">
        <v>1697.1299999999999</v>
      </c>
      <c r="O1150" s="10">
        <v>951.3824999999996</v>
      </c>
      <c r="P1150" s="10">
        <v>0.35405252272644799</v>
      </c>
      <c r="Q1150" s="8">
        <v>2687.122499999999</v>
      </c>
      <c r="R1150" t="s">
        <v>45</v>
      </c>
      <c r="S1150" t="s">
        <v>48</v>
      </c>
      <c r="T1150" t="s">
        <v>2931</v>
      </c>
      <c r="U1150">
        <v>1</v>
      </c>
      <c r="V1150" t="str">
        <f>IF(CleanedTable[[#This Row],[Returned]] = 0,"NO","Yes")</f>
        <v>Yes</v>
      </c>
      <c r="W1150" t="s">
        <v>1199</v>
      </c>
      <c r="X1150" t="s">
        <v>2623</v>
      </c>
      <c r="Y1150" s="10">
        <v>38.61</v>
      </c>
      <c r="Z1150" s="3">
        <v>45206</v>
      </c>
      <c r="AA1150" s="3">
        <v>45208</v>
      </c>
      <c r="AB1150" t="s">
        <v>2926</v>
      </c>
      <c r="AC1150">
        <v>2</v>
      </c>
    </row>
    <row r="1151" spans="1:29" x14ac:dyDescent="0.3">
      <c r="A1151" s="3">
        <v>45146</v>
      </c>
      <c r="B1151" s="3" t="str">
        <f>TEXT(CleanedTable[[#This Row],[OrderDate]],"mmm")</f>
        <v>Aug</v>
      </c>
      <c r="C1151" s="3" t="str">
        <f>TEXT(CleanedTable[[#This Row],[OrderDate]],"yyyy")</f>
        <v>2023</v>
      </c>
      <c r="D1151" s="3" t="str">
        <f>TEXT(CleanedTable[[#This Row],[OrderDate]],"mmm yyyy")</f>
        <v>Aug 2023</v>
      </c>
      <c r="E1151" t="s">
        <v>23</v>
      </c>
      <c r="F1151" t="s">
        <v>25</v>
      </c>
      <c r="G1151" s="12">
        <v>8</v>
      </c>
      <c r="H1151" s="8">
        <v>200.74</v>
      </c>
      <c r="I1151" t="s">
        <v>32</v>
      </c>
      <c r="J1151" t="s">
        <v>35</v>
      </c>
      <c r="K1151" s="10">
        <v>0</v>
      </c>
      <c r="L1151" t="s">
        <v>41</v>
      </c>
      <c r="M1151">
        <v>1605.92</v>
      </c>
      <c r="N1151">
        <v>963.55200000000002</v>
      </c>
      <c r="O1151" s="10">
        <v>611.66800000000001</v>
      </c>
      <c r="P1151" s="10">
        <v>0.38088323204144664</v>
      </c>
      <c r="Q1151" s="8">
        <v>1605.92</v>
      </c>
      <c r="R1151" t="s">
        <v>44</v>
      </c>
      <c r="S1151" t="s">
        <v>49</v>
      </c>
      <c r="T1151" t="s">
        <v>2931</v>
      </c>
      <c r="U1151">
        <v>1</v>
      </c>
      <c r="V1151" t="str">
        <f>IF(CleanedTable[[#This Row],[Returned]] = 0,"NO","Yes")</f>
        <v>Yes</v>
      </c>
      <c r="W1151" t="s">
        <v>1200</v>
      </c>
      <c r="X1151" t="s">
        <v>2624</v>
      </c>
      <c r="Y1151" s="10">
        <v>30.7</v>
      </c>
      <c r="Z1151" s="3">
        <v>45146</v>
      </c>
      <c r="AA1151" s="3">
        <v>45148</v>
      </c>
      <c r="AB1151" t="s">
        <v>2926</v>
      </c>
      <c r="AC1151">
        <v>2</v>
      </c>
    </row>
    <row r="1152" spans="1:29" x14ac:dyDescent="0.3">
      <c r="A1152" s="3">
        <v>45159</v>
      </c>
      <c r="B1152" s="3" t="str">
        <f>TEXT(CleanedTable[[#This Row],[OrderDate]],"mmm")</f>
        <v>Aug</v>
      </c>
      <c r="C1152" s="3" t="str">
        <f>TEXT(CleanedTable[[#This Row],[OrderDate]],"yyyy")</f>
        <v>2023</v>
      </c>
      <c r="D1152" s="3" t="str">
        <f>TEXT(CleanedTable[[#This Row],[OrderDate]],"mmm yyyy")</f>
        <v>Aug 2023</v>
      </c>
      <c r="E1152" t="s">
        <v>19</v>
      </c>
      <c r="F1152" t="s">
        <v>24</v>
      </c>
      <c r="G1152" s="12">
        <v>3</v>
      </c>
      <c r="H1152" s="8">
        <v>142.09</v>
      </c>
      <c r="I1152" t="s">
        <v>33</v>
      </c>
      <c r="J1152" t="s">
        <v>35</v>
      </c>
      <c r="K1152" s="10">
        <v>0.15</v>
      </c>
      <c r="L1152" t="s">
        <v>39</v>
      </c>
      <c r="M1152">
        <v>362.3295</v>
      </c>
      <c r="N1152">
        <v>255.762</v>
      </c>
      <c r="O1152" s="10">
        <v>80.527500000000003</v>
      </c>
      <c r="P1152" s="10">
        <v>0.22224936142378693</v>
      </c>
      <c r="Q1152" s="8">
        <v>362.3295</v>
      </c>
      <c r="R1152" t="s">
        <v>44</v>
      </c>
      <c r="S1152" t="s">
        <v>50</v>
      </c>
      <c r="T1152" t="s">
        <v>2931</v>
      </c>
      <c r="U1152">
        <v>0</v>
      </c>
      <c r="V1152" t="str">
        <f>IF(CleanedTable[[#This Row],[Returned]] = 0,"NO","Yes")</f>
        <v>NO</v>
      </c>
      <c r="W1152" t="s">
        <v>1201</v>
      </c>
      <c r="X1152" t="s">
        <v>1919</v>
      </c>
      <c r="Y1152" s="10">
        <v>26.04</v>
      </c>
      <c r="Z1152" s="3">
        <v>45159</v>
      </c>
      <c r="AA1152" s="3">
        <v>45165</v>
      </c>
      <c r="AB1152" t="s">
        <v>2922</v>
      </c>
      <c r="AC1152">
        <v>6</v>
      </c>
    </row>
    <row r="1153" spans="1:29" x14ac:dyDescent="0.3">
      <c r="A1153" s="3">
        <v>45480</v>
      </c>
      <c r="B1153" s="3" t="str">
        <f>TEXT(CleanedTable[[#This Row],[OrderDate]],"mmm")</f>
        <v>Jul</v>
      </c>
      <c r="C1153" s="3" t="str">
        <f>TEXT(CleanedTable[[#This Row],[OrderDate]],"yyyy")</f>
        <v>2024</v>
      </c>
      <c r="D1153" s="3" t="str">
        <f>TEXT(CleanedTable[[#This Row],[OrderDate]],"mmm yyyy")</f>
        <v>Jul 2024</v>
      </c>
      <c r="E1153" t="s">
        <v>21</v>
      </c>
      <c r="F1153" t="s">
        <v>29</v>
      </c>
      <c r="G1153" s="12">
        <v>15</v>
      </c>
      <c r="H1153" s="8">
        <v>576.12</v>
      </c>
      <c r="I1153" t="s">
        <v>34</v>
      </c>
      <c r="J1153" t="s">
        <v>36</v>
      </c>
      <c r="K1153" s="10">
        <v>0.1</v>
      </c>
      <c r="L1153" t="s">
        <v>38</v>
      </c>
      <c r="M1153">
        <v>7777.62</v>
      </c>
      <c r="N1153">
        <v>5185.08</v>
      </c>
      <c r="O1153" s="10">
        <v>2563.23</v>
      </c>
      <c r="P1153" s="10">
        <v>0.32956482831508871</v>
      </c>
      <c r="Q1153" s="8">
        <v>7777.62</v>
      </c>
      <c r="R1153" t="s">
        <v>43</v>
      </c>
      <c r="S1153" t="s">
        <v>50</v>
      </c>
      <c r="T1153" t="s">
        <v>2931</v>
      </c>
      <c r="U1153">
        <v>0</v>
      </c>
      <c r="V1153" t="str">
        <f>IF(CleanedTable[[#This Row],[Returned]] = 0,"NO","Yes")</f>
        <v>NO</v>
      </c>
      <c r="W1153" t="s">
        <v>1202</v>
      </c>
      <c r="X1153" t="s">
        <v>2625</v>
      </c>
      <c r="Y1153" s="10">
        <v>29.31</v>
      </c>
      <c r="Z1153" s="3">
        <v>45480</v>
      </c>
      <c r="AA1153" s="3">
        <v>45484</v>
      </c>
      <c r="AB1153" t="s">
        <v>2924</v>
      </c>
      <c r="AC1153">
        <v>4</v>
      </c>
    </row>
    <row r="1154" spans="1:29" x14ac:dyDescent="0.3">
      <c r="A1154" s="3">
        <v>45674</v>
      </c>
      <c r="B1154" s="3" t="str">
        <f>TEXT(CleanedTable[[#This Row],[OrderDate]],"mmm")</f>
        <v>Jan</v>
      </c>
      <c r="C1154" s="3" t="str">
        <f>TEXT(CleanedTable[[#This Row],[OrderDate]],"yyyy")</f>
        <v>2025</v>
      </c>
      <c r="D1154" s="3" t="str">
        <f>TEXT(CleanedTable[[#This Row],[OrderDate]],"mmm yyyy")</f>
        <v>Jan 2025</v>
      </c>
      <c r="E1154" t="s">
        <v>20</v>
      </c>
      <c r="F1154" t="s">
        <v>26</v>
      </c>
      <c r="G1154" s="12">
        <v>9</v>
      </c>
      <c r="H1154" s="8">
        <v>96.97</v>
      </c>
      <c r="I1154" t="s">
        <v>34</v>
      </c>
      <c r="J1154" t="s">
        <v>36</v>
      </c>
      <c r="K1154" s="10">
        <v>0.15</v>
      </c>
      <c r="L1154" t="s">
        <v>42</v>
      </c>
      <c r="M1154">
        <v>741.82050000000004</v>
      </c>
      <c r="N1154">
        <v>523.63799999999992</v>
      </c>
      <c r="O1154" s="10">
        <v>187.31250000000011</v>
      </c>
      <c r="P1154" s="10">
        <v>0.25250380651384008</v>
      </c>
      <c r="Q1154" s="8">
        <v>741.82050000000004</v>
      </c>
      <c r="R1154" t="s">
        <v>45</v>
      </c>
      <c r="S1154" t="s">
        <v>50</v>
      </c>
      <c r="T1154" t="s">
        <v>2931</v>
      </c>
      <c r="U1154">
        <v>1</v>
      </c>
      <c r="V1154" t="str">
        <f>IF(CleanedTable[[#This Row],[Returned]] = 0,"NO","Yes")</f>
        <v>Yes</v>
      </c>
      <c r="W1154" t="s">
        <v>1203</v>
      </c>
      <c r="X1154" t="s">
        <v>2626</v>
      </c>
      <c r="Y1154" s="10">
        <v>30.87</v>
      </c>
      <c r="Z1154" s="3">
        <v>45674</v>
      </c>
      <c r="AA1154" s="3">
        <v>45681</v>
      </c>
      <c r="AB1154" t="s">
        <v>2923</v>
      </c>
      <c r="AC1154">
        <v>7</v>
      </c>
    </row>
    <row r="1155" spans="1:29" x14ac:dyDescent="0.3">
      <c r="A1155" s="3">
        <v>45266</v>
      </c>
      <c r="B1155" s="3" t="str">
        <f>TEXT(CleanedTable[[#This Row],[OrderDate]],"mmm")</f>
        <v>Dec</v>
      </c>
      <c r="C1155" s="3" t="str">
        <f>TEXT(CleanedTable[[#This Row],[OrderDate]],"yyyy")</f>
        <v>2023</v>
      </c>
      <c r="D1155" s="3" t="str">
        <f>TEXT(CleanedTable[[#This Row],[OrderDate]],"mmm yyyy")</f>
        <v>Dec 2023</v>
      </c>
      <c r="E1155" t="s">
        <v>21</v>
      </c>
      <c r="F1155" t="s">
        <v>29</v>
      </c>
      <c r="G1155" s="12">
        <v>17</v>
      </c>
      <c r="H1155" s="8">
        <v>218.04</v>
      </c>
      <c r="I1155" t="s">
        <v>34</v>
      </c>
      <c r="J1155" t="s">
        <v>35</v>
      </c>
      <c r="K1155" s="10">
        <v>0.15</v>
      </c>
      <c r="L1155" t="s">
        <v>42</v>
      </c>
      <c r="M1155">
        <v>3150.6779999999999</v>
      </c>
      <c r="N1155">
        <v>2224.0079999999998</v>
      </c>
      <c r="O1155" s="10">
        <v>910.67000000000007</v>
      </c>
      <c r="P1155" s="10">
        <v>0.28903937501705984</v>
      </c>
      <c r="Q1155" s="8">
        <v>3150.6779999999999</v>
      </c>
      <c r="R1155" t="s">
        <v>47</v>
      </c>
      <c r="T1155" t="s">
        <v>2932</v>
      </c>
      <c r="U1155">
        <v>0</v>
      </c>
      <c r="V1155" t="str">
        <f>IF(CleanedTable[[#This Row],[Returned]] = 0,"NO","Yes")</f>
        <v>NO</v>
      </c>
      <c r="W1155" t="s">
        <v>1204</v>
      </c>
      <c r="X1155" t="s">
        <v>2627</v>
      </c>
      <c r="Y1155" s="10">
        <v>16</v>
      </c>
      <c r="Z1155" s="3">
        <v>45266</v>
      </c>
      <c r="AA1155" s="3">
        <v>45276</v>
      </c>
      <c r="AB1155" t="s">
        <v>2924</v>
      </c>
      <c r="AC1155">
        <v>10</v>
      </c>
    </row>
    <row r="1156" spans="1:29" x14ac:dyDescent="0.3">
      <c r="A1156" s="3">
        <v>44986</v>
      </c>
      <c r="B1156" s="3" t="str">
        <f>TEXT(CleanedTable[[#This Row],[OrderDate]],"mmm")</f>
        <v>Mar</v>
      </c>
      <c r="C1156" s="3" t="str">
        <f>TEXT(CleanedTable[[#This Row],[OrderDate]],"yyyy")</f>
        <v>2023</v>
      </c>
      <c r="D1156" s="3" t="str">
        <f>TEXT(CleanedTable[[#This Row],[OrderDate]],"mmm yyyy")</f>
        <v>Mar 2023</v>
      </c>
      <c r="E1156" t="s">
        <v>20</v>
      </c>
      <c r="F1156" t="s">
        <v>26</v>
      </c>
      <c r="G1156" s="12">
        <v>2</v>
      </c>
      <c r="H1156" s="8">
        <v>153.33000000000001</v>
      </c>
      <c r="I1156" t="s">
        <v>33</v>
      </c>
      <c r="J1156" t="s">
        <v>35</v>
      </c>
      <c r="K1156" s="10">
        <v>0.05</v>
      </c>
      <c r="L1156" t="s">
        <v>40</v>
      </c>
      <c r="M1156">
        <v>291.327</v>
      </c>
      <c r="N1156">
        <v>183.99600000000001</v>
      </c>
      <c r="O1156" s="10">
        <v>75.780999999999992</v>
      </c>
      <c r="P1156" s="10">
        <v>0.2601235038290306</v>
      </c>
      <c r="Q1156" s="8">
        <v>291.327</v>
      </c>
      <c r="R1156" t="s">
        <v>47</v>
      </c>
      <c r="T1156" t="s">
        <v>2932</v>
      </c>
      <c r="U1156">
        <v>0</v>
      </c>
      <c r="V1156" t="str">
        <f>IF(CleanedTable[[#This Row],[Returned]] = 0,"NO","Yes")</f>
        <v>NO</v>
      </c>
      <c r="W1156" t="s">
        <v>1205</v>
      </c>
      <c r="X1156" t="s">
        <v>2628</v>
      </c>
      <c r="Y1156" s="10">
        <v>31.55</v>
      </c>
      <c r="Z1156" s="3">
        <v>44986</v>
      </c>
      <c r="AA1156" s="3">
        <v>44989</v>
      </c>
      <c r="AB1156" t="s">
        <v>2923</v>
      </c>
      <c r="AC1156">
        <v>3</v>
      </c>
    </row>
    <row r="1157" spans="1:29" x14ac:dyDescent="0.3">
      <c r="A1157" s="3">
        <v>45699</v>
      </c>
      <c r="B1157" s="3" t="str">
        <f>TEXT(CleanedTable[[#This Row],[OrderDate]],"mmm")</f>
        <v>Feb</v>
      </c>
      <c r="C1157" s="3" t="str">
        <f>TEXT(CleanedTable[[#This Row],[OrderDate]],"yyyy")</f>
        <v>2025</v>
      </c>
      <c r="D1157" s="3" t="str">
        <f>TEXT(CleanedTable[[#This Row],[OrderDate]],"mmm yyyy")</f>
        <v>Feb 2025</v>
      </c>
      <c r="E1157" t="s">
        <v>21</v>
      </c>
      <c r="F1157" t="s">
        <v>30</v>
      </c>
      <c r="G1157" s="12">
        <v>8</v>
      </c>
      <c r="H1157" s="8">
        <v>316.12</v>
      </c>
      <c r="I1157" t="s">
        <v>31</v>
      </c>
      <c r="J1157" t="s">
        <v>35</v>
      </c>
      <c r="K1157" s="10">
        <v>0.1</v>
      </c>
      <c r="L1157" t="s">
        <v>41</v>
      </c>
      <c r="M1157">
        <v>2276.0640000000003</v>
      </c>
      <c r="N1157">
        <v>1517.376</v>
      </c>
      <c r="O1157" s="10">
        <v>752.40800000000036</v>
      </c>
      <c r="P1157" s="10">
        <v>0.33057418420571666</v>
      </c>
      <c r="Q1157" s="8">
        <v>2276.0639999999999</v>
      </c>
      <c r="R1157" t="s">
        <v>44</v>
      </c>
      <c r="S1157" t="s">
        <v>50</v>
      </c>
      <c r="T1157" t="s">
        <v>2931</v>
      </c>
      <c r="U1157">
        <v>0</v>
      </c>
      <c r="V1157" t="str">
        <f>IF(CleanedTable[[#This Row],[Returned]] = 0,"NO","Yes")</f>
        <v>NO</v>
      </c>
      <c r="W1157" t="s">
        <v>1206</v>
      </c>
      <c r="X1157" t="s">
        <v>2629</v>
      </c>
      <c r="Y1157" s="10">
        <v>6.28</v>
      </c>
      <c r="Z1157" s="3">
        <v>45699</v>
      </c>
      <c r="AA1157" s="3">
        <v>45703</v>
      </c>
      <c r="AB1157" t="s">
        <v>2924</v>
      </c>
      <c r="AC1157">
        <v>4</v>
      </c>
    </row>
    <row r="1158" spans="1:29" x14ac:dyDescent="0.3">
      <c r="A1158" s="3">
        <v>45097</v>
      </c>
      <c r="B1158" s="3" t="str">
        <f>TEXT(CleanedTable[[#This Row],[OrderDate]],"mmm")</f>
        <v>Jun</v>
      </c>
      <c r="C1158" s="3" t="str">
        <f>TEXT(CleanedTable[[#This Row],[OrderDate]],"yyyy")</f>
        <v>2023</v>
      </c>
      <c r="D1158" s="3" t="str">
        <f>TEXT(CleanedTable[[#This Row],[OrderDate]],"mmm yyyy")</f>
        <v>Jun 2023</v>
      </c>
      <c r="E1158" t="s">
        <v>22</v>
      </c>
      <c r="F1158" t="s">
        <v>30</v>
      </c>
      <c r="G1158" s="12">
        <v>13</v>
      </c>
      <c r="H1158" s="8">
        <v>153.57</v>
      </c>
      <c r="I1158" t="s">
        <v>31</v>
      </c>
      <c r="J1158" t="s">
        <v>35</v>
      </c>
      <c r="K1158" s="10">
        <v>0.05</v>
      </c>
      <c r="L1158" t="s">
        <v>40</v>
      </c>
      <c r="M1158">
        <v>1896.5894999999998</v>
      </c>
      <c r="N1158">
        <v>1197.846</v>
      </c>
      <c r="O1158" s="10">
        <v>670.76349999999979</v>
      </c>
      <c r="P1158" s="10">
        <v>0.35366825557138215</v>
      </c>
      <c r="Q1158" s="8">
        <v>1896.5895</v>
      </c>
      <c r="R1158" t="s">
        <v>44</v>
      </c>
      <c r="T1158" t="s">
        <v>2932</v>
      </c>
      <c r="U1158">
        <v>0</v>
      </c>
      <c r="V1158" t="str">
        <f>IF(CleanedTable[[#This Row],[Returned]] = 0,"NO","Yes")</f>
        <v>NO</v>
      </c>
      <c r="W1158" t="s">
        <v>1207</v>
      </c>
      <c r="X1158" t="s">
        <v>2630</v>
      </c>
      <c r="Y1158" s="10">
        <v>27.98</v>
      </c>
      <c r="Z1158" s="3">
        <v>45097</v>
      </c>
      <c r="AA1158" s="3">
        <v>45102</v>
      </c>
      <c r="AB1158" t="s">
        <v>2925</v>
      </c>
      <c r="AC1158">
        <v>5</v>
      </c>
    </row>
    <row r="1159" spans="1:29" x14ac:dyDescent="0.3">
      <c r="A1159" s="3">
        <v>45351</v>
      </c>
      <c r="B1159" s="3" t="str">
        <f>TEXT(CleanedTable[[#This Row],[OrderDate]],"mmm")</f>
        <v>Feb</v>
      </c>
      <c r="C1159" s="3" t="str">
        <f>TEXT(CleanedTable[[#This Row],[OrderDate]],"yyyy")</f>
        <v>2024</v>
      </c>
      <c r="D1159" s="3" t="str">
        <f>TEXT(CleanedTable[[#This Row],[OrderDate]],"mmm yyyy")</f>
        <v>Feb 2024</v>
      </c>
      <c r="E1159" t="s">
        <v>23</v>
      </c>
      <c r="F1159" t="s">
        <v>30</v>
      </c>
      <c r="G1159" s="12">
        <v>7</v>
      </c>
      <c r="H1159" s="8">
        <v>208.31</v>
      </c>
      <c r="I1159" t="s">
        <v>33</v>
      </c>
      <c r="J1159" t="s">
        <v>35</v>
      </c>
      <c r="K1159" s="10">
        <v>0.05</v>
      </c>
      <c r="L1159" t="s">
        <v>39</v>
      </c>
      <c r="M1159">
        <v>1385.2615000000001</v>
      </c>
      <c r="N1159">
        <v>874.90199999999993</v>
      </c>
      <c r="O1159" s="10">
        <v>483.78950000000015</v>
      </c>
      <c r="P1159" s="10">
        <v>0.34924055855158043</v>
      </c>
      <c r="Q1159" s="8">
        <v>1385.2615000000001</v>
      </c>
      <c r="R1159" t="s">
        <v>43</v>
      </c>
      <c r="S1159" t="s">
        <v>49</v>
      </c>
      <c r="T1159" t="s">
        <v>2931</v>
      </c>
      <c r="U1159">
        <v>0</v>
      </c>
      <c r="V1159" t="str">
        <f>IF(CleanedTable[[#This Row],[Returned]] = 0,"NO","Yes")</f>
        <v>NO</v>
      </c>
      <c r="W1159" t="s">
        <v>1208</v>
      </c>
      <c r="X1159" t="s">
        <v>2631</v>
      </c>
      <c r="Y1159" s="10">
        <v>26.57</v>
      </c>
      <c r="Z1159" s="3">
        <v>45351</v>
      </c>
      <c r="AA1159" s="3">
        <v>45354</v>
      </c>
      <c r="AB1159" t="s">
        <v>2926</v>
      </c>
      <c r="AC1159">
        <v>3</v>
      </c>
    </row>
    <row r="1160" spans="1:29" x14ac:dyDescent="0.3">
      <c r="A1160" s="3">
        <v>45838</v>
      </c>
      <c r="B1160" s="3" t="str">
        <f>TEXT(CleanedTable[[#This Row],[OrderDate]],"mmm")</f>
        <v>Jun</v>
      </c>
      <c r="C1160" s="3" t="str">
        <f>TEXT(CleanedTable[[#This Row],[OrderDate]],"yyyy")</f>
        <v>2025</v>
      </c>
      <c r="D1160" s="3" t="str">
        <f>TEXT(CleanedTable[[#This Row],[OrderDate]],"mmm yyyy")</f>
        <v>Jun 2025</v>
      </c>
      <c r="E1160" t="s">
        <v>21</v>
      </c>
      <c r="F1160" t="s">
        <v>27</v>
      </c>
      <c r="G1160" s="12">
        <v>2</v>
      </c>
      <c r="H1160" s="8">
        <v>160.96</v>
      </c>
      <c r="I1160" t="s">
        <v>33</v>
      </c>
      <c r="J1160" t="s">
        <v>35</v>
      </c>
      <c r="K1160" s="10">
        <v>0.1</v>
      </c>
      <c r="L1160" t="s">
        <v>37</v>
      </c>
      <c r="M1160">
        <v>289.72800000000001</v>
      </c>
      <c r="N1160">
        <v>193.15200000000002</v>
      </c>
      <c r="O1160" s="10">
        <v>51.605999999999995</v>
      </c>
      <c r="P1160" s="10">
        <v>0.17811878727634192</v>
      </c>
      <c r="Q1160" s="8">
        <v>289.72800000000001</v>
      </c>
      <c r="R1160" t="s">
        <v>44</v>
      </c>
      <c r="S1160" t="s">
        <v>50</v>
      </c>
      <c r="T1160" t="s">
        <v>2931</v>
      </c>
      <c r="U1160">
        <v>0</v>
      </c>
      <c r="V1160" t="str">
        <f>IF(CleanedTable[[#This Row],[Returned]] = 0,"NO","Yes")</f>
        <v>NO</v>
      </c>
      <c r="W1160" t="s">
        <v>1209</v>
      </c>
      <c r="X1160" t="s">
        <v>2632</v>
      </c>
      <c r="Y1160" s="10">
        <v>44.97</v>
      </c>
      <c r="Z1160" s="3">
        <v>45838</v>
      </c>
      <c r="AA1160" s="3">
        <v>45843</v>
      </c>
      <c r="AB1160" t="s">
        <v>2924</v>
      </c>
      <c r="AC1160">
        <v>5</v>
      </c>
    </row>
    <row r="1161" spans="1:29" x14ac:dyDescent="0.3">
      <c r="A1161" s="3">
        <v>45523</v>
      </c>
      <c r="B1161" s="3" t="str">
        <f>TEXT(CleanedTable[[#This Row],[OrderDate]],"mmm")</f>
        <v>Aug</v>
      </c>
      <c r="C1161" s="3" t="str">
        <f>TEXT(CleanedTable[[#This Row],[OrderDate]],"yyyy")</f>
        <v>2024</v>
      </c>
      <c r="D1161" s="3" t="str">
        <f>TEXT(CleanedTable[[#This Row],[OrderDate]],"mmm yyyy")</f>
        <v>Aug 2024</v>
      </c>
      <c r="E1161" t="s">
        <v>21</v>
      </c>
      <c r="F1161" t="s">
        <v>28</v>
      </c>
      <c r="G1161" s="12">
        <v>3</v>
      </c>
      <c r="H1161" s="8">
        <v>373.77</v>
      </c>
      <c r="I1161" t="s">
        <v>31</v>
      </c>
      <c r="J1161" t="s">
        <v>36</v>
      </c>
      <c r="K1161" s="10">
        <v>0.1</v>
      </c>
      <c r="L1161" t="s">
        <v>37</v>
      </c>
      <c r="M1161">
        <v>1009.179</v>
      </c>
      <c r="N1161">
        <v>672.78599999999994</v>
      </c>
      <c r="O1161" s="10">
        <v>318.77300000000002</v>
      </c>
      <c r="P1161" s="10">
        <v>0.31587359625993011</v>
      </c>
      <c r="Q1161" s="8">
        <v>1009.179</v>
      </c>
      <c r="R1161" t="s">
        <v>47</v>
      </c>
      <c r="S1161" t="s">
        <v>50</v>
      </c>
      <c r="T1161" t="s">
        <v>2931</v>
      </c>
      <c r="U1161">
        <v>1</v>
      </c>
      <c r="V1161" t="str">
        <f>IF(CleanedTable[[#This Row],[Returned]] = 0,"NO","Yes")</f>
        <v>Yes</v>
      </c>
      <c r="W1161" t="s">
        <v>1210</v>
      </c>
      <c r="X1161" t="s">
        <v>2633</v>
      </c>
      <c r="Y1161" s="10">
        <v>17.62</v>
      </c>
      <c r="Z1161" s="3">
        <v>45523</v>
      </c>
      <c r="AA1161" s="3">
        <v>45529</v>
      </c>
      <c r="AB1161" t="s">
        <v>2924</v>
      </c>
      <c r="AC1161">
        <v>6</v>
      </c>
    </row>
    <row r="1162" spans="1:29" x14ac:dyDescent="0.3">
      <c r="A1162" s="3">
        <v>45306</v>
      </c>
      <c r="B1162" s="3" t="str">
        <f>TEXT(CleanedTable[[#This Row],[OrderDate]],"mmm")</f>
        <v>Jan</v>
      </c>
      <c r="C1162" s="3" t="str">
        <f>TEXT(CleanedTable[[#This Row],[OrderDate]],"yyyy")</f>
        <v>2024</v>
      </c>
      <c r="D1162" s="3" t="str">
        <f>TEXT(CleanedTable[[#This Row],[OrderDate]],"mmm yyyy")</f>
        <v>Jan 2024</v>
      </c>
      <c r="E1162" t="s">
        <v>22</v>
      </c>
      <c r="F1162" t="s">
        <v>30</v>
      </c>
      <c r="G1162" s="12">
        <v>20</v>
      </c>
      <c r="H1162" s="8">
        <v>200.7</v>
      </c>
      <c r="I1162" t="s">
        <v>34</v>
      </c>
      <c r="J1162" t="s">
        <v>36</v>
      </c>
      <c r="K1162" s="10">
        <v>0.1</v>
      </c>
      <c r="L1162" t="s">
        <v>38</v>
      </c>
      <c r="M1162">
        <v>3612.6</v>
      </c>
      <c r="N1162">
        <v>2408.3999999999996</v>
      </c>
      <c r="O1162" s="10">
        <v>1174.6000000000004</v>
      </c>
      <c r="P1162" s="10">
        <v>0.32513978851796499</v>
      </c>
      <c r="Q1162" s="8">
        <v>3612.6</v>
      </c>
      <c r="R1162" t="s">
        <v>43</v>
      </c>
      <c r="S1162" t="s">
        <v>48</v>
      </c>
      <c r="T1162" t="s">
        <v>2931</v>
      </c>
      <c r="U1162">
        <v>0</v>
      </c>
      <c r="V1162" t="str">
        <f>IF(CleanedTable[[#This Row],[Returned]] = 0,"NO","Yes")</f>
        <v>NO</v>
      </c>
      <c r="W1162" t="s">
        <v>1211</v>
      </c>
      <c r="X1162" t="s">
        <v>2634</v>
      </c>
      <c r="Y1162" s="10">
        <v>29.6</v>
      </c>
      <c r="Z1162" s="3">
        <v>45306</v>
      </c>
      <c r="AA1162" s="3">
        <v>45310</v>
      </c>
      <c r="AB1162" t="s">
        <v>2925</v>
      </c>
      <c r="AC1162">
        <v>4</v>
      </c>
    </row>
    <row r="1163" spans="1:29" x14ac:dyDescent="0.3">
      <c r="A1163" s="3">
        <v>45512</v>
      </c>
      <c r="B1163" s="3" t="str">
        <f>TEXT(CleanedTable[[#This Row],[OrderDate]],"mmm")</f>
        <v>Aug</v>
      </c>
      <c r="C1163" s="3" t="str">
        <f>TEXT(CleanedTable[[#This Row],[OrderDate]],"yyyy")</f>
        <v>2024</v>
      </c>
      <c r="D1163" s="3" t="str">
        <f>TEXT(CleanedTable[[#This Row],[OrderDate]],"mmm yyyy")</f>
        <v>Aug 2024</v>
      </c>
      <c r="E1163" t="s">
        <v>22</v>
      </c>
      <c r="F1163" t="s">
        <v>26</v>
      </c>
      <c r="G1163" s="12">
        <v>14</v>
      </c>
      <c r="H1163" s="8">
        <v>115.77</v>
      </c>
      <c r="I1163" t="s">
        <v>31</v>
      </c>
      <c r="J1163" t="s">
        <v>35</v>
      </c>
      <c r="K1163" s="10">
        <v>0.15</v>
      </c>
      <c r="L1163" t="s">
        <v>39</v>
      </c>
      <c r="M1163">
        <v>1377.663</v>
      </c>
      <c r="N1163">
        <v>972.46799999999985</v>
      </c>
      <c r="O1163" s="10">
        <v>385.07500000000016</v>
      </c>
      <c r="P1163" s="10">
        <v>0.2795132046080937</v>
      </c>
      <c r="Q1163" s="8">
        <v>1377.663</v>
      </c>
      <c r="R1163" t="s">
        <v>45</v>
      </c>
      <c r="S1163" t="s">
        <v>49</v>
      </c>
      <c r="T1163" t="s">
        <v>2931</v>
      </c>
      <c r="U1163">
        <v>1</v>
      </c>
      <c r="V1163" t="str">
        <f>IF(CleanedTable[[#This Row],[Returned]] = 0,"NO","Yes")</f>
        <v>Yes</v>
      </c>
      <c r="W1163" t="s">
        <v>1212</v>
      </c>
      <c r="X1163" t="s">
        <v>2635</v>
      </c>
      <c r="Y1163" s="10">
        <v>20.12</v>
      </c>
      <c r="Z1163" s="3">
        <v>45512</v>
      </c>
      <c r="AA1163" s="3">
        <v>45515</v>
      </c>
      <c r="AB1163" t="s">
        <v>2925</v>
      </c>
      <c r="AC1163">
        <v>3</v>
      </c>
    </row>
    <row r="1164" spans="1:29" x14ac:dyDescent="0.3">
      <c r="A1164" s="3">
        <v>45570</v>
      </c>
      <c r="B1164" s="3" t="str">
        <f>TEXT(CleanedTable[[#This Row],[OrderDate]],"mmm")</f>
        <v>Oct</v>
      </c>
      <c r="C1164" s="3" t="str">
        <f>TEXT(CleanedTable[[#This Row],[OrderDate]],"yyyy")</f>
        <v>2024</v>
      </c>
      <c r="D1164" s="3" t="str">
        <f>TEXT(CleanedTable[[#This Row],[OrderDate]],"mmm yyyy")</f>
        <v>Oct 2024</v>
      </c>
      <c r="E1164" t="s">
        <v>23</v>
      </c>
      <c r="F1164" t="s">
        <v>25</v>
      </c>
      <c r="G1164" s="12">
        <v>12</v>
      </c>
      <c r="H1164" s="8">
        <v>535.41</v>
      </c>
      <c r="I1164" t="s">
        <v>33</v>
      </c>
      <c r="J1164" t="s">
        <v>36</v>
      </c>
      <c r="K1164" s="10">
        <v>0.1</v>
      </c>
      <c r="L1164" t="s">
        <v>39</v>
      </c>
      <c r="M1164">
        <v>5782.4279999999999</v>
      </c>
      <c r="N1164">
        <v>3854.9519999999998</v>
      </c>
      <c r="O1164" s="10">
        <v>1899.6560000000002</v>
      </c>
      <c r="P1164" s="10">
        <v>0.32852220555102463</v>
      </c>
      <c r="Q1164" s="8">
        <v>5782.4279999999999</v>
      </c>
      <c r="R1164" t="s">
        <v>44</v>
      </c>
      <c r="T1164" t="s">
        <v>2932</v>
      </c>
      <c r="U1164">
        <v>0</v>
      </c>
      <c r="V1164" t="str">
        <f>IF(CleanedTable[[#This Row],[Returned]] = 0,"NO","Yes")</f>
        <v>NO</v>
      </c>
      <c r="W1164" t="s">
        <v>1213</v>
      </c>
      <c r="X1164" t="s">
        <v>2636</v>
      </c>
      <c r="Y1164" s="10">
        <v>27.82</v>
      </c>
      <c r="Z1164" s="3">
        <v>45570</v>
      </c>
      <c r="AA1164" s="3">
        <v>45572</v>
      </c>
      <c r="AB1164" t="s">
        <v>2926</v>
      </c>
      <c r="AC1164">
        <v>2</v>
      </c>
    </row>
    <row r="1165" spans="1:29" x14ac:dyDescent="0.3">
      <c r="A1165" s="3">
        <v>45304</v>
      </c>
      <c r="B1165" s="3" t="str">
        <f>TEXT(CleanedTable[[#This Row],[OrderDate]],"mmm")</f>
        <v>Jan</v>
      </c>
      <c r="C1165" s="3" t="str">
        <f>TEXT(CleanedTable[[#This Row],[OrderDate]],"yyyy")</f>
        <v>2024</v>
      </c>
      <c r="D1165" s="3" t="str">
        <f>TEXT(CleanedTable[[#This Row],[OrderDate]],"mmm yyyy")</f>
        <v>Jan 2024</v>
      </c>
      <c r="E1165" t="s">
        <v>20</v>
      </c>
      <c r="F1165" t="s">
        <v>26</v>
      </c>
      <c r="G1165" s="12">
        <v>12</v>
      </c>
      <c r="H1165" s="8">
        <v>103.59</v>
      </c>
      <c r="I1165" t="s">
        <v>32</v>
      </c>
      <c r="J1165" t="s">
        <v>36</v>
      </c>
      <c r="K1165" s="10">
        <v>0.1</v>
      </c>
      <c r="L1165" t="s">
        <v>39</v>
      </c>
      <c r="M1165">
        <v>1118.7719999999999</v>
      </c>
      <c r="N1165">
        <v>745.84799999999996</v>
      </c>
      <c r="O1165" s="10">
        <v>324.81399999999996</v>
      </c>
      <c r="P1165" s="10">
        <v>0.2903308270139045</v>
      </c>
      <c r="Q1165" s="8">
        <v>1118.7719999999999</v>
      </c>
      <c r="R1165" t="s">
        <v>46</v>
      </c>
      <c r="S1165" t="s">
        <v>48</v>
      </c>
      <c r="T1165" t="s">
        <v>2931</v>
      </c>
      <c r="U1165">
        <v>0</v>
      </c>
      <c r="V1165" t="str">
        <f>IF(CleanedTable[[#This Row],[Returned]] = 0,"NO","Yes")</f>
        <v>NO</v>
      </c>
      <c r="W1165" t="s">
        <v>1214</v>
      </c>
      <c r="X1165" t="s">
        <v>2637</v>
      </c>
      <c r="Y1165" s="10">
        <v>48.11</v>
      </c>
      <c r="Z1165" s="3">
        <v>45304</v>
      </c>
      <c r="AA1165" s="3">
        <v>45312</v>
      </c>
      <c r="AB1165" t="s">
        <v>2923</v>
      </c>
      <c r="AC1165">
        <v>8</v>
      </c>
    </row>
    <row r="1166" spans="1:29" x14ac:dyDescent="0.3">
      <c r="A1166" s="3">
        <v>45014</v>
      </c>
      <c r="B1166" s="3" t="str">
        <f>TEXT(CleanedTable[[#This Row],[OrderDate]],"mmm")</f>
        <v>Mar</v>
      </c>
      <c r="C1166" s="3" t="str">
        <f>TEXT(CleanedTable[[#This Row],[OrderDate]],"yyyy")</f>
        <v>2023</v>
      </c>
      <c r="D1166" s="3" t="str">
        <f>TEXT(CleanedTable[[#This Row],[OrderDate]],"mmm yyyy")</f>
        <v>Mar 2023</v>
      </c>
      <c r="E1166" t="s">
        <v>23</v>
      </c>
      <c r="F1166" t="s">
        <v>24</v>
      </c>
      <c r="G1166" s="12">
        <v>18</v>
      </c>
      <c r="H1166" s="8">
        <v>176.32</v>
      </c>
      <c r="I1166" t="s">
        <v>31</v>
      </c>
      <c r="J1166" t="s">
        <v>35</v>
      </c>
      <c r="K1166" s="10">
        <v>0.05</v>
      </c>
      <c r="L1166" t="s">
        <v>41</v>
      </c>
      <c r="M1166">
        <v>3015.0719999999997</v>
      </c>
      <c r="N1166">
        <v>1904.2559999999999</v>
      </c>
      <c r="O1166" s="10">
        <v>1074.4659999999999</v>
      </c>
      <c r="P1166" s="10">
        <v>0.35636495579541716</v>
      </c>
      <c r="Q1166" s="8">
        <v>3015.0720000000001</v>
      </c>
      <c r="R1166" t="s">
        <v>46</v>
      </c>
      <c r="T1166" t="s">
        <v>2932</v>
      </c>
      <c r="U1166">
        <v>0</v>
      </c>
      <c r="V1166" t="str">
        <f>IF(CleanedTable[[#This Row],[Returned]] = 0,"NO","Yes")</f>
        <v>NO</v>
      </c>
      <c r="W1166" t="s">
        <v>1215</v>
      </c>
      <c r="X1166" t="s">
        <v>2638</v>
      </c>
      <c r="Y1166" s="10">
        <v>36.35</v>
      </c>
      <c r="Z1166" s="3">
        <v>45014</v>
      </c>
      <c r="AA1166" s="3">
        <v>45020</v>
      </c>
      <c r="AB1166" t="s">
        <v>2926</v>
      </c>
      <c r="AC1166">
        <v>6</v>
      </c>
    </row>
    <row r="1167" spans="1:29" x14ac:dyDescent="0.3">
      <c r="A1167" s="3">
        <v>45218</v>
      </c>
      <c r="B1167" s="3" t="str">
        <f>TEXT(CleanedTable[[#This Row],[OrderDate]],"mmm")</f>
        <v>Oct</v>
      </c>
      <c r="C1167" s="3" t="str">
        <f>TEXT(CleanedTable[[#This Row],[OrderDate]],"yyyy")</f>
        <v>2023</v>
      </c>
      <c r="D1167" s="3" t="str">
        <f>TEXT(CleanedTable[[#This Row],[OrderDate]],"mmm yyyy")</f>
        <v>Oct 2023</v>
      </c>
      <c r="E1167" t="s">
        <v>21</v>
      </c>
      <c r="F1167" t="s">
        <v>30</v>
      </c>
      <c r="G1167" s="12">
        <v>5</v>
      </c>
      <c r="H1167" s="8">
        <v>112.44</v>
      </c>
      <c r="I1167" t="s">
        <v>34</v>
      </c>
      <c r="J1167" t="s">
        <v>36</v>
      </c>
      <c r="K1167" s="10">
        <v>0.1</v>
      </c>
      <c r="L1167" t="s">
        <v>42</v>
      </c>
      <c r="M1167">
        <v>505.98000000000008</v>
      </c>
      <c r="N1167">
        <v>337.32</v>
      </c>
      <c r="O1167" s="10">
        <v>161.20000000000007</v>
      </c>
      <c r="P1167" s="10">
        <v>0.3185896675757936</v>
      </c>
      <c r="Q1167" s="8">
        <v>505.98000000000008</v>
      </c>
      <c r="R1167" t="s">
        <v>45</v>
      </c>
      <c r="T1167" t="s">
        <v>2932</v>
      </c>
      <c r="U1167">
        <v>1</v>
      </c>
      <c r="V1167" t="str">
        <f>IF(CleanedTable[[#This Row],[Returned]] = 0,"NO","Yes")</f>
        <v>Yes</v>
      </c>
      <c r="W1167" t="s">
        <v>1216</v>
      </c>
      <c r="X1167" t="s">
        <v>1703</v>
      </c>
      <c r="Y1167" s="10">
        <v>7.46</v>
      </c>
      <c r="Z1167" s="3">
        <v>45218</v>
      </c>
      <c r="AA1167" s="3">
        <v>45222</v>
      </c>
      <c r="AB1167" t="s">
        <v>2924</v>
      </c>
      <c r="AC1167">
        <v>4</v>
      </c>
    </row>
    <row r="1168" spans="1:29" x14ac:dyDescent="0.3">
      <c r="A1168" s="3">
        <v>45222</v>
      </c>
      <c r="B1168" s="3" t="str">
        <f>TEXT(CleanedTable[[#This Row],[OrderDate]],"mmm")</f>
        <v>Oct</v>
      </c>
      <c r="C1168" s="3" t="str">
        <f>TEXT(CleanedTable[[#This Row],[OrderDate]],"yyyy")</f>
        <v>2023</v>
      </c>
      <c r="D1168" s="3" t="str">
        <f>TEXT(CleanedTable[[#This Row],[OrderDate]],"mmm yyyy")</f>
        <v>Oct 2023</v>
      </c>
      <c r="E1168" t="s">
        <v>23</v>
      </c>
      <c r="F1168" t="s">
        <v>27</v>
      </c>
      <c r="G1168" s="12">
        <v>20</v>
      </c>
      <c r="H1168" s="8">
        <v>19.3</v>
      </c>
      <c r="I1168" t="s">
        <v>33</v>
      </c>
      <c r="J1168" t="s">
        <v>35</v>
      </c>
      <c r="K1168" s="10">
        <v>0</v>
      </c>
      <c r="L1168" t="s">
        <v>42</v>
      </c>
      <c r="M1168">
        <v>386</v>
      </c>
      <c r="N1168">
        <v>231.6</v>
      </c>
      <c r="O1168" s="10">
        <v>107.17000000000002</v>
      </c>
      <c r="P1168" s="10">
        <v>0.27764248704663219</v>
      </c>
      <c r="Q1168" s="8">
        <v>386</v>
      </c>
      <c r="R1168" t="s">
        <v>46</v>
      </c>
      <c r="S1168" t="s">
        <v>49</v>
      </c>
      <c r="T1168" t="s">
        <v>2931</v>
      </c>
      <c r="U1168">
        <v>0</v>
      </c>
      <c r="V1168" t="str">
        <f>IF(CleanedTable[[#This Row],[Returned]] = 0,"NO","Yes")</f>
        <v>NO</v>
      </c>
      <c r="W1168" t="s">
        <v>1217</v>
      </c>
      <c r="X1168" t="s">
        <v>2639</v>
      </c>
      <c r="Y1168" s="10">
        <v>47.23</v>
      </c>
      <c r="Z1168" s="3">
        <v>45222</v>
      </c>
      <c r="AA1168" s="3">
        <v>45231</v>
      </c>
      <c r="AB1168" t="s">
        <v>2926</v>
      </c>
      <c r="AC1168">
        <v>9</v>
      </c>
    </row>
    <row r="1169" spans="1:29" x14ac:dyDescent="0.3">
      <c r="A1169" s="3">
        <v>45009</v>
      </c>
      <c r="B1169" s="3" t="str">
        <f>TEXT(CleanedTable[[#This Row],[OrderDate]],"mmm")</f>
        <v>Mar</v>
      </c>
      <c r="C1169" s="3" t="str">
        <f>TEXT(CleanedTable[[#This Row],[OrderDate]],"yyyy")</f>
        <v>2023</v>
      </c>
      <c r="D1169" s="3" t="str">
        <f>TEXT(CleanedTable[[#This Row],[OrderDate]],"mmm yyyy")</f>
        <v>Mar 2023</v>
      </c>
      <c r="E1169" t="s">
        <v>20</v>
      </c>
      <c r="F1169" t="s">
        <v>25</v>
      </c>
      <c r="G1169" s="12">
        <v>9</v>
      </c>
      <c r="H1169" s="8">
        <v>233.11</v>
      </c>
      <c r="I1169" t="s">
        <v>31</v>
      </c>
      <c r="J1169" t="s">
        <v>36</v>
      </c>
      <c r="K1169" s="10">
        <v>0.05</v>
      </c>
      <c r="L1169" t="s">
        <v>37</v>
      </c>
      <c r="M1169">
        <v>1993.0905</v>
      </c>
      <c r="N1169">
        <v>1258.7940000000001</v>
      </c>
      <c r="O1169" s="10">
        <v>702.86649999999997</v>
      </c>
      <c r="P1169" s="10">
        <v>0.35265157302189737</v>
      </c>
      <c r="Q1169" s="8">
        <v>1993.0905</v>
      </c>
      <c r="R1169" t="s">
        <v>46</v>
      </c>
      <c r="S1169" t="s">
        <v>50</v>
      </c>
      <c r="T1169" t="s">
        <v>2931</v>
      </c>
      <c r="U1169">
        <v>0</v>
      </c>
      <c r="V1169" t="str">
        <f>IF(CleanedTable[[#This Row],[Returned]] = 0,"NO","Yes")</f>
        <v>NO</v>
      </c>
      <c r="W1169" t="s">
        <v>1218</v>
      </c>
      <c r="X1169" t="s">
        <v>2640</v>
      </c>
      <c r="Y1169" s="10">
        <v>31.43</v>
      </c>
      <c r="Z1169" s="3">
        <v>45009</v>
      </c>
      <c r="AA1169" s="3">
        <v>45013</v>
      </c>
      <c r="AB1169" t="s">
        <v>2923</v>
      </c>
      <c r="AC1169">
        <v>4</v>
      </c>
    </row>
    <row r="1170" spans="1:29" x14ac:dyDescent="0.3">
      <c r="A1170" s="3">
        <v>45513</v>
      </c>
      <c r="B1170" s="3" t="str">
        <f>TEXT(CleanedTable[[#This Row],[OrderDate]],"mmm")</f>
        <v>Aug</v>
      </c>
      <c r="C1170" s="3" t="str">
        <f>TEXT(CleanedTable[[#This Row],[OrderDate]],"yyyy")</f>
        <v>2024</v>
      </c>
      <c r="D1170" s="3" t="str">
        <f>TEXT(CleanedTable[[#This Row],[OrderDate]],"mmm yyyy")</f>
        <v>Aug 2024</v>
      </c>
      <c r="E1170" t="s">
        <v>23</v>
      </c>
      <c r="F1170" t="s">
        <v>30</v>
      </c>
      <c r="G1170" s="12">
        <v>17</v>
      </c>
      <c r="H1170" s="8">
        <v>66.48</v>
      </c>
      <c r="I1170" t="s">
        <v>33</v>
      </c>
      <c r="J1170" t="s">
        <v>35</v>
      </c>
      <c r="K1170" s="10">
        <v>0.15</v>
      </c>
      <c r="L1170" t="s">
        <v>37</v>
      </c>
      <c r="M1170">
        <v>960.63600000000008</v>
      </c>
      <c r="N1170">
        <v>678.096</v>
      </c>
      <c r="O1170" s="10">
        <v>271.75000000000006</v>
      </c>
      <c r="P1170" s="10">
        <v>0.2828855050195912</v>
      </c>
      <c r="Q1170" s="8">
        <v>960.63600000000008</v>
      </c>
      <c r="R1170" t="s">
        <v>44</v>
      </c>
      <c r="S1170" t="s">
        <v>50</v>
      </c>
      <c r="T1170" t="s">
        <v>2931</v>
      </c>
      <c r="U1170">
        <v>1</v>
      </c>
      <c r="V1170" t="str">
        <f>IF(CleanedTable[[#This Row],[Returned]] = 0,"NO","Yes")</f>
        <v>Yes</v>
      </c>
      <c r="W1170" t="s">
        <v>1219</v>
      </c>
      <c r="X1170" t="s">
        <v>2641</v>
      </c>
      <c r="Y1170" s="10">
        <v>10.79</v>
      </c>
      <c r="Z1170" s="3">
        <v>45513</v>
      </c>
      <c r="AA1170" s="3">
        <v>45518</v>
      </c>
      <c r="AB1170" t="s">
        <v>2926</v>
      </c>
      <c r="AC1170">
        <v>5</v>
      </c>
    </row>
    <row r="1171" spans="1:29" x14ac:dyDescent="0.3">
      <c r="A1171" s="3">
        <v>45042</v>
      </c>
      <c r="B1171" s="3" t="str">
        <f>TEXT(CleanedTable[[#This Row],[OrderDate]],"mmm")</f>
        <v>Apr</v>
      </c>
      <c r="C1171" s="3" t="str">
        <f>TEXT(CleanedTable[[#This Row],[OrderDate]],"yyyy")</f>
        <v>2023</v>
      </c>
      <c r="D1171" s="3" t="str">
        <f>TEXT(CleanedTable[[#This Row],[OrderDate]],"mmm yyyy")</f>
        <v>Apr 2023</v>
      </c>
      <c r="E1171" t="s">
        <v>20</v>
      </c>
      <c r="F1171" t="s">
        <v>24</v>
      </c>
      <c r="G1171" s="12">
        <v>17</v>
      </c>
      <c r="H1171" s="8">
        <v>504.63</v>
      </c>
      <c r="I1171" t="s">
        <v>32</v>
      </c>
      <c r="J1171" t="s">
        <v>35</v>
      </c>
      <c r="K1171" s="10">
        <v>0.1</v>
      </c>
      <c r="L1171" t="s">
        <v>40</v>
      </c>
      <c r="M1171">
        <v>7720.838999999999</v>
      </c>
      <c r="N1171">
        <v>5147.2259999999997</v>
      </c>
      <c r="O1171" s="10">
        <v>2525.2829999999994</v>
      </c>
      <c r="P1171" s="10">
        <v>0.32707365093353191</v>
      </c>
      <c r="Q1171" s="8">
        <v>7720.838999999999</v>
      </c>
      <c r="R1171" t="s">
        <v>43</v>
      </c>
      <c r="S1171" t="s">
        <v>50</v>
      </c>
      <c r="T1171" t="s">
        <v>2931</v>
      </c>
      <c r="U1171">
        <v>1</v>
      </c>
      <c r="V1171" t="str">
        <f>IF(CleanedTable[[#This Row],[Returned]] = 0,"NO","Yes")</f>
        <v>Yes</v>
      </c>
      <c r="W1171" t="s">
        <v>1220</v>
      </c>
      <c r="X1171" t="s">
        <v>2642</v>
      </c>
      <c r="Y1171" s="10">
        <v>48.33</v>
      </c>
      <c r="Z1171" s="3">
        <v>45042</v>
      </c>
      <c r="AA1171" s="3">
        <v>45052</v>
      </c>
      <c r="AB1171" t="s">
        <v>2923</v>
      </c>
      <c r="AC1171">
        <v>10</v>
      </c>
    </row>
    <row r="1172" spans="1:29" x14ac:dyDescent="0.3">
      <c r="A1172" s="3">
        <v>45355</v>
      </c>
      <c r="B1172" s="3" t="str">
        <f>TEXT(CleanedTable[[#This Row],[OrderDate]],"mmm")</f>
        <v>Mar</v>
      </c>
      <c r="C1172" s="3" t="str">
        <f>TEXT(CleanedTable[[#This Row],[OrderDate]],"yyyy")</f>
        <v>2024</v>
      </c>
      <c r="D1172" s="3" t="str">
        <f>TEXT(CleanedTable[[#This Row],[OrderDate]],"mmm yyyy")</f>
        <v>Mar 2024</v>
      </c>
      <c r="E1172" t="s">
        <v>23</v>
      </c>
      <c r="F1172" t="s">
        <v>29</v>
      </c>
      <c r="G1172" s="12">
        <v>11</v>
      </c>
      <c r="H1172" s="8">
        <v>97.84</v>
      </c>
      <c r="I1172" t="s">
        <v>31</v>
      </c>
      <c r="J1172" t="s">
        <v>36</v>
      </c>
      <c r="K1172" s="10">
        <v>0.05</v>
      </c>
      <c r="L1172" t="s">
        <v>38</v>
      </c>
      <c r="M1172">
        <v>1022.428</v>
      </c>
      <c r="N1172">
        <v>645.74400000000003</v>
      </c>
      <c r="O1172" s="10">
        <v>330.71399999999994</v>
      </c>
      <c r="P1172" s="10">
        <v>0.32345945142347426</v>
      </c>
      <c r="Q1172" s="8">
        <v>1022.428</v>
      </c>
      <c r="R1172" t="s">
        <v>46</v>
      </c>
      <c r="S1172" t="s">
        <v>49</v>
      </c>
      <c r="T1172" t="s">
        <v>2931</v>
      </c>
      <c r="U1172">
        <v>1</v>
      </c>
      <c r="V1172" t="str">
        <f>IF(CleanedTable[[#This Row],[Returned]] = 0,"NO","Yes")</f>
        <v>Yes</v>
      </c>
      <c r="W1172" t="s">
        <v>1221</v>
      </c>
      <c r="X1172" t="s">
        <v>2643</v>
      </c>
      <c r="Y1172" s="10">
        <v>45.97</v>
      </c>
      <c r="Z1172" s="3">
        <v>45355</v>
      </c>
      <c r="AA1172" s="3">
        <v>45363</v>
      </c>
      <c r="AB1172" t="s">
        <v>2926</v>
      </c>
      <c r="AC1172">
        <v>8</v>
      </c>
    </row>
    <row r="1173" spans="1:29" x14ac:dyDescent="0.3">
      <c r="A1173" s="3">
        <v>44971</v>
      </c>
      <c r="B1173" s="3" t="str">
        <f>TEXT(CleanedTable[[#This Row],[OrderDate]],"mmm")</f>
        <v>Feb</v>
      </c>
      <c r="C1173" s="3" t="str">
        <f>TEXT(CleanedTable[[#This Row],[OrderDate]],"yyyy")</f>
        <v>2023</v>
      </c>
      <c r="D1173" s="3" t="str">
        <f>TEXT(CleanedTable[[#This Row],[OrderDate]],"mmm yyyy")</f>
        <v>Feb 2023</v>
      </c>
      <c r="E1173" t="s">
        <v>19</v>
      </c>
      <c r="F1173" t="s">
        <v>29</v>
      </c>
      <c r="G1173" s="12">
        <v>7</v>
      </c>
      <c r="H1173" s="8">
        <v>468.14</v>
      </c>
      <c r="I1173" t="s">
        <v>32</v>
      </c>
      <c r="J1173" t="s">
        <v>36</v>
      </c>
      <c r="K1173" s="10">
        <v>0.15</v>
      </c>
      <c r="L1173" t="s">
        <v>42</v>
      </c>
      <c r="M1173">
        <v>2785.433</v>
      </c>
      <c r="N1173">
        <v>1966.1879999999996</v>
      </c>
      <c r="O1173" s="10">
        <v>771.6850000000004</v>
      </c>
      <c r="P1173" s="10">
        <v>0.27704310245480701</v>
      </c>
      <c r="Q1173" s="8">
        <v>2785.433</v>
      </c>
      <c r="R1173" t="s">
        <v>47</v>
      </c>
      <c r="S1173" t="s">
        <v>49</v>
      </c>
      <c r="T1173" t="s">
        <v>2931</v>
      </c>
      <c r="U1173">
        <v>0</v>
      </c>
      <c r="V1173" t="str">
        <f>IF(CleanedTable[[#This Row],[Returned]] = 0,"NO","Yes")</f>
        <v>NO</v>
      </c>
      <c r="W1173" t="s">
        <v>1222</v>
      </c>
      <c r="X1173" t="s">
        <v>2644</v>
      </c>
      <c r="Y1173" s="10">
        <v>47.56</v>
      </c>
      <c r="Z1173" s="3">
        <v>44971</v>
      </c>
      <c r="AA1173" s="3">
        <v>44974</v>
      </c>
      <c r="AB1173" t="s">
        <v>2922</v>
      </c>
      <c r="AC1173">
        <v>3</v>
      </c>
    </row>
    <row r="1174" spans="1:29" x14ac:dyDescent="0.3">
      <c r="A1174" s="3">
        <v>45044</v>
      </c>
      <c r="B1174" s="3" t="str">
        <f>TEXT(CleanedTable[[#This Row],[OrderDate]],"mmm")</f>
        <v>Apr</v>
      </c>
      <c r="C1174" s="3" t="str">
        <f>TEXT(CleanedTable[[#This Row],[OrderDate]],"yyyy")</f>
        <v>2023</v>
      </c>
      <c r="D1174" s="3" t="str">
        <f>TEXT(CleanedTable[[#This Row],[OrderDate]],"mmm yyyy")</f>
        <v>Apr 2023</v>
      </c>
      <c r="E1174" t="s">
        <v>23</v>
      </c>
      <c r="F1174" t="s">
        <v>29</v>
      </c>
      <c r="G1174" s="12">
        <v>20</v>
      </c>
      <c r="H1174" s="8">
        <v>476.69</v>
      </c>
      <c r="I1174" t="s">
        <v>31</v>
      </c>
      <c r="J1174" t="s">
        <v>35</v>
      </c>
      <c r="K1174" s="10">
        <v>0.05</v>
      </c>
      <c r="L1174" t="s">
        <v>42</v>
      </c>
      <c r="M1174">
        <v>9057.1099999999988</v>
      </c>
      <c r="N1174">
        <v>5720.2800000000007</v>
      </c>
      <c r="O1174" s="10">
        <v>3326.6299999999983</v>
      </c>
      <c r="P1174" s="10">
        <v>0.36729486558074248</v>
      </c>
      <c r="Q1174" s="8">
        <v>9057.1099999999988</v>
      </c>
      <c r="R1174" t="s">
        <v>43</v>
      </c>
      <c r="S1174" t="s">
        <v>50</v>
      </c>
      <c r="T1174" t="s">
        <v>2931</v>
      </c>
      <c r="U1174">
        <v>0</v>
      </c>
      <c r="V1174" t="str">
        <f>IF(CleanedTable[[#This Row],[Returned]] = 0,"NO","Yes")</f>
        <v>NO</v>
      </c>
      <c r="W1174" t="s">
        <v>1223</v>
      </c>
      <c r="X1174" t="s">
        <v>2645</v>
      </c>
      <c r="Y1174" s="10">
        <v>10.199999999999999</v>
      </c>
      <c r="Z1174" s="3">
        <v>45044</v>
      </c>
      <c r="AA1174" s="3">
        <v>45049</v>
      </c>
      <c r="AB1174" t="s">
        <v>2926</v>
      </c>
      <c r="AC1174">
        <v>5</v>
      </c>
    </row>
    <row r="1175" spans="1:29" x14ac:dyDescent="0.3">
      <c r="A1175" s="3">
        <v>45354</v>
      </c>
      <c r="B1175" s="3" t="str">
        <f>TEXT(CleanedTable[[#This Row],[OrderDate]],"mmm")</f>
        <v>Mar</v>
      </c>
      <c r="C1175" s="3" t="str">
        <f>TEXT(CleanedTable[[#This Row],[OrderDate]],"yyyy")</f>
        <v>2024</v>
      </c>
      <c r="D1175" s="3" t="str">
        <f>TEXT(CleanedTable[[#This Row],[OrderDate]],"mmm yyyy")</f>
        <v>Mar 2024</v>
      </c>
      <c r="E1175" t="s">
        <v>21</v>
      </c>
      <c r="F1175" t="s">
        <v>25</v>
      </c>
      <c r="G1175" s="12">
        <v>2</v>
      </c>
      <c r="H1175" s="8">
        <v>160.72999999999999</v>
      </c>
      <c r="I1175" t="s">
        <v>32</v>
      </c>
      <c r="J1175" t="s">
        <v>35</v>
      </c>
      <c r="K1175" s="10">
        <v>0.15</v>
      </c>
      <c r="L1175" t="s">
        <v>39</v>
      </c>
      <c r="M1175">
        <v>273.24099999999999</v>
      </c>
      <c r="N1175">
        <v>192.87599999999998</v>
      </c>
      <c r="O1175" s="10">
        <v>60.185000000000009</v>
      </c>
      <c r="P1175" s="10">
        <v>0.22026343045150623</v>
      </c>
      <c r="Q1175" s="8">
        <v>273.24099999999999</v>
      </c>
      <c r="R1175" t="s">
        <v>47</v>
      </c>
      <c r="S1175" t="s">
        <v>48</v>
      </c>
      <c r="T1175" t="s">
        <v>2931</v>
      </c>
      <c r="U1175">
        <v>0</v>
      </c>
      <c r="V1175" t="str">
        <f>IF(CleanedTable[[#This Row],[Returned]] = 0,"NO","Yes")</f>
        <v>NO</v>
      </c>
      <c r="W1175" t="s">
        <v>1224</v>
      </c>
      <c r="X1175" t="s">
        <v>2646</v>
      </c>
      <c r="Y1175" s="10">
        <v>20.18</v>
      </c>
      <c r="Z1175" s="3">
        <v>45354</v>
      </c>
      <c r="AA1175" s="3">
        <v>45362</v>
      </c>
      <c r="AB1175" t="s">
        <v>2924</v>
      </c>
      <c r="AC1175">
        <v>8</v>
      </c>
    </row>
    <row r="1176" spans="1:29" x14ac:dyDescent="0.3">
      <c r="A1176" s="3">
        <v>45539</v>
      </c>
      <c r="B1176" s="3" t="str">
        <f>TEXT(CleanedTable[[#This Row],[OrderDate]],"mmm")</f>
        <v>Sep</v>
      </c>
      <c r="C1176" s="3" t="str">
        <f>TEXT(CleanedTable[[#This Row],[OrderDate]],"yyyy")</f>
        <v>2024</v>
      </c>
      <c r="D1176" s="3" t="str">
        <f>TEXT(CleanedTable[[#This Row],[OrderDate]],"mmm yyyy")</f>
        <v>Sep 2024</v>
      </c>
      <c r="E1176" t="s">
        <v>23</v>
      </c>
      <c r="F1176" t="s">
        <v>29</v>
      </c>
      <c r="G1176" s="12">
        <v>9</v>
      </c>
      <c r="H1176" s="8">
        <v>228.98</v>
      </c>
      <c r="I1176" t="s">
        <v>34</v>
      </c>
      <c r="J1176" t="s">
        <v>36</v>
      </c>
      <c r="K1176" s="10">
        <v>0.15</v>
      </c>
      <c r="L1176" t="s">
        <v>39</v>
      </c>
      <c r="M1176">
        <v>1751.6969999999997</v>
      </c>
      <c r="N1176">
        <v>1236.4919999999997</v>
      </c>
      <c r="O1176" s="10">
        <v>469.41499999999991</v>
      </c>
      <c r="P1176" s="10">
        <v>0.26797728145906513</v>
      </c>
      <c r="Q1176" s="8">
        <v>1751.6969999999999</v>
      </c>
      <c r="R1176" t="s">
        <v>43</v>
      </c>
      <c r="S1176" t="s">
        <v>50</v>
      </c>
      <c r="T1176" t="s">
        <v>2931</v>
      </c>
      <c r="U1176">
        <v>0</v>
      </c>
      <c r="V1176" t="str">
        <f>IF(CleanedTable[[#This Row],[Returned]] = 0,"NO","Yes")</f>
        <v>NO</v>
      </c>
      <c r="W1176" t="s">
        <v>1225</v>
      </c>
      <c r="X1176" t="s">
        <v>2647</v>
      </c>
      <c r="Y1176" s="10">
        <v>45.79</v>
      </c>
      <c r="Z1176" s="3">
        <v>45539</v>
      </c>
      <c r="AA1176" s="3">
        <v>45543</v>
      </c>
      <c r="AB1176" t="s">
        <v>2926</v>
      </c>
      <c r="AC1176">
        <v>4</v>
      </c>
    </row>
    <row r="1177" spans="1:29" x14ac:dyDescent="0.3">
      <c r="A1177" s="3">
        <v>45656</v>
      </c>
      <c r="B1177" s="3" t="str">
        <f>TEXT(CleanedTable[[#This Row],[OrderDate]],"mmm")</f>
        <v>Dec</v>
      </c>
      <c r="C1177" s="3" t="str">
        <f>TEXT(CleanedTable[[#This Row],[OrderDate]],"yyyy")</f>
        <v>2024</v>
      </c>
      <c r="D1177" s="3" t="str">
        <f>TEXT(CleanedTable[[#This Row],[OrderDate]],"mmm yyyy")</f>
        <v>Dec 2024</v>
      </c>
      <c r="E1177" t="s">
        <v>19</v>
      </c>
      <c r="F1177" t="s">
        <v>29</v>
      </c>
      <c r="G1177" s="12">
        <v>19</v>
      </c>
      <c r="H1177" s="8">
        <v>336.5</v>
      </c>
      <c r="I1177" t="s">
        <v>31</v>
      </c>
      <c r="J1177" t="s">
        <v>35</v>
      </c>
      <c r="K1177" s="10">
        <v>0</v>
      </c>
      <c r="L1177" t="s">
        <v>38</v>
      </c>
      <c r="M1177">
        <v>6393.5</v>
      </c>
      <c r="N1177">
        <v>3836.1</v>
      </c>
      <c r="O1177" s="10">
        <v>2529.9700000000003</v>
      </c>
      <c r="P1177" s="10">
        <v>0.39570970516931264</v>
      </c>
      <c r="Q1177" s="8">
        <v>6393.5</v>
      </c>
      <c r="R1177" t="s">
        <v>43</v>
      </c>
      <c r="S1177" t="s">
        <v>50</v>
      </c>
      <c r="T1177" t="s">
        <v>2931</v>
      </c>
      <c r="U1177">
        <v>0</v>
      </c>
      <c r="V1177" t="str">
        <f>IF(CleanedTable[[#This Row],[Returned]] = 0,"NO","Yes")</f>
        <v>NO</v>
      </c>
      <c r="W1177" t="s">
        <v>1226</v>
      </c>
      <c r="X1177" t="s">
        <v>2648</v>
      </c>
      <c r="Y1177" s="10">
        <v>27.43</v>
      </c>
      <c r="Z1177" s="3">
        <v>45656</v>
      </c>
      <c r="AA1177" s="3">
        <v>45664</v>
      </c>
      <c r="AB1177" t="s">
        <v>2922</v>
      </c>
      <c r="AC1177">
        <v>8</v>
      </c>
    </row>
    <row r="1178" spans="1:29" x14ac:dyDescent="0.3">
      <c r="A1178" s="3">
        <v>45332</v>
      </c>
      <c r="B1178" s="3" t="str">
        <f>TEXT(CleanedTable[[#This Row],[OrderDate]],"mmm")</f>
        <v>Feb</v>
      </c>
      <c r="C1178" s="3" t="str">
        <f>TEXT(CleanedTable[[#This Row],[OrderDate]],"yyyy")</f>
        <v>2024</v>
      </c>
      <c r="D1178" s="3" t="str">
        <f>TEXT(CleanedTable[[#This Row],[OrderDate]],"mmm yyyy")</f>
        <v>Feb 2024</v>
      </c>
      <c r="E1178" t="s">
        <v>19</v>
      </c>
      <c r="F1178" t="s">
        <v>30</v>
      </c>
      <c r="G1178" s="12">
        <v>18</v>
      </c>
      <c r="H1178" s="8">
        <v>411.59</v>
      </c>
      <c r="I1178" t="s">
        <v>32</v>
      </c>
      <c r="J1178" t="s">
        <v>35</v>
      </c>
      <c r="K1178" s="10">
        <v>0</v>
      </c>
      <c r="L1178" t="s">
        <v>42</v>
      </c>
      <c r="M1178">
        <v>7408.62</v>
      </c>
      <c r="N1178">
        <v>4445.1719999999996</v>
      </c>
      <c r="O1178" s="10">
        <v>2953.8280000000004</v>
      </c>
      <c r="P1178" s="10">
        <v>0.39870151256239361</v>
      </c>
      <c r="Q1178" s="8">
        <v>7408.62</v>
      </c>
      <c r="R1178" t="s">
        <v>45</v>
      </c>
      <c r="S1178" t="s">
        <v>50</v>
      </c>
      <c r="T1178" t="s">
        <v>2931</v>
      </c>
      <c r="U1178">
        <v>0</v>
      </c>
      <c r="V1178" t="str">
        <f>IF(CleanedTable[[#This Row],[Returned]] = 0,"NO","Yes")</f>
        <v>NO</v>
      </c>
      <c r="W1178" t="s">
        <v>1227</v>
      </c>
      <c r="X1178" t="s">
        <v>2649</v>
      </c>
      <c r="Y1178" s="10">
        <v>9.6199999999999992</v>
      </c>
      <c r="Z1178" s="3">
        <v>45332</v>
      </c>
      <c r="AA1178" s="3">
        <v>45338</v>
      </c>
      <c r="AB1178" t="s">
        <v>2922</v>
      </c>
      <c r="AC1178">
        <v>6</v>
      </c>
    </row>
    <row r="1179" spans="1:29" x14ac:dyDescent="0.3">
      <c r="A1179" s="3">
        <v>45176</v>
      </c>
      <c r="B1179" s="3" t="str">
        <f>TEXT(CleanedTable[[#This Row],[OrderDate]],"mmm")</f>
        <v>Sep</v>
      </c>
      <c r="C1179" s="3" t="str">
        <f>TEXT(CleanedTable[[#This Row],[OrderDate]],"yyyy")</f>
        <v>2023</v>
      </c>
      <c r="D1179" s="3" t="str">
        <f>TEXT(CleanedTable[[#This Row],[OrderDate]],"mmm yyyy")</f>
        <v>Sep 2023</v>
      </c>
      <c r="E1179" t="s">
        <v>22</v>
      </c>
      <c r="F1179" t="s">
        <v>30</v>
      </c>
      <c r="G1179" s="12">
        <v>1</v>
      </c>
      <c r="H1179" s="8">
        <v>431.49</v>
      </c>
      <c r="I1179" t="s">
        <v>33</v>
      </c>
      <c r="J1179" t="s">
        <v>35</v>
      </c>
      <c r="K1179" s="10">
        <v>0.15</v>
      </c>
      <c r="L1179" t="s">
        <v>38</v>
      </c>
      <c r="M1179">
        <v>366.76650000000001</v>
      </c>
      <c r="N1179">
        <v>258.89400000000001</v>
      </c>
      <c r="O1179" s="10">
        <v>90.342500000000001</v>
      </c>
      <c r="P1179" s="10">
        <v>0.24632156971806313</v>
      </c>
      <c r="Q1179" s="8">
        <v>366.76650000000001</v>
      </c>
      <c r="R1179" t="s">
        <v>47</v>
      </c>
      <c r="S1179" t="s">
        <v>49</v>
      </c>
      <c r="T1179" t="s">
        <v>2931</v>
      </c>
      <c r="U1179">
        <v>0</v>
      </c>
      <c r="V1179" t="str">
        <f>IF(CleanedTable[[#This Row],[Returned]] = 0,"NO","Yes")</f>
        <v>NO</v>
      </c>
      <c r="W1179" t="s">
        <v>1228</v>
      </c>
      <c r="X1179" t="s">
        <v>2650</v>
      </c>
      <c r="Y1179" s="10">
        <v>17.53</v>
      </c>
      <c r="Z1179" s="3">
        <v>45176</v>
      </c>
      <c r="AA1179" s="3">
        <v>45184</v>
      </c>
      <c r="AB1179" t="s">
        <v>2925</v>
      </c>
      <c r="AC1179">
        <v>8</v>
      </c>
    </row>
    <row r="1180" spans="1:29" x14ac:dyDescent="0.3">
      <c r="A1180" s="3">
        <v>45149</v>
      </c>
      <c r="B1180" s="3" t="str">
        <f>TEXT(CleanedTable[[#This Row],[OrderDate]],"mmm")</f>
        <v>Aug</v>
      </c>
      <c r="C1180" s="3" t="str">
        <f>TEXT(CleanedTable[[#This Row],[OrderDate]],"yyyy")</f>
        <v>2023</v>
      </c>
      <c r="D1180" s="3" t="str">
        <f>TEXT(CleanedTable[[#This Row],[OrderDate]],"mmm yyyy")</f>
        <v>Aug 2023</v>
      </c>
      <c r="E1180" t="s">
        <v>19</v>
      </c>
      <c r="F1180" t="s">
        <v>24</v>
      </c>
      <c r="G1180" s="12">
        <v>18</v>
      </c>
      <c r="H1180" s="8">
        <v>495.39</v>
      </c>
      <c r="I1180" t="s">
        <v>32</v>
      </c>
      <c r="J1180" t="s">
        <v>35</v>
      </c>
      <c r="K1180" s="10">
        <v>0</v>
      </c>
      <c r="L1180" t="s">
        <v>40</v>
      </c>
      <c r="M1180">
        <v>8917.02</v>
      </c>
      <c r="N1180">
        <v>5350.2119999999995</v>
      </c>
      <c r="O1180" s="10">
        <v>3551.9280000000008</v>
      </c>
      <c r="P1180" s="10">
        <v>0.39833128107820781</v>
      </c>
      <c r="Q1180" s="8">
        <v>8917.02</v>
      </c>
      <c r="R1180" t="s">
        <v>44</v>
      </c>
      <c r="S1180" t="s">
        <v>49</v>
      </c>
      <c r="T1180" t="s">
        <v>2931</v>
      </c>
      <c r="U1180">
        <v>0</v>
      </c>
      <c r="V1180" t="str">
        <f>IF(CleanedTable[[#This Row],[Returned]] = 0,"NO","Yes")</f>
        <v>NO</v>
      </c>
      <c r="W1180" t="s">
        <v>1229</v>
      </c>
      <c r="X1180" t="s">
        <v>2651</v>
      </c>
      <c r="Y1180" s="10">
        <v>14.88</v>
      </c>
      <c r="Z1180" s="3">
        <v>45149</v>
      </c>
      <c r="AA1180" s="3">
        <v>45153</v>
      </c>
      <c r="AB1180" t="s">
        <v>2922</v>
      </c>
      <c r="AC1180">
        <v>4</v>
      </c>
    </row>
    <row r="1181" spans="1:29" x14ac:dyDescent="0.3">
      <c r="A1181" s="3">
        <v>44997</v>
      </c>
      <c r="B1181" s="3" t="str">
        <f>TEXT(CleanedTable[[#This Row],[OrderDate]],"mmm")</f>
        <v>Mar</v>
      </c>
      <c r="C1181" s="3" t="str">
        <f>TEXT(CleanedTable[[#This Row],[OrderDate]],"yyyy")</f>
        <v>2023</v>
      </c>
      <c r="D1181" s="3" t="str">
        <f>TEXT(CleanedTable[[#This Row],[OrderDate]],"mmm yyyy")</f>
        <v>Mar 2023</v>
      </c>
      <c r="E1181" t="s">
        <v>23</v>
      </c>
      <c r="F1181" t="s">
        <v>25</v>
      </c>
      <c r="G1181" s="12">
        <v>4</v>
      </c>
      <c r="H1181" s="8">
        <v>149.30000000000001</v>
      </c>
      <c r="I1181" t="s">
        <v>32</v>
      </c>
      <c r="J1181" t="s">
        <v>35</v>
      </c>
      <c r="K1181" s="10">
        <v>0.1</v>
      </c>
      <c r="L1181" t="s">
        <v>41</v>
      </c>
      <c r="M1181">
        <v>537.48</v>
      </c>
      <c r="N1181">
        <v>358.32</v>
      </c>
      <c r="O1181" s="10">
        <v>131.32000000000002</v>
      </c>
      <c r="P1181" s="10">
        <v>0.24432537024633477</v>
      </c>
      <c r="Q1181" s="8">
        <v>537.48</v>
      </c>
      <c r="R1181" t="s">
        <v>46</v>
      </c>
      <c r="S1181" t="s">
        <v>48</v>
      </c>
      <c r="T1181" t="s">
        <v>2931</v>
      </c>
      <c r="U1181">
        <v>0</v>
      </c>
      <c r="V1181" t="str">
        <f>IF(CleanedTable[[#This Row],[Returned]] = 0,"NO","Yes")</f>
        <v>NO</v>
      </c>
      <c r="W1181" t="s">
        <v>1230</v>
      </c>
      <c r="X1181" t="s">
        <v>2652</v>
      </c>
      <c r="Y1181" s="10">
        <v>47.84</v>
      </c>
      <c r="Z1181" s="3">
        <v>44997</v>
      </c>
      <c r="AA1181" s="3">
        <v>45001</v>
      </c>
      <c r="AB1181" t="s">
        <v>2926</v>
      </c>
      <c r="AC1181">
        <v>4</v>
      </c>
    </row>
    <row r="1182" spans="1:29" x14ac:dyDescent="0.3">
      <c r="A1182" s="3">
        <v>45014</v>
      </c>
      <c r="B1182" s="3" t="str">
        <f>TEXT(CleanedTable[[#This Row],[OrderDate]],"mmm")</f>
        <v>Mar</v>
      </c>
      <c r="C1182" s="3" t="str">
        <f>TEXT(CleanedTable[[#This Row],[OrderDate]],"yyyy")</f>
        <v>2023</v>
      </c>
      <c r="D1182" s="3" t="str">
        <f>TEXT(CleanedTable[[#This Row],[OrderDate]],"mmm yyyy")</f>
        <v>Mar 2023</v>
      </c>
      <c r="E1182" t="s">
        <v>22</v>
      </c>
      <c r="F1182" t="s">
        <v>26</v>
      </c>
      <c r="G1182" s="12">
        <v>18</v>
      </c>
      <c r="H1182" s="8">
        <v>179.97</v>
      </c>
      <c r="I1182" t="s">
        <v>33</v>
      </c>
      <c r="J1182" t="s">
        <v>35</v>
      </c>
      <c r="K1182" s="10">
        <v>0.1</v>
      </c>
      <c r="L1182" t="s">
        <v>37</v>
      </c>
      <c r="M1182">
        <v>2915.5140000000001</v>
      </c>
      <c r="N1182">
        <v>1943.6759999999999</v>
      </c>
      <c r="O1182" s="10">
        <v>949.68800000000022</v>
      </c>
      <c r="P1182" s="10">
        <v>0.32573604517076582</v>
      </c>
      <c r="Q1182" s="8">
        <v>2915.5140000000001</v>
      </c>
      <c r="R1182" t="s">
        <v>47</v>
      </c>
      <c r="S1182" t="s">
        <v>49</v>
      </c>
      <c r="T1182" t="s">
        <v>2931</v>
      </c>
      <c r="U1182">
        <v>0</v>
      </c>
      <c r="V1182" t="str">
        <f>IF(CleanedTable[[#This Row],[Returned]] = 0,"NO","Yes")</f>
        <v>NO</v>
      </c>
      <c r="W1182" t="s">
        <v>1231</v>
      </c>
      <c r="X1182" t="s">
        <v>2653</v>
      </c>
      <c r="Y1182" s="10">
        <v>22.15</v>
      </c>
      <c r="Z1182" s="3">
        <v>45014</v>
      </c>
      <c r="AA1182" s="3">
        <v>45016</v>
      </c>
      <c r="AB1182" t="s">
        <v>2925</v>
      </c>
      <c r="AC1182">
        <v>2</v>
      </c>
    </row>
    <row r="1183" spans="1:29" x14ac:dyDescent="0.3">
      <c r="A1183" s="3">
        <v>45705</v>
      </c>
      <c r="B1183" s="3" t="str">
        <f>TEXT(CleanedTable[[#This Row],[OrderDate]],"mmm")</f>
        <v>Feb</v>
      </c>
      <c r="C1183" s="3" t="str">
        <f>TEXT(CleanedTable[[#This Row],[OrderDate]],"yyyy")</f>
        <v>2025</v>
      </c>
      <c r="D1183" s="3" t="str">
        <f>TEXT(CleanedTable[[#This Row],[OrderDate]],"mmm yyyy")</f>
        <v>Feb 2025</v>
      </c>
      <c r="E1183" t="s">
        <v>20</v>
      </c>
      <c r="F1183" t="s">
        <v>27</v>
      </c>
      <c r="G1183" s="12">
        <v>11</v>
      </c>
      <c r="H1183" s="8">
        <v>381.14</v>
      </c>
      <c r="I1183" t="s">
        <v>31</v>
      </c>
      <c r="J1183" t="s">
        <v>36</v>
      </c>
      <c r="K1183" s="10">
        <v>0.05</v>
      </c>
      <c r="L1183" t="s">
        <v>39</v>
      </c>
      <c r="M1183">
        <v>3982.9129999999996</v>
      </c>
      <c r="N1183">
        <v>2515.5239999999999</v>
      </c>
      <c r="O1183" s="10">
        <v>1434.5589999999997</v>
      </c>
      <c r="P1183" s="10">
        <v>0.36017834183171965</v>
      </c>
      <c r="Q1183" s="8">
        <v>3982.913</v>
      </c>
      <c r="R1183" t="s">
        <v>44</v>
      </c>
      <c r="S1183" t="s">
        <v>48</v>
      </c>
      <c r="T1183" t="s">
        <v>2931</v>
      </c>
      <c r="U1183">
        <v>0</v>
      </c>
      <c r="V1183" t="str">
        <f>IF(CleanedTable[[#This Row],[Returned]] = 0,"NO","Yes")</f>
        <v>NO</v>
      </c>
      <c r="W1183" t="s">
        <v>1232</v>
      </c>
      <c r="X1183" t="s">
        <v>2654</v>
      </c>
      <c r="Y1183" s="10">
        <v>32.83</v>
      </c>
      <c r="Z1183" s="3">
        <v>45705</v>
      </c>
      <c r="AA1183" s="3">
        <v>45715</v>
      </c>
      <c r="AB1183" t="s">
        <v>2923</v>
      </c>
      <c r="AC1183">
        <v>10</v>
      </c>
    </row>
    <row r="1184" spans="1:29" x14ac:dyDescent="0.3">
      <c r="A1184" s="3">
        <v>45298</v>
      </c>
      <c r="B1184" s="3" t="str">
        <f>TEXT(CleanedTable[[#This Row],[OrderDate]],"mmm")</f>
        <v>Jan</v>
      </c>
      <c r="C1184" s="3" t="str">
        <f>TEXT(CleanedTable[[#This Row],[OrderDate]],"yyyy")</f>
        <v>2024</v>
      </c>
      <c r="D1184" s="3" t="str">
        <f>TEXT(CleanedTable[[#This Row],[OrderDate]],"mmm yyyy")</f>
        <v>Jan 2024</v>
      </c>
      <c r="E1184" t="s">
        <v>21</v>
      </c>
      <c r="F1184" t="s">
        <v>27</v>
      </c>
      <c r="G1184" s="12">
        <v>5</v>
      </c>
      <c r="H1184" s="8">
        <v>454.62</v>
      </c>
      <c r="I1184" t="s">
        <v>33</v>
      </c>
      <c r="J1184" t="s">
        <v>35</v>
      </c>
      <c r="K1184" s="10">
        <v>0.05</v>
      </c>
      <c r="L1184" t="s">
        <v>41</v>
      </c>
      <c r="M1184">
        <v>2159.4449999999997</v>
      </c>
      <c r="N1184">
        <v>1363.86</v>
      </c>
      <c r="O1184" s="10">
        <v>785.39499999999975</v>
      </c>
      <c r="P1184" s="10">
        <v>0.36370224756824082</v>
      </c>
      <c r="Q1184" s="8">
        <v>2159.4450000000002</v>
      </c>
      <c r="R1184" t="s">
        <v>44</v>
      </c>
      <c r="T1184" t="s">
        <v>2932</v>
      </c>
      <c r="U1184">
        <v>0</v>
      </c>
      <c r="V1184" t="str">
        <f>IF(CleanedTable[[#This Row],[Returned]] = 0,"NO","Yes")</f>
        <v>NO</v>
      </c>
      <c r="W1184" t="s">
        <v>1233</v>
      </c>
      <c r="X1184" t="s">
        <v>2655</v>
      </c>
      <c r="Y1184" s="10">
        <v>10.19</v>
      </c>
      <c r="Z1184" s="3">
        <v>45298</v>
      </c>
      <c r="AA1184" s="3">
        <v>45306</v>
      </c>
      <c r="AB1184" t="s">
        <v>2924</v>
      </c>
      <c r="AC1184">
        <v>8</v>
      </c>
    </row>
    <row r="1185" spans="1:29" x14ac:dyDescent="0.3">
      <c r="A1185" s="3">
        <v>44940</v>
      </c>
      <c r="B1185" s="3" t="str">
        <f>TEXT(CleanedTable[[#This Row],[OrderDate]],"mmm")</f>
        <v>Jan</v>
      </c>
      <c r="C1185" s="3" t="str">
        <f>TEXT(CleanedTable[[#This Row],[OrderDate]],"yyyy")</f>
        <v>2023</v>
      </c>
      <c r="D1185" s="3" t="str">
        <f>TEXT(CleanedTable[[#This Row],[OrderDate]],"mmm yyyy")</f>
        <v>Jan 2023</v>
      </c>
      <c r="E1185" t="s">
        <v>19</v>
      </c>
      <c r="F1185" t="s">
        <v>25</v>
      </c>
      <c r="G1185" s="12">
        <v>17</v>
      </c>
      <c r="H1185" s="8">
        <v>226.56</v>
      </c>
      <c r="I1185" t="s">
        <v>32</v>
      </c>
      <c r="J1185" t="s">
        <v>35</v>
      </c>
      <c r="K1185" s="10">
        <v>0.1</v>
      </c>
      <c r="L1185" t="s">
        <v>41</v>
      </c>
      <c r="M1185">
        <v>3466.3679999999999</v>
      </c>
      <c r="N1185">
        <v>2310.9120000000003</v>
      </c>
      <c r="O1185" s="10">
        <v>1118.5659999999996</v>
      </c>
      <c r="P1185" s="10">
        <v>0.32269107030759564</v>
      </c>
      <c r="Q1185" s="8">
        <v>3466.3679999999999</v>
      </c>
      <c r="R1185" t="s">
        <v>44</v>
      </c>
      <c r="S1185" t="s">
        <v>50</v>
      </c>
      <c r="T1185" t="s">
        <v>2931</v>
      </c>
      <c r="U1185">
        <v>1</v>
      </c>
      <c r="V1185" t="str">
        <f>IF(CleanedTable[[#This Row],[Returned]] = 0,"NO","Yes")</f>
        <v>Yes</v>
      </c>
      <c r="W1185" t="s">
        <v>1234</v>
      </c>
      <c r="X1185" t="s">
        <v>2656</v>
      </c>
      <c r="Y1185" s="10">
        <v>36.89</v>
      </c>
      <c r="Z1185" s="3">
        <v>44940</v>
      </c>
      <c r="AA1185" s="3">
        <v>44946</v>
      </c>
      <c r="AB1185" t="s">
        <v>2922</v>
      </c>
      <c r="AC1185">
        <v>6</v>
      </c>
    </row>
    <row r="1186" spans="1:29" x14ac:dyDescent="0.3">
      <c r="A1186" s="3">
        <v>45294</v>
      </c>
      <c r="B1186" s="3" t="str">
        <f>TEXT(CleanedTable[[#This Row],[OrderDate]],"mmm")</f>
        <v>Jan</v>
      </c>
      <c r="C1186" s="3" t="str">
        <f>TEXT(CleanedTable[[#This Row],[OrderDate]],"yyyy")</f>
        <v>2024</v>
      </c>
      <c r="D1186" s="3" t="str">
        <f>TEXT(CleanedTable[[#This Row],[OrderDate]],"mmm yyyy")</f>
        <v>Jan 2024</v>
      </c>
      <c r="E1186" t="s">
        <v>23</v>
      </c>
      <c r="F1186" t="s">
        <v>24</v>
      </c>
      <c r="G1186" s="12">
        <v>2</v>
      </c>
      <c r="H1186" s="8">
        <v>132.91</v>
      </c>
      <c r="I1186" t="s">
        <v>32</v>
      </c>
      <c r="J1186" t="s">
        <v>35</v>
      </c>
      <c r="K1186" s="10">
        <v>0</v>
      </c>
      <c r="L1186" t="s">
        <v>42</v>
      </c>
      <c r="M1186">
        <v>265.82</v>
      </c>
      <c r="N1186">
        <v>159.49199999999999</v>
      </c>
      <c r="O1186" s="10">
        <v>98.567999999999998</v>
      </c>
      <c r="P1186" s="10">
        <v>0.3708073132194718</v>
      </c>
      <c r="Q1186" s="8">
        <v>265.82</v>
      </c>
      <c r="R1186" t="s">
        <v>46</v>
      </c>
      <c r="S1186" t="s">
        <v>50</v>
      </c>
      <c r="T1186" t="s">
        <v>2931</v>
      </c>
      <c r="U1186">
        <v>0</v>
      </c>
      <c r="V1186" t="str">
        <f>IF(CleanedTable[[#This Row],[Returned]] = 0,"NO","Yes")</f>
        <v>NO</v>
      </c>
      <c r="W1186" t="s">
        <v>1235</v>
      </c>
      <c r="X1186" t="s">
        <v>2657</v>
      </c>
      <c r="Y1186" s="10">
        <v>7.76</v>
      </c>
      <c r="Z1186" s="3">
        <v>45294</v>
      </c>
      <c r="AA1186" s="3">
        <v>45303</v>
      </c>
      <c r="AB1186" t="s">
        <v>2926</v>
      </c>
      <c r="AC1186">
        <v>9</v>
      </c>
    </row>
    <row r="1187" spans="1:29" x14ac:dyDescent="0.3">
      <c r="A1187" s="3">
        <v>45163</v>
      </c>
      <c r="B1187" s="3" t="str">
        <f>TEXT(CleanedTable[[#This Row],[OrderDate]],"mmm")</f>
        <v>Aug</v>
      </c>
      <c r="C1187" s="3" t="str">
        <f>TEXT(CleanedTable[[#This Row],[OrderDate]],"yyyy")</f>
        <v>2023</v>
      </c>
      <c r="D1187" s="3" t="str">
        <f>TEXT(CleanedTable[[#This Row],[OrderDate]],"mmm yyyy")</f>
        <v>Aug 2023</v>
      </c>
      <c r="E1187" t="s">
        <v>20</v>
      </c>
      <c r="F1187" t="s">
        <v>26</v>
      </c>
      <c r="G1187" s="12">
        <v>2</v>
      </c>
      <c r="H1187" s="8">
        <v>35.69</v>
      </c>
      <c r="I1187" t="s">
        <v>33</v>
      </c>
      <c r="J1187" t="s">
        <v>36</v>
      </c>
      <c r="K1187" s="10">
        <v>0</v>
      </c>
      <c r="L1187" t="s">
        <v>37</v>
      </c>
      <c r="M1187">
        <v>71.38</v>
      </c>
      <c r="N1187">
        <v>42.827999999999996</v>
      </c>
      <c r="O1187" s="10">
        <v>-11.338000000000001</v>
      </c>
      <c r="P1187" s="10">
        <v>-0.1588400112076212</v>
      </c>
      <c r="Q1187" s="8">
        <v>71.38</v>
      </c>
      <c r="R1187" t="s">
        <v>46</v>
      </c>
      <c r="S1187" t="s">
        <v>48</v>
      </c>
      <c r="T1187" t="s">
        <v>2931</v>
      </c>
      <c r="U1187">
        <v>0</v>
      </c>
      <c r="V1187" t="str">
        <f>IF(CleanedTable[[#This Row],[Returned]] = 0,"NO","Yes")</f>
        <v>NO</v>
      </c>
      <c r="W1187" t="s">
        <v>1236</v>
      </c>
      <c r="X1187" t="s">
        <v>2658</v>
      </c>
      <c r="Y1187" s="10">
        <v>39.89</v>
      </c>
      <c r="Z1187" s="3">
        <v>45163</v>
      </c>
      <c r="AA1187" s="3">
        <v>45166</v>
      </c>
      <c r="AB1187" t="s">
        <v>2923</v>
      </c>
      <c r="AC1187">
        <v>3</v>
      </c>
    </row>
    <row r="1188" spans="1:29" x14ac:dyDescent="0.3">
      <c r="A1188" s="3">
        <v>45793</v>
      </c>
      <c r="B1188" s="3" t="str">
        <f>TEXT(CleanedTable[[#This Row],[OrderDate]],"mmm")</f>
        <v>May</v>
      </c>
      <c r="C1188" s="3" t="str">
        <f>TEXT(CleanedTable[[#This Row],[OrderDate]],"yyyy")</f>
        <v>2025</v>
      </c>
      <c r="D1188" s="3" t="str">
        <f>TEXT(CleanedTable[[#This Row],[OrderDate]],"mmm yyyy")</f>
        <v>May 2025</v>
      </c>
      <c r="E1188" t="s">
        <v>21</v>
      </c>
      <c r="F1188" t="s">
        <v>26</v>
      </c>
      <c r="G1188" s="12">
        <v>6</v>
      </c>
      <c r="H1188" s="8">
        <v>451.93</v>
      </c>
      <c r="I1188" t="s">
        <v>32</v>
      </c>
      <c r="J1188" t="s">
        <v>35</v>
      </c>
      <c r="K1188" s="10">
        <v>0.15</v>
      </c>
      <c r="L1188" t="s">
        <v>37</v>
      </c>
      <c r="M1188">
        <v>2304.8429999999998</v>
      </c>
      <c r="N1188">
        <v>1626.9480000000001</v>
      </c>
      <c r="O1188" s="10">
        <v>628.52499999999975</v>
      </c>
      <c r="P1188" s="10">
        <v>0.27269753297730032</v>
      </c>
      <c r="Q1188" s="8">
        <v>2304.8429999999998</v>
      </c>
      <c r="R1188" t="s">
        <v>47</v>
      </c>
      <c r="S1188" t="s">
        <v>50</v>
      </c>
      <c r="T1188" t="s">
        <v>2931</v>
      </c>
      <c r="U1188">
        <v>1</v>
      </c>
      <c r="V1188" t="str">
        <f>IF(CleanedTable[[#This Row],[Returned]] = 0,"NO","Yes")</f>
        <v>Yes</v>
      </c>
      <c r="W1188" t="s">
        <v>1237</v>
      </c>
      <c r="X1188" t="s">
        <v>2659</v>
      </c>
      <c r="Y1188" s="10">
        <v>49.37</v>
      </c>
      <c r="Z1188" s="3">
        <v>45793</v>
      </c>
      <c r="AA1188" s="3">
        <v>45802</v>
      </c>
      <c r="AB1188" t="s">
        <v>2924</v>
      </c>
      <c r="AC1188">
        <v>9</v>
      </c>
    </row>
    <row r="1189" spans="1:29" x14ac:dyDescent="0.3">
      <c r="A1189" s="3">
        <v>45290</v>
      </c>
      <c r="B1189" s="3" t="str">
        <f>TEXT(CleanedTable[[#This Row],[OrderDate]],"mmm")</f>
        <v>Dec</v>
      </c>
      <c r="C1189" s="3" t="str">
        <f>TEXT(CleanedTable[[#This Row],[OrderDate]],"yyyy")</f>
        <v>2023</v>
      </c>
      <c r="D1189" s="3" t="str">
        <f>TEXT(CleanedTable[[#This Row],[OrderDate]],"mmm yyyy")</f>
        <v>Dec 2023</v>
      </c>
      <c r="E1189" t="s">
        <v>20</v>
      </c>
      <c r="F1189" t="s">
        <v>24</v>
      </c>
      <c r="G1189" s="12">
        <v>7</v>
      </c>
      <c r="H1189" s="8">
        <v>270.47000000000003</v>
      </c>
      <c r="I1189" t="s">
        <v>34</v>
      </c>
      <c r="J1189" t="s">
        <v>35</v>
      </c>
      <c r="K1189" s="10">
        <v>0.05</v>
      </c>
      <c r="L1189" t="s">
        <v>41</v>
      </c>
      <c r="M1189">
        <v>1798.6255000000001</v>
      </c>
      <c r="N1189">
        <v>1135.9740000000002</v>
      </c>
      <c r="O1189" s="10">
        <v>621.0915</v>
      </c>
      <c r="P1189" s="10">
        <v>0.34531451933712715</v>
      </c>
      <c r="Q1189" s="8">
        <v>1798.6255000000001</v>
      </c>
      <c r="R1189" t="s">
        <v>45</v>
      </c>
      <c r="S1189" t="s">
        <v>50</v>
      </c>
      <c r="T1189" t="s">
        <v>2931</v>
      </c>
      <c r="U1189">
        <v>1</v>
      </c>
      <c r="V1189" t="str">
        <f>IF(CleanedTable[[#This Row],[Returned]] = 0,"NO","Yes")</f>
        <v>Yes</v>
      </c>
      <c r="W1189" t="s">
        <v>1238</v>
      </c>
      <c r="X1189" t="s">
        <v>2660</v>
      </c>
      <c r="Y1189" s="10">
        <v>41.56</v>
      </c>
      <c r="Z1189" s="3">
        <v>45290</v>
      </c>
      <c r="AA1189" s="3">
        <v>45294</v>
      </c>
      <c r="AB1189" t="s">
        <v>2923</v>
      </c>
      <c r="AC1189">
        <v>4</v>
      </c>
    </row>
    <row r="1190" spans="1:29" x14ac:dyDescent="0.3">
      <c r="A1190" s="3">
        <v>45571</v>
      </c>
      <c r="B1190" s="3" t="str">
        <f>TEXT(CleanedTable[[#This Row],[OrderDate]],"mmm")</f>
        <v>Oct</v>
      </c>
      <c r="C1190" s="3" t="str">
        <f>TEXT(CleanedTable[[#This Row],[OrderDate]],"yyyy")</f>
        <v>2024</v>
      </c>
      <c r="D1190" s="3" t="str">
        <f>TEXT(CleanedTable[[#This Row],[OrderDate]],"mmm yyyy")</f>
        <v>Oct 2024</v>
      </c>
      <c r="E1190" t="s">
        <v>20</v>
      </c>
      <c r="F1190" t="s">
        <v>25</v>
      </c>
      <c r="G1190" s="12">
        <v>13</v>
      </c>
      <c r="H1190" s="8">
        <v>55.46</v>
      </c>
      <c r="I1190" t="s">
        <v>32</v>
      </c>
      <c r="J1190" t="s">
        <v>36</v>
      </c>
      <c r="K1190" s="10">
        <v>0.05</v>
      </c>
      <c r="L1190" t="s">
        <v>42</v>
      </c>
      <c r="M1190">
        <v>684.93100000000004</v>
      </c>
      <c r="N1190">
        <v>432.58799999999997</v>
      </c>
      <c r="O1190" s="10">
        <v>234.33300000000008</v>
      </c>
      <c r="P1190" s="10">
        <v>0.34212643317356067</v>
      </c>
      <c r="Q1190" s="8">
        <v>684.93100000000004</v>
      </c>
      <c r="R1190" t="s">
        <v>45</v>
      </c>
      <c r="S1190" t="s">
        <v>48</v>
      </c>
      <c r="T1190" t="s">
        <v>2931</v>
      </c>
      <c r="U1190">
        <v>1</v>
      </c>
      <c r="V1190" t="str">
        <f>IF(CleanedTable[[#This Row],[Returned]] = 0,"NO","Yes")</f>
        <v>Yes</v>
      </c>
      <c r="W1190" t="s">
        <v>1239</v>
      </c>
      <c r="X1190" t="s">
        <v>2661</v>
      </c>
      <c r="Y1190" s="10">
        <v>18.010000000000002</v>
      </c>
      <c r="Z1190" s="3">
        <v>45571</v>
      </c>
      <c r="AA1190" s="3">
        <v>45574</v>
      </c>
      <c r="AB1190" t="s">
        <v>2923</v>
      </c>
      <c r="AC1190">
        <v>3</v>
      </c>
    </row>
    <row r="1191" spans="1:29" x14ac:dyDescent="0.3">
      <c r="A1191" s="3">
        <v>44997</v>
      </c>
      <c r="B1191" s="3" t="str">
        <f>TEXT(CleanedTable[[#This Row],[OrderDate]],"mmm")</f>
        <v>Mar</v>
      </c>
      <c r="C1191" s="3" t="str">
        <f>TEXT(CleanedTable[[#This Row],[OrderDate]],"yyyy")</f>
        <v>2023</v>
      </c>
      <c r="D1191" s="3" t="str">
        <f>TEXT(CleanedTable[[#This Row],[OrderDate]],"mmm yyyy")</f>
        <v>Mar 2023</v>
      </c>
      <c r="E1191" t="s">
        <v>22</v>
      </c>
      <c r="F1191" t="s">
        <v>29</v>
      </c>
      <c r="G1191" s="12">
        <v>17</v>
      </c>
      <c r="H1191" s="8">
        <v>515.12</v>
      </c>
      <c r="I1191" t="s">
        <v>34</v>
      </c>
      <c r="J1191" t="s">
        <v>35</v>
      </c>
      <c r="K1191" s="10">
        <v>0.15</v>
      </c>
      <c r="L1191" t="s">
        <v>42</v>
      </c>
      <c r="M1191">
        <v>7443.4840000000004</v>
      </c>
      <c r="N1191">
        <v>5254.2240000000002</v>
      </c>
      <c r="O1191" s="10">
        <v>2156.5200000000004</v>
      </c>
      <c r="P1191" s="10">
        <v>0.28971916914176216</v>
      </c>
      <c r="Q1191" s="8">
        <v>7443.4840000000004</v>
      </c>
      <c r="R1191" t="s">
        <v>45</v>
      </c>
      <c r="S1191" t="s">
        <v>49</v>
      </c>
      <c r="T1191" t="s">
        <v>2931</v>
      </c>
      <c r="U1191">
        <v>1</v>
      </c>
      <c r="V1191" t="str">
        <f>IF(CleanedTable[[#This Row],[Returned]] = 0,"NO","Yes")</f>
        <v>Yes</v>
      </c>
      <c r="W1191" t="s">
        <v>1240</v>
      </c>
      <c r="X1191" t="s">
        <v>1638</v>
      </c>
      <c r="Y1191" s="10">
        <v>32.74</v>
      </c>
      <c r="Z1191" s="3">
        <v>44997</v>
      </c>
      <c r="AA1191" s="3">
        <v>45007</v>
      </c>
      <c r="AB1191" t="s">
        <v>2925</v>
      </c>
      <c r="AC1191">
        <v>10</v>
      </c>
    </row>
    <row r="1192" spans="1:29" x14ac:dyDescent="0.3">
      <c r="A1192" s="3">
        <v>45388</v>
      </c>
      <c r="B1192" s="3" t="str">
        <f>TEXT(CleanedTable[[#This Row],[OrderDate]],"mmm")</f>
        <v>Apr</v>
      </c>
      <c r="C1192" s="3" t="str">
        <f>TEXT(CleanedTable[[#This Row],[OrderDate]],"yyyy")</f>
        <v>2024</v>
      </c>
      <c r="D1192" s="3" t="str">
        <f>TEXT(CleanedTable[[#This Row],[OrderDate]],"mmm yyyy")</f>
        <v>Apr 2024</v>
      </c>
      <c r="E1192" t="s">
        <v>21</v>
      </c>
      <c r="F1192" t="s">
        <v>25</v>
      </c>
      <c r="G1192" s="12">
        <v>1</v>
      </c>
      <c r="H1192" s="8">
        <v>256.63</v>
      </c>
      <c r="I1192" t="s">
        <v>34</v>
      </c>
      <c r="J1192" t="s">
        <v>35</v>
      </c>
      <c r="K1192" s="10">
        <v>0</v>
      </c>
      <c r="L1192" t="s">
        <v>40</v>
      </c>
      <c r="M1192">
        <v>256.63</v>
      </c>
      <c r="N1192">
        <v>153.97799999999998</v>
      </c>
      <c r="O1192" s="10">
        <v>89.682000000000016</v>
      </c>
      <c r="P1192" s="10">
        <v>0.34946031251217713</v>
      </c>
      <c r="Q1192" s="8">
        <v>256.63</v>
      </c>
      <c r="R1192" t="s">
        <v>44</v>
      </c>
      <c r="S1192" t="s">
        <v>48</v>
      </c>
      <c r="T1192" t="s">
        <v>2931</v>
      </c>
      <c r="U1192">
        <v>0</v>
      </c>
      <c r="V1192" t="str">
        <f>IF(CleanedTable[[#This Row],[Returned]] = 0,"NO","Yes")</f>
        <v>NO</v>
      </c>
      <c r="W1192" t="s">
        <v>1241</v>
      </c>
      <c r="X1192" t="s">
        <v>2662</v>
      </c>
      <c r="Y1192" s="10">
        <v>12.97</v>
      </c>
      <c r="Z1192" s="3">
        <v>45388</v>
      </c>
      <c r="AA1192" s="3">
        <v>45390</v>
      </c>
      <c r="AB1192" t="s">
        <v>2924</v>
      </c>
      <c r="AC1192">
        <v>2</v>
      </c>
    </row>
    <row r="1193" spans="1:29" x14ac:dyDescent="0.3">
      <c r="A1193" s="3">
        <v>44946</v>
      </c>
      <c r="B1193" s="3" t="str">
        <f>TEXT(CleanedTable[[#This Row],[OrderDate]],"mmm")</f>
        <v>Jan</v>
      </c>
      <c r="C1193" s="3" t="str">
        <f>TEXT(CleanedTable[[#This Row],[OrderDate]],"yyyy")</f>
        <v>2023</v>
      </c>
      <c r="D1193" s="3" t="str">
        <f>TEXT(CleanedTable[[#This Row],[OrderDate]],"mmm yyyy")</f>
        <v>Jan 2023</v>
      </c>
      <c r="E1193" t="s">
        <v>21</v>
      </c>
      <c r="F1193" t="s">
        <v>29</v>
      </c>
      <c r="G1193" s="12">
        <v>4</v>
      </c>
      <c r="H1193" s="8">
        <v>423.99</v>
      </c>
      <c r="I1193" t="s">
        <v>31</v>
      </c>
      <c r="J1193" t="s">
        <v>36</v>
      </c>
      <c r="K1193" s="10">
        <v>0.05</v>
      </c>
      <c r="L1193" t="s">
        <v>39</v>
      </c>
      <c r="M1193">
        <v>1611.162</v>
      </c>
      <c r="N1193">
        <v>1017.576</v>
      </c>
      <c r="O1193" s="10">
        <v>573.53600000000006</v>
      </c>
      <c r="P1193" s="10">
        <v>0.35597661811785536</v>
      </c>
      <c r="Q1193" s="8">
        <v>1611.162</v>
      </c>
      <c r="R1193" t="s">
        <v>43</v>
      </c>
      <c r="S1193" t="s">
        <v>48</v>
      </c>
      <c r="T1193" t="s">
        <v>2931</v>
      </c>
      <c r="U1193">
        <v>0</v>
      </c>
      <c r="V1193" t="str">
        <f>IF(CleanedTable[[#This Row],[Returned]] = 0,"NO","Yes")</f>
        <v>NO</v>
      </c>
      <c r="W1193" t="s">
        <v>1242</v>
      </c>
      <c r="X1193" t="s">
        <v>2663</v>
      </c>
      <c r="Y1193" s="10">
        <v>20.05</v>
      </c>
      <c r="Z1193" s="3">
        <v>44946</v>
      </c>
      <c r="AA1193" s="3">
        <v>44951</v>
      </c>
      <c r="AB1193" t="s">
        <v>2924</v>
      </c>
      <c r="AC1193">
        <v>5</v>
      </c>
    </row>
    <row r="1194" spans="1:29" x14ac:dyDescent="0.3">
      <c r="A1194" s="3">
        <v>45481</v>
      </c>
      <c r="B1194" s="3" t="str">
        <f>TEXT(CleanedTable[[#This Row],[OrderDate]],"mmm")</f>
        <v>Jul</v>
      </c>
      <c r="C1194" s="3" t="str">
        <f>TEXT(CleanedTable[[#This Row],[OrderDate]],"yyyy")</f>
        <v>2024</v>
      </c>
      <c r="D1194" s="3" t="str">
        <f>TEXT(CleanedTable[[#This Row],[OrderDate]],"mmm yyyy")</f>
        <v>Jul 2024</v>
      </c>
      <c r="E1194" t="s">
        <v>23</v>
      </c>
      <c r="F1194" t="s">
        <v>24</v>
      </c>
      <c r="G1194" s="12">
        <v>15</v>
      </c>
      <c r="H1194" s="8">
        <v>77.89</v>
      </c>
      <c r="I1194" t="s">
        <v>31</v>
      </c>
      <c r="J1194" t="s">
        <v>35</v>
      </c>
      <c r="K1194" s="10">
        <v>0.05</v>
      </c>
      <c r="L1194" t="s">
        <v>41</v>
      </c>
      <c r="M1194">
        <v>1109.9324999999999</v>
      </c>
      <c r="N1194">
        <v>701.01</v>
      </c>
      <c r="O1194" s="10">
        <v>388.0524999999999</v>
      </c>
      <c r="P1194" s="10">
        <v>0.34961810740743238</v>
      </c>
      <c r="Q1194" s="8">
        <v>1109.9324999999999</v>
      </c>
      <c r="R1194" t="s">
        <v>45</v>
      </c>
      <c r="T1194" t="s">
        <v>2932</v>
      </c>
      <c r="U1194">
        <v>0</v>
      </c>
      <c r="V1194" t="str">
        <f>IF(CleanedTable[[#This Row],[Returned]] = 0,"NO","Yes")</f>
        <v>NO</v>
      </c>
      <c r="W1194" t="s">
        <v>1243</v>
      </c>
      <c r="X1194" t="s">
        <v>2664</v>
      </c>
      <c r="Y1194" s="10">
        <v>20.87</v>
      </c>
      <c r="Z1194" s="3">
        <v>45481</v>
      </c>
      <c r="AA1194" s="3">
        <v>45485</v>
      </c>
      <c r="AB1194" t="s">
        <v>2926</v>
      </c>
      <c r="AC1194">
        <v>4</v>
      </c>
    </row>
    <row r="1195" spans="1:29" x14ac:dyDescent="0.3">
      <c r="A1195" s="3">
        <v>45205</v>
      </c>
      <c r="B1195" s="3" t="str">
        <f>TEXT(CleanedTable[[#This Row],[OrderDate]],"mmm")</f>
        <v>Oct</v>
      </c>
      <c r="C1195" s="3" t="str">
        <f>TEXT(CleanedTable[[#This Row],[OrderDate]],"yyyy")</f>
        <v>2023</v>
      </c>
      <c r="D1195" s="3" t="str">
        <f>TEXT(CleanedTable[[#This Row],[OrderDate]],"mmm yyyy")</f>
        <v>Oct 2023</v>
      </c>
      <c r="E1195" t="s">
        <v>21</v>
      </c>
      <c r="F1195" t="s">
        <v>25</v>
      </c>
      <c r="G1195" s="12">
        <v>12</v>
      </c>
      <c r="H1195" s="8">
        <v>11.95</v>
      </c>
      <c r="I1195" t="s">
        <v>32</v>
      </c>
      <c r="J1195" t="s">
        <v>36</v>
      </c>
      <c r="K1195" s="10">
        <v>0.05</v>
      </c>
      <c r="L1195" t="s">
        <v>40</v>
      </c>
      <c r="M1195">
        <v>136.22999999999996</v>
      </c>
      <c r="N1195">
        <v>86.039999999999992</v>
      </c>
      <c r="O1195" s="10">
        <v>23.529999999999969</v>
      </c>
      <c r="P1195" s="10">
        <v>0.17272260148278629</v>
      </c>
      <c r="Q1195" s="8">
        <v>136.22999999999999</v>
      </c>
      <c r="R1195" t="s">
        <v>43</v>
      </c>
      <c r="T1195" t="s">
        <v>2932</v>
      </c>
      <c r="U1195">
        <v>0</v>
      </c>
      <c r="V1195" t="str">
        <f>IF(CleanedTable[[#This Row],[Returned]] = 0,"NO","Yes")</f>
        <v>NO</v>
      </c>
      <c r="W1195" t="s">
        <v>1244</v>
      </c>
      <c r="X1195" t="s">
        <v>2665</v>
      </c>
      <c r="Y1195" s="10">
        <v>26.66</v>
      </c>
      <c r="Z1195" s="3">
        <v>45205</v>
      </c>
      <c r="AA1195" s="3">
        <v>45215</v>
      </c>
      <c r="AB1195" t="s">
        <v>2924</v>
      </c>
      <c r="AC1195">
        <v>10</v>
      </c>
    </row>
    <row r="1196" spans="1:29" x14ac:dyDescent="0.3">
      <c r="A1196" s="3">
        <v>45180</v>
      </c>
      <c r="B1196" s="3" t="str">
        <f>TEXT(CleanedTable[[#This Row],[OrderDate]],"mmm")</f>
        <v>Sep</v>
      </c>
      <c r="C1196" s="3" t="str">
        <f>TEXT(CleanedTable[[#This Row],[OrderDate]],"yyyy")</f>
        <v>2023</v>
      </c>
      <c r="D1196" s="3" t="str">
        <f>TEXT(CleanedTable[[#This Row],[OrderDate]],"mmm yyyy")</f>
        <v>Sep 2023</v>
      </c>
      <c r="E1196" t="s">
        <v>19</v>
      </c>
      <c r="F1196" t="s">
        <v>26</v>
      </c>
      <c r="G1196" s="12">
        <v>7</v>
      </c>
      <c r="H1196" s="8">
        <v>67.05</v>
      </c>
      <c r="I1196" t="s">
        <v>34</v>
      </c>
      <c r="J1196" t="s">
        <v>35</v>
      </c>
      <c r="K1196" s="10">
        <v>0.1</v>
      </c>
      <c r="L1196" t="s">
        <v>40</v>
      </c>
      <c r="M1196">
        <v>422.41499999999996</v>
      </c>
      <c r="N1196">
        <v>281.60999999999996</v>
      </c>
      <c r="O1196" s="10">
        <v>104.13500000000001</v>
      </c>
      <c r="P1196" s="10">
        <v>0.24652296911804744</v>
      </c>
      <c r="Q1196" s="8">
        <v>422.41500000000002</v>
      </c>
      <c r="R1196" t="s">
        <v>47</v>
      </c>
      <c r="S1196" t="s">
        <v>48</v>
      </c>
      <c r="T1196" t="s">
        <v>2931</v>
      </c>
      <c r="U1196">
        <v>0</v>
      </c>
      <c r="V1196" t="str">
        <f>IF(CleanedTable[[#This Row],[Returned]] = 0,"NO","Yes")</f>
        <v>NO</v>
      </c>
      <c r="W1196" t="s">
        <v>1245</v>
      </c>
      <c r="X1196" t="s">
        <v>1658</v>
      </c>
      <c r="Y1196" s="10">
        <v>36.67</v>
      </c>
      <c r="Z1196" s="3">
        <v>45180</v>
      </c>
      <c r="AA1196" s="3">
        <v>45187</v>
      </c>
      <c r="AB1196" t="s">
        <v>2922</v>
      </c>
      <c r="AC1196">
        <v>7</v>
      </c>
    </row>
    <row r="1197" spans="1:29" x14ac:dyDescent="0.3">
      <c r="A1197" s="3">
        <v>45183</v>
      </c>
      <c r="B1197" s="3" t="str">
        <f>TEXT(CleanedTable[[#This Row],[OrderDate]],"mmm")</f>
        <v>Sep</v>
      </c>
      <c r="C1197" s="3" t="str">
        <f>TEXT(CleanedTable[[#This Row],[OrderDate]],"yyyy")</f>
        <v>2023</v>
      </c>
      <c r="D1197" s="3" t="str">
        <f>TEXT(CleanedTable[[#This Row],[OrderDate]],"mmm yyyy")</f>
        <v>Sep 2023</v>
      </c>
      <c r="E1197" t="s">
        <v>21</v>
      </c>
      <c r="F1197" t="s">
        <v>25</v>
      </c>
      <c r="G1197" s="12">
        <v>19</v>
      </c>
      <c r="H1197" s="8">
        <v>118.15</v>
      </c>
      <c r="I1197" t="s">
        <v>33</v>
      </c>
      <c r="J1197" t="s">
        <v>36</v>
      </c>
      <c r="K1197" s="10">
        <v>0.15</v>
      </c>
      <c r="L1197" t="s">
        <v>39</v>
      </c>
      <c r="M1197">
        <v>1908.1224999999999</v>
      </c>
      <c r="N1197">
        <v>1346.91</v>
      </c>
      <c r="O1197" s="10">
        <v>548.26249999999982</v>
      </c>
      <c r="P1197" s="10">
        <v>0.28733087105256599</v>
      </c>
      <c r="Q1197" s="8">
        <v>1908.1224999999999</v>
      </c>
      <c r="R1197" t="s">
        <v>47</v>
      </c>
      <c r="S1197" t="s">
        <v>49</v>
      </c>
      <c r="T1197" t="s">
        <v>2931</v>
      </c>
      <c r="U1197">
        <v>0</v>
      </c>
      <c r="V1197" t="str">
        <f>IF(CleanedTable[[#This Row],[Returned]] = 0,"NO","Yes")</f>
        <v>NO</v>
      </c>
      <c r="W1197" t="s">
        <v>1246</v>
      </c>
      <c r="X1197" t="s">
        <v>2666</v>
      </c>
      <c r="Y1197" s="10">
        <v>12.95</v>
      </c>
      <c r="Z1197" s="3">
        <v>45183</v>
      </c>
      <c r="AA1197" s="3">
        <v>45188</v>
      </c>
      <c r="AB1197" t="s">
        <v>2924</v>
      </c>
      <c r="AC1197">
        <v>5</v>
      </c>
    </row>
    <row r="1198" spans="1:29" x14ac:dyDescent="0.3">
      <c r="A1198" s="3">
        <v>45236</v>
      </c>
      <c r="B1198" s="3" t="str">
        <f>TEXT(CleanedTable[[#This Row],[OrderDate]],"mmm")</f>
        <v>Nov</v>
      </c>
      <c r="C1198" s="3" t="str">
        <f>TEXT(CleanedTable[[#This Row],[OrderDate]],"yyyy")</f>
        <v>2023</v>
      </c>
      <c r="D1198" s="3" t="str">
        <f>TEXT(CleanedTable[[#This Row],[OrderDate]],"mmm yyyy")</f>
        <v>Nov 2023</v>
      </c>
      <c r="E1198" t="s">
        <v>21</v>
      </c>
      <c r="F1198" t="s">
        <v>30</v>
      </c>
      <c r="G1198" s="12">
        <v>16</v>
      </c>
      <c r="H1198" s="8">
        <v>114.47</v>
      </c>
      <c r="I1198" t="s">
        <v>31</v>
      </c>
      <c r="J1198" t="s">
        <v>35</v>
      </c>
      <c r="K1198" s="10">
        <v>0.15</v>
      </c>
      <c r="L1198" t="s">
        <v>40</v>
      </c>
      <c r="M1198">
        <v>1556.7919999999999</v>
      </c>
      <c r="N1198">
        <v>1098.912</v>
      </c>
      <c r="O1198" s="10">
        <v>414.02999999999986</v>
      </c>
      <c r="P1198" s="10">
        <v>0.26595075000385399</v>
      </c>
      <c r="Q1198" s="8">
        <v>1556.7919999999999</v>
      </c>
      <c r="R1198" t="s">
        <v>43</v>
      </c>
      <c r="T1198" t="s">
        <v>2932</v>
      </c>
      <c r="U1198">
        <v>0</v>
      </c>
      <c r="V1198" t="str">
        <f>IF(CleanedTable[[#This Row],[Returned]] = 0,"NO","Yes")</f>
        <v>NO</v>
      </c>
      <c r="W1198" t="s">
        <v>1247</v>
      </c>
      <c r="X1198" t="s">
        <v>1760</v>
      </c>
      <c r="Y1198" s="10">
        <v>43.85</v>
      </c>
      <c r="Z1198" s="3">
        <v>45236</v>
      </c>
      <c r="AA1198" s="3">
        <v>45241</v>
      </c>
      <c r="AB1198" t="s">
        <v>2924</v>
      </c>
      <c r="AC1198">
        <v>5</v>
      </c>
    </row>
    <row r="1199" spans="1:29" x14ac:dyDescent="0.3">
      <c r="A1199" s="3">
        <v>45466</v>
      </c>
      <c r="B1199" s="3" t="str">
        <f>TEXT(CleanedTable[[#This Row],[OrderDate]],"mmm")</f>
        <v>Jun</v>
      </c>
      <c r="C1199" s="3" t="str">
        <f>TEXT(CleanedTable[[#This Row],[OrderDate]],"yyyy")</f>
        <v>2024</v>
      </c>
      <c r="D1199" s="3" t="str">
        <f>TEXT(CleanedTable[[#This Row],[OrderDate]],"mmm yyyy")</f>
        <v>Jun 2024</v>
      </c>
      <c r="E1199" t="s">
        <v>21</v>
      </c>
      <c r="F1199" t="s">
        <v>28</v>
      </c>
      <c r="G1199" s="12">
        <v>9</v>
      </c>
      <c r="H1199" s="8">
        <v>36.21</v>
      </c>
      <c r="I1199" t="s">
        <v>33</v>
      </c>
      <c r="J1199" t="s">
        <v>35</v>
      </c>
      <c r="K1199" s="10">
        <v>0.15</v>
      </c>
      <c r="L1199" t="s">
        <v>42</v>
      </c>
      <c r="M1199">
        <v>277.00649999999996</v>
      </c>
      <c r="N1199">
        <v>195.53399999999999</v>
      </c>
      <c r="O1199" s="10">
        <v>74.762499999999974</v>
      </c>
      <c r="P1199" s="10">
        <v>0.26989438875983052</v>
      </c>
      <c r="Q1199" s="8">
        <v>277.00650000000002</v>
      </c>
      <c r="R1199" t="s">
        <v>45</v>
      </c>
      <c r="S1199" t="s">
        <v>48</v>
      </c>
      <c r="T1199" t="s">
        <v>2931</v>
      </c>
      <c r="U1199">
        <v>0</v>
      </c>
      <c r="V1199" t="str">
        <f>IF(CleanedTable[[#This Row],[Returned]] = 0,"NO","Yes")</f>
        <v>NO</v>
      </c>
      <c r="W1199" t="s">
        <v>1248</v>
      </c>
      <c r="X1199" t="s">
        <v>2667</v>
      </c>
      <c r="Y1199" s="10">
        <v>6.71</v>
      </c>
      <c r="Z1199" s="3">
        <v>45466</v>
      </c>
      <c r="AA1199" s="3">
        <v>45473</v>
      </c>
      <c r="AB1199" t="s">
        <v>2924</v>
      </c>
      <c r="AC1199">
        <v>7</v>
      </c>
    </row>
    <row r="1200" spans="1:29" x14ac:dyDescent="0.3">
      <c r="A1200" s="3">
        <v>45015</v>
      </c>
      <c r="B1200" s="3" t="str">
        <f>TEXT(CleanedTable[[#This Row],[OrderDate]],"mmm")</f>
        <v>Mar</v>
      </c>
      <c r="C1200" s="3" t="str">
        <f>TEXT(CleanedTable[[#This Row],[OrderDate]],"yyyy")</f>
        <v>2023</v>
      </c>
      <c r="D1200" s="3" t="str">
        <f>TEXT(CleanedTable[[#This Row],[OrderDate]],"mmm yyyy")</f>
        <v>Mar 2023</v>
      </c>
      <c r="E1200" t="s">
        <v>23</v>
      </c>
      <c r="F1200" t="s">
        <v>30</v>
      </c>
      <c r="G1200" s="12">
        <v>10</v>
      </c>
      <c r="H1200" s="8">
        <v>52.58</v>
      </c>
      <c r="I1200" t="s">
        <v>31</v>
      </c>
      <c r="J1200" t="s">
        <v>35</v>
      </c>
      <c r="K1200" s="10">
        <v>0.1</v>
      </c>
      <c r="L1200" t="s">
        <v>37</v>
      </c>
      <c r="M1200">
        <v>473.21999999999997</v>
      </c>
      <c r="N1200">
        <v>315.47999999999996</v>
      </c>
      <c r="O1200" s="10">
        <v>143.73000000000002</v>
      </c>
      <c r="P1200" s="10">
        <v>0.30372765310003808</v>
      </c>
      <c r="Q1200" s="8">
        <v>473.22</v>
      </c>
      <c r="R1200" t="s">
        <v>47</v>
      </c>
      <c r="S1200" t="s">
        <v>50</v>
      </c>
      <c r="T1200" t="s">
        <v>2931</v>
      </c>
      <c r="U1200">
        <v>0</v>
      </c>
      <c r="V1200" t="str">
        <f>IF(CleanedTable[[#This Row],[Returned]] = 0,"NO","Yes")</f>
        <v>NO</v>
      </c>
      <c r="W1200" t="s">
        <v>1249</v>
      </c>
      <c r="X1200" t="s">
        <v>2668</v>
      </c>
      <c r="Y1200" s="10">
        <v>14.01</v>
      </c>
      <c r="Z1200" s="3">
        <v>45015</v>
      </c>
      <c r="AA1200" s="3">
        <v>45025</v>
      </c>
      <c r="AB1200" t="s">
        <v>2926</v>
      </c>
      <c r="AC1200">
        <v>10</v>
      </c>
    </row>
    <row r="1201" spans="1:29" x14ac:dyDescent="0.3">
      <c r="A1201" s="3">
        <v>45570</v>
      </c>
      <c r="B1201" s="3" t="str">
        <f>TEXT(CleanedTable[[#This Row],[OrderDate]],"mmm")</f>
        <v>Oct</v>
      </c>
      <c r="C1201" s="3" t="str">
        <f>TEXT(CleanedTable[[#This Row],[OrderDate]],"yyyy")</f>
        <v>2024</v>
      </c>
      <c r="D1201" s="3" t="str">
        <f>TEXT(CleanedTable[[#This Row],[OrderDate]],"mmm yyyy")</f>
        <v>Oct 2024</v>
      </c>
      <c r="E1201" t="s">
        <v>19</v>
      </c>
      <c r="F1201" t="s">
        <v>25</v>
      </c>
      <c r="G1201" s="12">
        <v>6</v>
      </c>
      <c r="H1201" s="8">
        <v>272.26</v>
      </c>
      <c r="I1201" t="s">
        <v>32</v>
      </c>
      <c r="J1201" t="s">
        <v>36</v>
      </c>
      <c r="K1201" s="10">
        <v>0.1</v>
      </c>
      <c r="L1201" t="s">
        <v>40</v>
      </c>
      <c r="M1201">
        <v>1470.204</v>
      </c>
      <c r="N1201">
        <v>980.13599999999997</v>
      </c>
      <c r="O1201" s="10">
        <v>446.39799999999997</v>
      </c>
      <c r="P1201" s="10">
        <v>0.30362997243919893</v>
      </c>
      <c r="Q1201" s="8">
        <v>1470.204</v>
      </c>
      <c r="R1201" t="s">
        <v>46</v>
      </c>
      <c r="S1201" t="s">
        <v>49</v>
      </c>
      <c r="T1201" t="s">
        <v>2931</v>
      </c>
      <c r="U1201">
        <v>0</v>
      </c>
      <c r="V1201" t="str">
        <f>IF(CleanedTable[[#This Row],[Returned]] = 0,"NO","Yes")</f>
        <v>NO</v>
      </c>
      <c r="W1201" t="s">
        <v>1250</v>
      </c>
      <c r="X1201" t="s">
        <v>2669</v>
      </c>
      <c r="Y1201" s="10">
        <v>43.67</v>
      </c>
      <c r="Z1201" s="3">
        <v>45570</v>
      </c>
      <c r="AA1201" s="3">
        <v>45580</v>
      </c>
      <c r="AB1201" t="s">
        <v>2922</v>
      </c>
      <c r="AC1201">
        <v>10</v>
      </c>
    </row>
    <row r="1202" spans="1:29" x14ac:dyDescent="0.3">
      <c r="A1202" s="3">
        <v>45004</v>
      </c>
      <c r="B1202" s="3" t="str">
        <f>TEXT(CleanedTable[[#This Row],[OrderDate]],"mmm")</f>
        <v>Mar</v>
      </c>
      <c r="C1202" s="3" t="str">
        <f>TEXT(CleanedTable[[#This Row],[OrderDate]],"yyyy")</f>
        <v>2023</v>
      </c>
      <c r="D1202" s="3" t="str">
        <f>TEXT(CleanedTable[[#This Row],[OrderDate]],"mmm yyyy")</f>
        <v>Mar 2023</v>
      </c>
      <c r="E1202" t="s">
        <v>22</v>
      </c>
      <c r="F1202" t="s">
        <v>27</v>
      </c>
      <c r="G1202" s="12">
        <v>10</v>
      </c>
      <c r="H1202" s="8">
        <v>124.97</v>
      </c>
      <c r="I1202" t="s">
        <v>34</v>
      </c>
      <c r="J1202" t="s">
        <v>36</v>
      </c>
      <c r="K1202" s="10">
        <v>0.15</v>
      </c>
      <c r="L1202" t="s">
        <v>37</v>
      </c>
      <c r="M1202">
        <v>1062.2450000000001</v>
      </c>
      <c r="N1202">
        <v>749.81999999999994</v>
      </c>
      <c r="O1202" s="10">
        <v>272.19500000000016</v>
      </c>
      <c r="P1202" s="10">
        <v>0.25624502821853729</v>
      </c>
      <c r="Q1202" s="8">
        <v>1062.2449999999999</v>
      </c>
      <c r="R1202" t="s">
        <v>44</v>
      </c>
      <c r="S1202" t="s">
        <v>50</v>
      </c>
      <c r="T1202" t="s">
        <v>2931</v>
      </c>
      <c r="U1202">
        <v>1</v>
      </c>
      <c r="V1202" t="str">
        <f>IF(CleanedTable[[#This Row],[Returned]] = 0,"NO","Yes")</f>
        <v>Yes</v>
      </c>
      <c r="W1202" t="s">
        <v>1251</v>
      </c>
      <c r="X1202" t="s">
        <v>2670</v>
      </c>
      <c r="Y1202" s="10">
        <v>40.229999999999997</v>
      </c>
      <c r="Z1202" s="3">
        <v>45004</v>
      </c>
      <c r="AA1202" s="3">
        <v>45014</v>
      </c>
      <c r="AB1202" t="s">
        <v>2925</v>
      </c>
      <c r="AC1202">
        <v>10</v>
      </c>
    </row>
    <row r="1203" spans="1:29" x14ac:dyDescent="0.3">
      <c r="A1203" s="3">
        <v>45733</v>
      </c>
      <c r="B1203" s="3" t="str">
        <f>TEXT(CleanedTable[[#This Row],[OrderDate]],"mmm")</f>
        <v>Mar</v>
      </c>
      <c r="C1203" s="3" t="str">
        <f>TEXT(CleanedTable[[#This Row],[OrderDate]],"yyyy")</f>
        <v>2025</v>
      </c>
      <c r="D1203" s="3" t="str">
        <f>TEXT(CleanedTable[[#This Row],[OrderDate]],"mmm yyyy")</f>
        <v>Mar 2025</v>
      </c>
      <c r="E1203" t="s">
        <v>21</v>
      </c>
      <c r="F1203" t="s">
        <v>25</v>
      </c>
      <c r="G1203" s="12">
        <v>9</v>
      </c>
      <c r="H1203" s="8">
        <v>228.62</v>
      </c>
      <c r="I1203" t="s">
        <v>33</v>
      </c>
      <c r="J1203" t="s">
        <v>36</v>
      </c>
      <c r="K1203" s="10">
        <v>0.05</v>
      </c>
      <c r="L1203" t="s">
        <v>37</v>
      </c>
      <c r="M1203">
        <v>1954.7009999999998</v>
      </c>
      <c r="N1203">
        <v>1234.548</v>
      </c>
      <c r="O1203" s="10">
        <v>688.72299999999984</v>
      </c>
      <c r="P1203" s="10">
        <v>0.35234186711931897</v>
      </c>
      <c r="Q1203" s="8">
        <v>1954.701</v>
      </c>
      <c r="R1203" t="s">
        <v>44</v>
      </c>
      <c r="S1203" t="s">
        <v>49</v>
      </c>
      <c r="T1203" t="s">
        <v>2931</v>
      </c>
      <c r="U1203">
        <v>0</v>
      </c>
      <c r="V1203" t="str">
        <f>IF(CleanedTable[[#This Row],[Returned]] = 0,"NO","Yes")</f>
        <v>NO</v>
      </c>
      <c r="W1203" t="s">
        <v>1252</v>
      </c>
      <c r="X1203" t="s">
        <v>2671</v>
      </c>
      <c r="Y1203" s="10">
        <v>31.43</v>
      </c>
      <c r="Z1203" s="3">
        <v>45733</v>
      </c>
      <c r="AA1203" s="3">
        <v>45737</v>
      </c>
      <c r="AB1203" t="s">
        <v>2924</v>
      </c>
      <c r="AC1203">
        <v>4</v>
      </c>
    </row>
    <row r="1204" spans="1:29" x14ac:dyDescent="0.3">
      <c r="A1204" s="3">
        <v>45644</v>
      </c>
      <c r="B1204" s="3" t="str">
        <f>TEXT(CleanedTable[[#This Row],[OrderDate]],"mmm")</f>
        <v>Dec</v>
      </c>
      <c r="C1204" s="3" t="str">
        <f>TEXT(CleanedTable[[#This Row],[OrderDate]],"yyyy")</f>
        <v>2024</v>
      </c>
      <c r="D1204" s="3" t="str">
        <f>TEXT(CleanedTable[[#This Row],[OrderDate]],"mmm yyyy")</f>
        <v>Dec 2024</v>
      </c>
      <c r="E1204" t="s">
        <v>22</v>
      </c>
      <c r="F1204" t="s">
        <v>24</v>
      </c>
      <c r="G1204" s="12">
        <v>20</v>
      </c>
      <c r="H1204" s="8">
        <v>282.91000000000003</v>
      </c>
      <c r="I1204" t="s">
        <v>32</v>
      </c>
      <c r="J1204" t="s">
        <v>35</v>
      </c>
      <c r="K1204" s="10">
        <v>0.15</v>
      </c>
      <c r="L1204" t="s">
        <v>39</v>
      </c>
      <c r="M1204">
        <v>4809.47</v>
      </c>
      <c r="N1204">
        <v>3394.92</v>
      </c>
      <c r="O1204" s="10">
        <v>1406.3600000000001</v>
      </c>
      <c r="P1204" s="10">
        <v>0.29241475671955541</v>
      </c>
      <c r="Q1204" s="8">
        <v>4809.47</v>
      </c>
      <c r="R1204" t="s">
        <v>46</v>
      </c>
      <c r="S1204" t="s">
        <v>48</v>
      </c>
      <c r="T1204" t="s">
        <v>2931</v>
      </c>
      <c r="U1204">
        <v>0</v>
      </c>
      <c r="V1204" t="str">
        <f>IF(CleanedTable[[#This Row],[Returned]] = 0,"NO","Yes")</f>
        <v>NO</v>
      </c>
      <c r="W1204" t="s">
        <v>1253</v>
      </c>
      <c r="X1204" t="s">
        <v>2672</v>
      </c>
      <c r="Y1204" s="10">
        <v>8.19</v>
      </c>
      <c r="Z1204" s="3">
        <v>45644</v>
      </c>
      <c r="AA1204" s="3">
        <v>45654</v>
      </c>
      <c r="AB1204" t="s">
        <v>2925</v>
      </c>
      <c r="AC1204">
        <v>10</v>
      </c>
    </row>
    <row r="1205" spans="1:29" x14ac:dyDescent="0.3">
      <c r="A1205" s="3">
        <v>45663</v>
      </c>
      <c r="B1205" s="3" t="str">
        <f>TEXT(CleanedTable[[#This Row],[OrderDate]],"mmm")</f>
        <v>Jan</v>
      </c>
      <c r="C1205" s="3" t="str">
        <f>TEXT(CleanedTable[[#This Row],[OrderDate]],"yyyy")</f>
        <v>2025</v>
      </c>
      <c r="D1205" s="3" t="str">
        <f>TEXT(CleanedTable[[#This Row],[OrderDate]],"mmm yyyy")</f>
        <v>Jan 2025</v>
      </c>
      <c r="E1205" t="s">
        <v>23</v>
      </c>
      <c r="F1205" t="s">
        <v>29</v>
      </c>
      <c r="G1205" s="12">
        <v>17</v>
      </c>
      <c r="H1205" s="8">
        <v>129.62</v>
      </c>
      <c r="I1205" t="s">
        <v>34</v>
      </c>
      <c r="J1205" t="s">
        <v>36</v>
      </c>
      <c r="K1205" s="10">
        <v>0.15</v>
      </c>
      <c r="L1205" t="s">
        <v>37</v>
      </c>
      <c r="M1205">
        <v>1873.009</v>
      </c>
      <c r="N1205">
        <v>1322.124</v>
      </c>
      <c r="O1205" s="10">
        <v>526.60500000000002</v>
      </c>
      <c r="P1205" s="10">
        <v>0.28115454864338613</v>
      </c>
      <c r="Q1205" s="8">
        <v>1873.009</v>
      </c>
      <c r="R1205" t="s">
        <v>43</v>
      </c>
      <c r="S1205" t="s">
        <v>48</v>
      </c>
      <c r="T1205" t="s">
        <v>2931</v>
      </c>
      <c r="U1205">
        <v>0</v>
      </c>
      <c r="V1205" t="str">
        <f>IF(CleanedTable[[#This Row],[Returned]] = 0,"NO","Yes")</f>
        <v>NO</v>
      </c>
      <c r="W1205" t="s">
        <v>1254</v>
      </c>
      <c r="X1205" t="s">
        <v>2673</v>
      </c>
      <c r="Y1205" s="10">
        <v>24.28</v>
      </c>
      <c r="Z1205" s="3">
        <v>45663</v>
      </c>
      <c r="AA1205" s="3">
        <v>45665</v>
      </c>
      <c r="AB1205" t="s">
        <v>2926</v>
      </c>
      <c r="AC1205">
        <v>2</v>
      </c>
    </row>
    <row r="1206" spans="1:29" x14ac:dyDescent="0.3">
      <c r="A1206" s="3">
        <v>45671</v>
      </c>
      <c r="B1206" s="3" t="str">
        <f>TEXT(CleanedTable[[#This Row],[OrderDate]],"mmm")</f>
        <v>Jan</v>
      </c>
      <c r="C1206" s="3" t="str">
        <f>TEXT(CleanedTable[[#This Row],[OrderDate]],"yyyy")</f>
        <v>2025</v>
      </c>
      <c r="D1206" s="3" t="str">
        <f>TEXT(CleanedTable[[#This Row],[OrderDate]],"mmm yyyy")</f>
        <v>Jan 2025</v>
      </c>
      <c r="E1206" t="s">
        <v>22</v>
      </c>
      <c r="F1206" t="s">
        <v>28</v>
      </c>
      <c r="G1206" s="12">
        <v>6</v>
      </c>
      <c r="H1206" s="8">
        <v>162.35</v>
      </c>
      <c r="I1206" t="s">
        <v>31</v>
      </c>
      <c r="J1206" t="s">
        <v>35</v>
      </c>
      <c r="K1206" s="10">
        <v>0.05</v>
      </c>
      <c r="L1206" t="s">
        <v>37</v>
      </c>
      <c r="M1206">
        <v>925.39499999999987</v>
      </c>
      <c r="N1206">
        <v>584.46</v>
      </c>
      <c r="O1206" s="10">
        <v>321.75499999999982</v>
      </c>
      <c r="P1206" s="10">
        <v>0.34769476818007433</v>
      </c>
      <c r="Q1206" s="8">
        <v>925.39499999999987</v>
      </c>
      <c r="R1206" t="s">
        <v>45</v>
      </c>
      <c r="S1206" t="s">
        <v>49</v>
      </c>
      <c r="T1206" t="s">
        <v>2931</v>
      </c>
      <c r="U1206">
        <v>1</v>
      </c>
      <c r="V1206" t="str">
        <f>IF(CleanedTable[[#This Row],[Returned]] = 0,"NO","Yes")</f>
        <v>Yes</v>
      </c>
      <c r="W1206" t="s">
        <v>1255</v>
      </c>
      <c r="X1206" t="s">
        <v>2674</v>
      </c>
      <c r="Y1206" s="10">
        <v>19.18</v>
      </c>
      <c r="Z1206" s="3">
        <v>45671</v>
      </c>
      <c r="AA1206" s="3">
        <v>45677</v>
      </c>
      <c r="AB1206" t="s">
        <v>2925</v>
      </c>
      <c r="AC1206">
        <v>6</v>
      </c>
    </row>
    <row r="1207" spans="1:29" x14ac:dyDescent="0.3">
      <c r="A1207" s="3">
        <v>44952</v>
      </c>
      <c r="B1207" s="3" t="str">
        <f>TEXT(CleanedTable[[#This Row],[OrderDate]],"mmm")</f>
        <v>Jan</v>
      </c>
      <c r="C1207" s="3" t="str">
        <f>TEXT(CleanedTable[[#This Row],[OrderDate]],"yyyy")</f>
        <v>2023</v>
      </c>
      <c r="D1207" s="3" t="str">
        <f>TEXT(CleanedTable[[#This Row],[OrderDate]],"mmm yyyy")</f>
        <v>Jan 2023</v>
      </c>
      <c r="E1207" t="s">
        <v>20</v>
      </c>
      <c r="F1207" t="s">
        <v>30</v>
      </c>
      <c r="G1207" s="12">
        <v>14</v>
      </c>
      <c r="H1207" s="8">
        <v>209.82</v>
      </c>
      <c r="I1207" t="s">
        <v>31</v>
      </c>
      <c r="J1207" t="s">
        <v>35</v>
      </c>
      <c r="K1207" s="10">
        <v>0</v>
      </c>
      <c r="L1207" t="s">
        <v>37</v>
      </c>
      <c r="M1207">
        <v>2937.48</v>
      </c>
      <c r="N1207">
        <v>1762.4879999999998</v>
      </c>
      <c r="O1207" s="10">
        <v>1138.8820000000003</v>
      </c>
      <c r="P1207" s="10">
        <v>0.38770715034655567</v>
      </c>
      <c r="Q1207" s="8">
        <v>2937.48</v>
      </c>
      <c r="R1207" t="s">
        <v>47</v>
      </c>
      <c r="S1207" t="s">
        <v>49</v>
      </c>
      <c r="T1207" t="s">
        <v>2931</v>
      </c>
      <c r="U1207">
        <v>0</v>
      </c>
      <c r="V1207" t="str">
        <f>IF(CleanedTable[[#This Row],[Returned]] = 0,"NO","Yes")</f>
        <v>NO</v>
      </c>
      <c r="W1207" t="s">
        <v>1256</v>
      </c>
      <c r="X1207" t="s">
        <v>2675</v>
      </c>
      <c r="Y1207" s="10">
        <v>36.11</v>
      </c>
      <c r="Z1207" s="3">
        <v>44952</v>
      </c>
      <c r="AA1207" s="3">
        <v>44956</v>
      </c>
      <c r="AB1207" t="s">
        <v>2923</v>
      </c>
      <c r="AC1207">
        <v>4</v>
      </c>
    </row>
    <row r="1208" spans="1:29" x14ac:dyDescent="0.3">
      <c r="A1208" s="3">
        <v>45508</v>
      </c>
      <c r="B1208" s="3" t="str">
        <f>TEXT(CleanedTable[[#This Row],[OrderDate]],"mmm")</f>
        <v>Aug</v>
      </c>
      <c r="C1208" s="3" t="str">
        <f>TEXT(CleanedTable[[#This Row],[OrderDate]],"yyyy")</f>
        <v>2024</v>
      </c>
      <c r="D1208" s="3" t="str">
        <f>TEXT(CleanedTable[[#This Row],[OrderDate]],"mmm yyyy")</f>
        <v>Aug 2024</v>
      </c>
      <c r="E1208" t="s">
        <v>21</v>
      </c>
      <c r="F1208" t="s">
        <v>24</v>
      </c>
      <c r="G1208" s="12">
        <v>16</v>
      </c>
      <c r="H1208" s="8">
        <v>293.44</v>
      </c>
      <c r="I1208" t="s">
        <v>34</v>
      </c>
      <c r="J1208" t="s">
        <v>35</v>
      </c>
      <c r="K1208" s="10">
        <v>0.05</v>
      </c>
      <c r="L1208" t="s">
        <v>41</v>
      </c>
      <c r="M1208">
        <v>4460.2879999999996</v>
      </c>
      <c r="N1208">
        <v>2817.0239999999999</v>
      </c>
      <c r="O1208" s="10">
        <v>1600.7039999999997</v>
      </c>
      <c r="P1208" s="10">
        <v>0.35887906789875451</v>
      </c>
      <c r="Q1208" s="8">
        <v>4460.2879999999996</v>
      </c>
      <c r="R1208" t="s">
        <v>44</v>
      </c>
      <c r="S1208" t="s">
        <v>49</v>
      </c>
      <c r="T1208" t="s">
        <v>2931</v>
      </c>
      <c r="U1208">
        <v>0</v>
      </c>
      <c r="V1208" t="str">
        <f>IF(CleanedTable[[#This Row],[Returned]] = 0,"NO","Yes")</f>
        <v>NO</v>
      </c>
      <c r="W1208" t="s">
        <v>1257</v>
      </c>
      <c r="X1208" t="s">
        <v>2676</v>
      </c>
      <c r="Y1208" s="10">
        <v>42.56</v>
      </c>
      <c r="Z1208" s="3">
        <v>45508</v>
      </c>
      <c r="AA1208" s="3">
        <v>45518</v>
      </c>
      <c r="AB1208" t="s">
        <v>2924</v>
      </c>
      <c r="AC1208">
        <v>10</v>
      </c>
    </row>
    <row r="1209" spans="1:29" x14ac:dyDescent="0.3">
      <c r="A1209" s="3">
        <v>45335</v>
      </c>
      <c r="B1209" s="3" t="str">
        <f>TEXT(CleanedTable[[#This Row],[OrderDate]],"mmm")</f>
        <v>Feb</v>
      </c>
      <c r="C1209" s="3" t="str">
        <f>TEXT(CleanedTable[[#This Row],[OrderDate]],"yyyy")</f>
        <v>2024</v>
      </c>
      <c r="D1209" s="3" t="str">
        <f>TEXT(CleanedTable[[#This Row],[OrderDate]],"mmm yyyy")</f>
        <v>Feb 2024</v>
      </c>
      <c r="E1209" t="s">
        <v>21</v>
      </c>
      <c r="F1209" t="s">
        <v>25</v>
      </c>
      <c r="G1209" s="12">
        <v>11</v>
      </c>
      <c r="H1209" s="8">
        <v>185.52</v>
      </c>
      <c r="I1209" t="s">
        <v>34</v>
      </c>
      <c r="J1209" t="s">
        <v>35</v>
      </c>
      <c r="K1209" s="10">
        <v>0.15</v>
      </c>
      <c r="L1209" t="s">
        <v>41</v>
      </c>
      <c r="M1209">
        <v>1734.6120000000001</v>
      </c>
      <c r="N1209">
        <v>1224.432</v>
      </c>
      <c r="O1209" s="10">
        <v>471.65000000000009</v>
      </c>
      <c r="P1209" s="10">
        <v>0.27190518686599657</v>
      </c>
      <c r="Q1209" s="8">
        <v>1734.6120000000001</v>
      </c>
      <c r="R1209" t="s">
        <v>45</v>
      </c>
      <c r="S1209" t="s">
        <v>50</v>
      </c>
      <c r="T1209" t="s">
        <v>2931</v>
      </c>
      <c r="U1209">
        <v>0</v>
      </c>
      <c r="V1209" t="str">
        <f>IF(CleanedTable[[#This Row],[Returned]] = 0,"NO","Yes")</f>
        <v>NO</v>
      </c>
      <c r="W1209" t="s">
        <v>1258</v>
      </c>
      <c r="X1209" t="s">
        <v>2677</v>
      </c>
      <c r="Y1209" s="10">
        <v>38.53</v>
      </c>
      <c r="Z1209" s="3">
        <v>45335</v>
      </c>
      <c r="AA1209" s="3">
        <v>45338</v>
      </c>
      <c r="AB1209" t="s">
        <v>2924</v>
      </c>
      <c r="AC1209">
        <v>3</v>
      </c>
    </row>
    <row r="1210" spans="1:29" x14ac:dyDescent="0.3">
      <c r="A1210" s="3">
        <v>44968</v>
      </c>
      <c r="B1210" s="3" t="str">
        <f>TEXT(CleanedTable[[#This Row],[OrderDate]],"mmm")</f>
        <v>Feb</v>
      </c>
      <c r="C1210" s="3" t="str">
        <f>TEXT(CleanedTable[[#This Row],[OrderDate]],"yyyy")</f>
        <v>2023</v>
      </c>
      <c r="D1210" s="3" t="str">
        <f>TEXT(CleanedTable[[#This Row],[OrderDate]],"mmm yyyy")</f>
        <v>Feb 2023</v>
      </c>
      <c r="E1210" t="s">
        <v>22</v>
      </c>
      <c r="F1210" t="s">
        <v>26</v>
      </c>
      <c r="G1210" s="12">
        <v>18</v>
      </c>
      <c r="H1210" s="8">
        <v>268.38</v>
      </c>
      <c r="I1210" t="s">
        <v>34</v>
      </c>
      <c r="J1210" t="s">
        <v>35</v>
      </c>
      <c r="K1210" s="10">
        <v>0.15</v>
      </c>
      <c r="L1210" t="s">
        <v>38</v>
      </c>
      <c r="M1210">
        <v>4106.2139999999999</v>
      </c>
      <c r="N1210">
        <v>2898.5039999999999</v>
      </c>
      <c r="O1210" s="10">
        <v>1159.33</v>
      </c>
      <c r="P1210" s="10">
        <v>0.28233550418950398</v>
      </c>
      <c r="Q1210" s="8">
        <v>4106.2139999999999</v>
      </c>
      <c r="R1210" t="s">
        <v>47</v>
      </c>
      <c r="S1210" t="s">
        <v>48</v>
      </c>
      <c r="T1210" t="s">
        <v>2931</v>
      </c>
      <c r="U1210">
        <v>0</v>
      </c>
      <c r="V1210" t="str">
        <f>IF(CleanedTable[[#This Row],[Returned]] = 0,"NO","Yes")</f>
        <v>NO</v>
      </c>
      <c r="W1210" t="s">
        <v>1259</v>
      </c>
      <c r="X1210" t="s">
        <v>2678</v>
      </c>
      <c r="Y1210" s="10">
        <v>48.38</v>
      </c>
      <c r="Z1210" s="3">
        <v>44968</v>
      </c>
      <c r="AA1210" s="3">
        <v>44971</v>
      </c>
      <c r="AB1210" t="s">
        <v>2925</v>
      </c>
      <c r="AC1210">
        <v>3</v>
      </c>
    </row>
    <row r="1211" spans="1:29" x14ac:dyDescent="0.3">
      <c r="A1211" s="3">
        <v>45460</v>
      </c>
      <c r="B1211" s="3" t="str">
        <f>TEXT(CleanedTable[[#This Row],[OrderDate]],"mmm")</f>
        <v>Jun</v>
      </c>
      <c r="C1211" s="3" t="str">
        <f>TEXT(CleanedTable[[#This Row],[OrderDate]],"yyyy")</f>
        <v>2024</v>
      </c>
      <c r="D1211" s="3" t="str">
        <f>TEXT(CleanedTable[[#This Row],[OrderDate]],"mmm yyyy")</f>
        <v>Jun 2024</v>
      </c>
      <c r="E1211" t="s">
        <v>19</v>
      </c>
      <c r="F1211" t="s">
        <v>30</v>
      </c>
      <c r="G1211" s="12">
        <v>18</v>
      </c>
      <c r="H1211" s="8">
        <v>547.04999999999995</v>
      </c>
      <c r="I1211" t="s">
        <v>33</v>
      </c>
      <c r="J1211" t="s">
        <v>35</v>
      </c>
      <c r="K1211" s="10">
        <v>0.1</v>
      </c>
      <c r="L1211" t="s">
        <v>40</v>
      </c>
      <c r="M1211">
        <v>8862.2099999999991</v>
      </c>
      <c r="N1211">
        <v>5908.1399999999994</v>
      </c>
      <c r="O1211" s="10">
        <v>2943.08</v>
      </c>
      <c r="P1211" s="10">
        <v>0.33209323633721161</v>
      </c>
      <c r="Q1211" s="8">
        <v>8862.2099999999991</v>
      </c>
      <c r="R1211" t="s">
        <v>47</v>
      </c>
      <c r="S1211" t="s">
        <v>48</v>
      </c>
      <c r="T1211" t="s">
        <v>2931</v>
      </c>
      <c r="U1211">
        <v>0</v>
      </c>
      <c r="V1211" t="str">
        <f>IF(CleanedTable[[#This Row],[Returned]] = 0,"NO","Yes")</f>
        <v>NO</v>
      </c>
      <c r="W1211" t="s">
        <v>1260</v>
      </c>
      <c r="X1211" t="s">
        <v>2679</v>
      </c>
      <c r="Y1211" s="10">
        <v>10.99</v>
      </c>
      <c r="Z1211" s="3">
        <v>45460</v>
      </c>
      <c r="AA1211" s="3">
        <v>45465</v>
      </c>
      <c r="AB1211" t="s">
        <v>2922</v>
      </c>
      <c r="AC1211">
        <v>5</v>
      </c>
    </row>
    <row r="1212" spans="1:29" x14ac:dyDescent="0.3">
      <c r="A1212" s="3">
        <v>45449</v>
      </c>
      <c r="B1212" s="3" t="str">
        <f>TEXT(CleanedTable[[#This Row],[OrderDate]],"mmm")</f>
        <v>Jun</v>
      </c>
      <c r="C1212" s="3" t="str">
        <f>TEXT(CleanedTable[[#This Row],[OrderDate]],"yyyy")</f>
        <v>2024</v>
      </c>
      <c r="D1212" s="3" t="str">
        <f>TEXT(CleanedTable[[#This Row],[OrderDate]],"mmm yyyy")</f>
        <v>Jun 2024</v>
      </c>
      <c r="E1212" t="s">
        <v>20</v>
      </c>
      <c r="F1212" t="s">
        <v>24</v>
      </c>
      <c r="G1212" s="12">
        <v>1</v>
      </c>
      <c r="H1212" s="8">
        <v>354.21</v>
      </c>
      <c r="I1212" t="s">
        <v>32</v>
      </c>
      <c r="J1212" t="s">
        <v>35</v>
      </c>
      <c r="K1212" s="10">
        <v>0.15</v>
      </c>
      <c r="L1212" t="s">
        <v>40</v>
      </c>
      <c r="M1212">
        <v>301.07849999999996</v>
      </c>
      <c r="N1212">
        <v>212.52599999999998</v>
      </c>
      <c r="O1212" s="10">
        <v>62.392499999999984</v>
      </c>
      <c r="P1212" s="10">
        <v>0.20723000812080566</v>
      </c>
      <c r="Q1212" s="8">
        <v>301.07850000000002</v>
      </c>
      <c r="R1212" t="s">
        <v>43</v>
      </c>
      <c r="T1212" t="s">
        <v>2932</v>
      </c>
      <c r="U1212">
        <v>0</v>
      </c>
      <c r="V1212" t="str">
        <f>IF(CleanedTable[[#This Row],[Returned]] = 0,"NO","Yes")</f>
        <v>NO</v>
      </c>
      <c r="W1212" t="s">
        <v>1261</v>
      </c>
      <c r="X1212" t="s">
        <v>2680</v>
      </c>
      <c r="Y1212" s="10">
        <v>26.16</v>
      </c>
      <c r="Z1212" s="3">
        <v>45449</v>
      </c>
      <c r="AA1212" s="3">
        <v>45455</v>
      </c>
      <c r="AB1212" t="s">
        <v>2923</v>
      </c>
      <c r="AC1212">
        <v>6</v>
      </c>
    </row>
    <row r="1213" spans="1:29" x14ac:dyDescent="0.3">
      <c r="A1213" s="3">
        <v>45256</v>
      </c>
      <c r="B1213" s="3" t="str">
        <f>TEXT(CleanedTable[[#This Row],[OrderDate]],"mmm")</f>
        <v>Nov</v>
      </c>
      <c r="C1213" s="3" t="str">
        <f>TEXT(CleanedTable[[#This Row],[OrderDate]],"yyyy")</f>
        <v>2023</v>
      </c>
      <c r="D1213" s="3" t="str">
        <f>TEXT(CleanedTable[[#This Row],[OrderDate]],"mmm yyyy")</f>
        <v>Nov 2023</v>
      </c>
      <c r="E1213" t="s">
        <v>20</v>
      </c>
      <c r="F1213" t="s">
        <v>27</v>
      </c>
      <c r="G1213" s="12">
        <v>18</v>
      </c>
      <c r="H1213" s="8">
        <v>250.93</v>
      </c>
      <c r="I1213" t="s">
        <v>33</v>
      </c>
      <c r="J1213" t="s">
        <v>35</v>
      </c>
      <c r="K1213" s="10">
        <v>0.05</v>
      </c>
      <c r="L1213" t="s">
        <v>42</v>
      </c>
      <c r="M1213">
        <v>4290.9029999999993</v>
      </c>
      <c r="N1213">
        <v>2710.0439999999999</v>
      </c>
      <c r="O1213" s="10">
        <v>1533.1889999999994</v>
      </c>
      <c r="P1213" s="10">
        <v>0.35731150296336217</v>
      </c>
      <c r="Q1213" s="8">
        <v>4290.9029999999993</v>
      </c>
      <c r="R1213" t="s">
        <v>44</v>
      </c>
      <c r="T1213" t="s">
        <v>2932</v>
      </c>
      <c r="U1213">
        <v>0</v>
      </c>
      <c r="V1213" t="str">
        <f>IF(CleanedTable[[#This Row],[Returned]] = 0,"NO","Yes")</f>
        <v>NO</v>
      </c>
      <c r="W1213" t="s">
        <v>1262</v>
      </c>
      <c r="X1213" t="s">
        <v>2681</v>
      </c>
      <c r="Y1213" s="10">
        <v>47.67</v>
      </c>
      <c r="Z1213" s="3">
        <v>45256</v>
      </c>
      <c r="AA1213" s="3">
        <v>45262</v>
      </c>
      <c r="AB1213" t="s">
        <v>2923</v>
      </c>
      <c r="AC1213">
        <v>6</v>
      </c>
    </row>
    <row r="1214" spans="1:29" x14ac:dyDescent="0.3">
      <c r="A1214" s="3">
        <v>45389</v>
      </c>
      <c r="B1214" s="3" t="str">
        <f>TEXT(CleanedTable[[#This Row],[OrderDate]],"mmm")</f>
        <v>Apr</v>
      </c>
      <c r="C1214" s="3" t="str">
        <f>TEXT(CleanedTable[[#This Row],[OrderDate]],"yyyy")</f>
        <v>2024</v>
      </c>
      <c r="D1214" s="3" t="str">
        <f>TEXT(CleanedTable[[#This Row],[OrderDate]],"mmm yyyy")</f>
        <v>Apr 2024</v>
      </c>
      <c r="E1214" t="s">
        <v>23</v>
      </c>
      <c r="F1214" t="s">
        <v>30</v>
      </c>
      <c r="G1214" s="12">
        <v>18</v>
      </c>
      <c r="H1214" s="8">
        <v>587.25</v>
      </c>
      <c r="I1214" t="s">
        <v>33</v>
      </c>
      <c r="J1214" t="s">
        <v>35</v>
      </c>
      <c r="K1214" s="10">
        <v>0.15</v>
      </c>
      <c r="L1214" t="s">
        <v>40</v>
      </c>
      <c r="M1214">
        <v>8984.9249999999993</v>
      </c>
      <c r="N1214">
        <v>6342.2999999999993</v>
      </c>
      <c r="O1214" s="10">
        <v>2600.4749999999999</v>
      </c>
      <c r="P1214" s="10">
        <v>0.28942645598043393</v>
      </c>
      <c r="Q1214" s="8">
        <v>8984.9249999999993</v>
      </c>
      <c r="R1214" t="s">
        <v>43</v>
      </c>
      <c r="T1214" t="s">
        <v>2932</v>
      </c>
      <c r="U1214">
        <v>0</v>
      </c>
      <c r="V1214" t="str">
        <f>IF(CleanedTable[[#This Row],[Returned]] = 0,"NO","Yes")</f>
        <v>NO</v>
      </c>
      <c r="W1214" t="s">
        <v>1263</v>
      </c>
      <c r="X1214" t="s">
        <v>2682</v>
      </c>
      <c r="Y1214" s="10">
        <v>42.15</v>
      </c>
      <c r="Z1214" s="3">
        <v>45389</v>
      </c>
      <c r="AA1214" s="3">
        <v>45391</v>
      </c>
      <c r="AB1214" t="s">
        <v>2926</v>
      </c>
      <c r="AC1214">
        <v>2</v>
      </c>
    </row>
    <row r="1215" spans="1:29" x14ac:dyDescent="0.3">
      <c r="A1215" s="3">
        <v>44960</v>
      </c>
      <c r="B1215" s="3" t="str">
        <f>TEXT(CleanedTable[[#This Row],[OrderDate]],"mmm")</f>
        <v>Feb</v>
      </c>
      <c r="C1215" s="3" t="str">
        <f>TEXT(CleanedTable[[#This Row],[OrderDate]],"yyyy")</f>
        <v>2023</v>
      </c>
      <c r="D1215" s="3" t="str">
        <f>TEXT(CleanedTable[[#This Row],[OrderDate]],"mmm yyyy")</f>
        <v>Feb 2023</v>
      </c>
      <c r="E1215" t="s">
        <v>23</v>
      </c>
      <c r="F1215" t="s">
        <v>26</v>
      </c>
      <c r="G1215" s="12">
        <v>2</v>
      </c>
      <c r="H1215" s="8">
        <v>438.06</v>
      </c>
      <c r="I1215" t="s">
        <v>31</v>
      </c>
      <c r="J1215" t="s">
        <v>36</v>
      </c>
      <c r="K1215" s="10">
        <v>0</v>
      </c>
      <c r="L1215" t="s">
        <v>39</v>
      </c>
      <c r="M1215">
        <v>876.12</v>
      </c>
      <c r="N1215">
        <v>525.67200000000003</v>
      </c>
      <c r="O1215" s="10">
        <v>337.548</v>
      </c>
      <c r="P1215" s="10">
        <v>0.38527598959046705</v>
      </c>
      <c r="Q1215" s="8">
        <v>876.12</v>
      </c>
      <c r="R1215" t="s">
        <v>43</v>
      </c>
      <c r="S1215" t="s">
        <v>48</v>
      </c>
      <c r="T1215" t="s">
        <v>2931</v>
      </c>
      <c r="U1215">
        <v>1</v>
      </c>
      <c r="V1215" t="str">
        <f>IF(CleanedTable[[#This Row],[Returned]] = 0,"NO","Yes")</f>
        <v>Yes</v>
      </c>
      <c r="W1215" t="s">
        <v>1264</v>
      </c>
      <c r="X1215" t="s">
        <v>2683</v>
      </c>
      <c r="Y1215" s="10">
        <v>12.9</v>
      </c>
      <c r="Z1215" s="3">
        <v>44960</v>
      </c>
      <c r="AA1215" s="3">
        <v>44966</v>
      </c>
      <c r="AB1215" t="s">
        <v>2926</v>
      </c>
      <c r="AC1215">
        <v>6</v>
      </c>
    </row>
    <row r="1216" spans="1:29" x14ac:dyDescent="0.3">
      <c r="A1216" s="3">
        <v>45621</v>
      </c>
      <c r="B1216" s="3" t="str">
        <f>TEXT(CleanedTable[[#This Row],[OrderDate]],"mmm")</f>
        <v>Nov</v>
      </c>
      <c r="C1216" s="3" t="str">
        <f>TEXT(CleanedTable[[#This Row],[OrderDate]],"yyyy")</f>
        <v>2024</v>
      </c>
      <c r="D1216" s="3" t="str">
        <f>TEXT(CleanedTable[[#This Row],[OrderDate]],"mmm yyyy")</f>
        <v>Nov 2024</v>
      </c>
      <c r="E1216" t="s">
        <v>19</v>
      </c>
      <c r="F1216" t="s">
        <v>27</v>
      </c>
      <c r="G1216" s="12">
        <v>14</v>
      </c>
      <c r="H1216" s="8">
        <v>6.1</v>
      </c>
      <c r="I1216" t="s">
        <v>33</v>
      </c>
      <c r="J1216" t="s">
        <v>35</v>
      </c>
      <c r="K1216" s="10">
        <v>0.15</v>
      </c>
      <c r="L1216" t="s">
        <v>40</v>
      </c>
      <c r="M1216">
        <v>72.589999999999989</v>
      </c>
      <c r="N1216">
        <v>51.239999999999995</v>
      </c>
      <c r="O1216" s="10">
        <v>11.169999999999995</v>
      </c>
      <c r="P1216" s="10">
        <v>0.15387794462047108</v>
      </c>
      <c r="Q1216" s="8">
        <v>72.589999999999989</v>
      </c>
      <c r="R1216" t="s">
        <v>43</v>
      </c>
      <c r="S1216" t="s">
        <v>48</v>
      </c>
      <c r="T1216" t="s">
        <v>2931</v>
      </c>
      <c r="U1216">
        <v>1</v>
      </c>
      <c r="V1216" t="str">
        <f>IF(CleanedTable[[#This Row],[Returned]] = 0,"NO","Yes")</f>
        <v>Yes</v>
      </c>
      <c r="W1216" t="s">
        <v>1265</v>
      </c>
      <c r="X1216" t="s">
        <v>2684</v>
      </c>
      <c r="Y1216" s="10">
        <v>10.18</v>
      </c>
      <c r="Z1216" s="3">
        <v>45621</v>
      </c>
      <c r="AA1216" s="3">
        <v>45626</v>
      </c>
      <c r="AB1216" t="s">
        <v>2922</v>
      </c>
      <c r="AC1216">
        <v>5</v>
      </c>
    </row>
    <row r="1217" spans="1:29" x14ac:dyDescent="0.3">
      <c r="A1217" s="3">
        <v>45473</v>
      </c>
      <c r="B1217" s="3" t="str">
        <f>TEXT(CleanedTable[[#This Row],[OrderDate]],"mmm")</f>
        <v>Jun</v>
      </c>
      <c r="C1217" s="3" t="str">
        <f>TEXT(CleanedTable[[#This Row],[OrderDate]],"yyyy")</f>
        <v>2024</v>
      </c>
      <c r="D1217" s="3" t="str">
        <f>TEXT(CleanedTable[[#This Row],[OrderDate]],"mmm yyyy")</f>
        <v>Jun 2024</v>
      </c>
      <c r="E1217" t="s">
        <v>21</v>
      </c>
      <c r="F1217" t="s">
        <v>24</v>
      </c>
      <c r="G1217" s="12">
        <v>2</v>
      </c>
      <c r="H1217" s="8">
        <v>80.14</v>
      </c>
      <c r="I1217" t="s">
        <v>34</v>
      </c>
      <c r="J1217" t="s">
        <v>35</v>
      </c>
      <c r="K1217" s="10">
        <v>0</v>
      </c>
      <c r="L1217" t="s">
        <v>40</v>
      </c>
      <c r="M1217">
        <v>160.28</v>
      </c>
      <c r="N1217">
        <v>96.167999999999992</v>
      </c>
      <c r="O1217" s="10">
        <v>50.702000000000012</v>
      </c>
      <c r="P1217" s="10">
        <v>0.31633391564761676</v>
      </c>
      <c r="Q1217" s="8">
        <v>160.28</v>
      </c>
      <c r="R1217" t="s">
        <v>43</v>
      </c>
      <c r="S1217" t="s">
        <v>48</v>
      </c>
      <c r="T1217" t="s">
        <v>2931</v>
      </c>
      <c r="U1217">
        <v>1</v>
      </c>
      <c r="V1217" t="str">
        <f>IF(CleanedTable[[#This Row],[Returned]] = 0,"NO","Yes")</f>
        <v>Yes</v>
      </c>
      <c r="W1217" t="s">
        <v>1266</v>
      </c>
      <c r="X1217" t="s">
        <v>2685</v>
      </c>
      <c r="Y1217" s="10">
        <v>13.41</v>
      </c>
      <c r="Z1217" s="3">
        <v>45473</v>
      </c>
      <c r="AA1217" s="3">
        <v>45476</v>
      </c>
      <c r="AB1217" t="s">
        <v>2924</v>
      </c>
      <c r="AC1217">
        <v>3</v>
      </c>
    </row>
    <row r="1218" spans="1:29" x14ac:dyDescent="0.3">
      <c r="A1218" s="3">
        <v>45140</v>
      </c>
      <c r="B1218" s="3" t="str">
        <f>TEXT(CleanedTable[[#This Row],[OrderDate]],"mmm")</f>
        <v>Aug</v>
      </c>
      <c r="C1218" s="3" t="str">
        <f>TEXT(CleanedTable[[#This Row],[OrderDate]],"yyyy")</f>
        <v>2023</v>
      </c>
      <c r="D1218" s="3" t="str">
        <f>TEXT(CleanedTable[[#This Row],[OrderDate]],"mmm yyyy")</f>
        <v>Aug 2023</v>
      </c>
      <c r="E1218" t="s">
        <v>20</v>
      </c>
      <c r="F1218" t="s">
        <v>24</v>
      </c>
      <c r="G1218" s="12">
        <v>11</v>
      </c>
      <c r="H1218" s="8">
        <v>66.97</v>
      </c>
      <c r="I1218" t="s">
        <v>32</v>
      </c>
      <c r="J1218" t="s">
        <v>36</v>
      </c>
      <c r="K1218" s="10">
        <v>0.15</v>
      </c>
      <c r="L1218" t="s">
        <v>42</v>
      </c>
      <c r="M1218">
        <v>626.16949999999997</v>
      </c>
      <c r="N1218">
        <v>442.00199999999995</v>
      </c>
      <c r="O1218" s="10">
        <v>163.81750000000002</v>
      </c>
      <c r="P1218" s="10">
        <v>0.26161845953851159</v>
      </c>
      <c r="Q1218" s="8">
        <v>626.16949999999997</v>
      </c>
      <c r="R1218" t="s">
        <v>44</v>
      </c>
      <c r="S1218" t="s">
        <v>48</v>
      </c>
      <c r="T1218" t="s">
        <v>2931</v>
      </c>
      <c r="U1218">
        <v>1</v>
      </c>
      <c r="V1218" t="str">
        <f>IF(CleanedTable[[#This Row],[Returned]] = 0,"NO","Yes")</f>
        <v>Yes</v>
      </c>
      <c r="W1218" t="s">
        <v>1267</v>
      </c>
      <c r="X1218" t="s">
        <v>2686</v>
      </c>
      <c r="Y1218" s="10">
        <v>20.350000000000001</v>
      </c>
      <c r="Z1218" s="3">
        <v>45140</v>
      </c>
      <c r="AA1218" s="3">
        <v>45149</v>
      </c>
      <c r="AB1218" t="s">
        <v>2923</v>
      </c>
      <c r="AC1218">
        <v>9</v>
      </c>
    </row>
    <row r="1219" spans="1:29" x14ac:dyDescent="0.3">
      <c r="A1219" s="3">
        <v>45344</v>
      </c>
      <c r="B1219" s="3" t="str">
        <f>TEXT(CleanedTable[[#This Row],[OrderDate]],"mmm")</f>
        <v>Feb</v>
      </c>
      <c r="C1219" s="3" t="str">
        <f>TEXT(CleanedTable[[#This Row],[OrderDate]],"yyyy")</f>
        <v>2024</v>
      </c>
      <c r="D1219" s="3" t="str">
        <f>TEXT(CleanedTable[[#This Row],[OrderDate]],"mmm yyyy")</f>
        <v>Feb 2024</v>
      </c>
      <c r="E1219" t="s">
        <v>20</v>
      </c>
      <c r="F1219" t="s">
        <v>27</v>
      </c>
      <c r="G1219" s="12">
        <v>6</v>
      </c>
      <c r="H1219" s="8">
        <v>181.34</v>
      </c>
      <c r="I1219" t="s">
        <v>32</v>
      </c>
      <c r="J1219" t="s">
        <v>35</v>
      </c>
      <c r="K1219" s="10">
        <v>0</v>
      </c>
      <c r="L1219" t="s">
        <v>38</v>
      </c>
      <c r="M1219">
        <v>1088.04</v>
      </c>
      <c r="N1219">
        <v>652.82400000000007</v>
      </c>
      <c r="O1219" s="10">
        <v>407.56599999999992</v>
      </c>
      <c r="P1219" s="10">
        <v>0.37458733134811212</v>
      </c>
      <c r="Q1219" s="8">
        <v>1088.04</v>
      </c>
      <c r="R1219" t="s">
        <v>47</v>
      </c>
      <c r="S1219" t="s">
        <v>48</v>
      </c>
      <c r="T1219" t="s">
        <v>2931</v>
      </c>
      <c r="U1219">
        <v>0</v>
      </c>
      <c r="V1219" t="str">
        <f>IF(CleanedTable[[#This Row],[Returned]] = 0,"NO","Yes")</f>
        <v>NO</v>
      </c>
      <c r="W1219" t="s">
        <v>1268</v>
      </c>
      <c r="X1219" t="s">
        <v>2687</v>
      </c>
      <c r="Y1219" s="10">
        <v>27.65</v>
      </c>
      <c r="Z1219" s="3">
        <v>45344</v>
      </c>
      <c r="AA1219" s="3">
        <v>45349</v>
      </c>
      <c r="AB1219" t="s">
        <v>2923</v>
      </c>
      <c r="AC1219">
        <v>5</v>
      </c>
    </row>
    <row r="1220" spans="1:29" x14ac:dyDescent="0.3">
      <c r="A1220" s="3">
        <v>45625</v>
      </c>
      <c r="B1220" s="3" t="str">
        <f>TEXT(CleanedTable[[#This Row],[OrderDate]],"mmm")</f>
        <v>Nov</v>
      </c>
      <c r="C1220" s="3" t="str">
        <f>TEXT(CleanedTable[[#This Row],[OrderDate]],"yyyy")</f>
        <v>2024</v>
      </c>
      <c r="D1220" s="3" t="str">
        <f>TEXT(CleanedTable[[#This Row],[OrderDate]],"mmm yyyy")</f>
        <v>Nov 2024</v>
      </c>
      <c r="E1220" t="s">
        <v>21</v>
      </c>
      <c r="F1220" t="s">
        <v>28</v>
      </c>
      <c r="G1220" s="12">
        <v>15</v>
      </c>
      <c r="H1220" s="8">
        <v>570</v>
      </c>
      <c r="I1220" t="s">
        <v>34</v>
      </c>
      <c r="J1220" t="s">
        <v>35</v>
      </c>
      <c r="K1220" s="10">
        <v>0.05</v>
      </c>
      <c r="L1220" t="s">
        <v>39</v>
      </c>
      <c r="M1220">
        <v>8122.5</v>
      </c>
      <c r="N1220">
        <v>5130</v>
      </c>
      <c r="O1220" s="10">
        <v>2984.88</v>
      </c>
      <c r="P1220" s="10">
        <v>0.36748291782086795</v>
      </c>
      <c r="Q1220" s="8">
        <v>8122.5</v>
      </c>
      <c r="R1220" t="s">
        <v>44</v>
      </c>
      <c r="T1220" t="s">
        <v>2932</v>
      </c>
      <c r="U1220">
        <v>0</v>
      </c>
      <c r="V1220" t="str">
        <f>IF(CleanedTable[[#This Row],[Returned]] = 0,"NO","Yes")</f>
        <v>NO</v>
      </c>
      <c r="W1220" t="s">
        <v>1269</v>
      </c>
      <c r="X1220" t="s">
        <v>2688</v>
      </c>
      <c r="Y1220" s="10">
        <v>7.62</v>
      </c>
      <c r="Z1220" s="3">
        <v>45625</v>
      </c>
      <c r="AA1220" s="3">
        <v>45635</v>
      </c>
      <c r="AB1220" t="s">
        <v>2924</v>
      </c>
      <c r="AC1220">
        <v>10</v>
      </c>
    </row>
    <row r="1221" spans="1:29" x14ac:dyDescent="0.3">
      <c r="A1221" s="3">
        <v>45128</v>
      </c>
      <c r="B1221" s="3" t="str">
        <f>TEXT(CleanedTable[[#This Row],[OrderDate]],"mmm")</f>
        <v>Jul</v>
      </c>
      <c r="C1221" s="3" t="str">
        <f>TEXT(CleanedTable[[#This Row],[OrderDate]],"yyyy")</f>
        <v>2023</v>
      </c>
      <c r="D1221" s="3" t="str">
        <f>TEXT(CleanedTable[[#This Row],[OrderDate]],"mmm yyyy")</f>
        <v>Jul 2023</v>
      </c>
      <c r="E1221" t="s">
        <v>21</v>
      </c>
      <c r="F1221" t="s">
        <v>28</v>
      </c>
      <c r="G1221" s="12">
        <v>9</v>
      </c>
      <c r="H1221" s="8">
        <v>587.79</v>
      </c>
      <c r="I1221" t="s">
        <v>34</v>
      </c>
      <c r="J1221" t="s">
        <v>35</v>
      </c>
      <c r="K1221" s="10">
        <v>0.15</v>
      </c>
      <c r="L1221" t="s">
        <v>42</v>
      </c>
      <c r="M1221">
        <v>4496.5934999999999</v>
      </c>
      <c r="N1221">
        <v>3174.0659999999998</v>
      </c>
      <c r="O1221" s="10">
        <v>1297.8875</v>
      </c>
      <c r="P1221" s="10">
        <v>0.2886379433675737</v>
      </c>
      <c r="Q1221" s="8">
        <v>4496.5934999999999</v>
      </c>
      <c r="R1221" t="s">
        <v>43</v>
      </c>
      <c r="T1221" t="s">
        <v>2932</v>
      </c>
      <c r="U1221">
        <v>0</v>
      </c>
      <c r="V1221" t="str">
        <f>IF(CleanedTable[[#This Row],[Returned]] = 0,"NO","Yes")</f>
        <v>NO</v>
      </c>
      <c r="W1221" t="s">
        <v>1270</v>
      </c>
      <c r="X1221" t="s">
        <v>2689</v>
      </c>
      <c r="Y1221" s="10">
        <v>24.64</v>
      </c>
      <c r="Z1221" s="3">
        <v>45128</v>
      </c>
      <c r="AA1221" s="3">
        <v>45138</v>
      </c>
      <c r="AB1221" t="s">
        <v>2924</v>
      </c>
      <c r="AC1221">
        <v>10</v>
      </c>
    </row>
    <row r="1222" spans="1:29" x14ac:dyDescent="0.3">
      <c r="A1222" s="3">
        <v>45030</v>
      </c>
      <c r="B1222" s="3" t="str">
        <f>TEXT(CleanedTable[[#This Row],[OrderDate]],"mmm")</f>
        <v>Apr</v>
      </c>
      <c r="C1222" s="3" t="str">
        <f>TEXT(CleanedTable[[#This Row],[OrderDate]],"yyyy")</f>
        <v>2023</v>
      </c>
      <c r="D1222" s="3" t="str">
        <f>TEXT(CleanedTable[[#This Row],[OrderDate]],"mmm yyyy")</f>
        <v>Apr 2023</v>
      </c>
      <c r="E1222" t="s">
        <v>22</v>
      </c>
      <c r="F1222" t="s">
        <v>25</v>
      </c>
      <c r="G1222" s="12">
        <v>6</v>
      </c>
      <c r="H1222" s="8">
        <v>196.31</v>
      </c>
      <c r="I1222" t="s">
        <v>33</v>
      </c>
      <c r="J1222" t="s">
        <v>36</v>
      </c>
      <c r="K1222" s="10">
        <v>0.1</v>
      </c>
      <c r="L1222" t="s">
        <v>40</v>
      </c>
      <c r="M1222">
        <v>1060.0740000000001</v>
      </c>
      <c r="N1222">
        <v>706.71600000000001</v>
      </c>
      <c r="O1222" s="10">
        <v>314.70800000000008</v>
      </c>
      <c r="P1222" s="10">
        <v>0.29687361448351723</v>
      </c>
      <c r="Q1222" s="8">
        <v>1060.0740000000001</v>
      </c>
      <c r="R1222" t="s">
        <v>43</v>
      </c>
      <c r="S1222" t="s">
        <v>50</v>
      </c>
      <c r="T1222" t="s">
        <v>2931</v>
      </c>
      <c r="U1222">
        <v>0</v>
      </c>
      <c r="V1222" t="str">
        <f>IF(CleanedTable[[#This Row],[Returned]] = 0,"NO","Yes")</f>
        <v>NO</v>
      </c>
      <c r="W1222" t="s">
        <v>1271</v>
      </c>
      <c r="X1222" t="s">
        <v>2690</v>
      </c>
      <c r="Y1222" s="10">
        <v>38.65</v>
      </c>
      <c r="Z1222" s="3">
        <v>45030</v>
      </c>
      <c r="AA1222" s="3">
        <v>45033</v>
      </c>
      <c r="AB1222" t="s">
        <v>2925</v>
      </c>
      <c r="AC1222">
        <v>3</v>
      </c>
    </row>
    <row r="1223" spans="1:29" x14ac:dyDescent="0.3">
      <c r="A1223" s="3">
        <v>44958</v>
      </c>
      <c r="B1223" s="3" t="str">
        <f>TEXT(CleanedTable[[#This Row],[OrderDate]],"mmm")</f>
        <v>Feb</v>
      </c>
      <c r="C1223" s="3" t="str">
        <f>TEXT(CleanedTable[[#This Row],[OrderDate]],"yyyy")</f>
        <v>2023</v>
      </c>
      <c r="D1223" s="3" t="str">
        <f>TEXT(CleanedTable[[#This Row],[OrderDate]],"mmm yyyy")</f>
        <v>Feb 2023</v>
      </c>
      <c r="E1223" t="s">
        <v>21</v>
      </c>
      <c r="F1223" t="s">
        <v>25</v>
      </c>
      <c r="G1223" s="12">
        <v>8</v>
      </c>
      <c r="H1223" s="8">
        <v>430.06</v>
      </c>
      <c r="I1223" t="s">
        <v>31</v>
      </c>
      <c r="J1223" t="s">
        <v>35</v>
      </c>
      <c r="K1223" s="10">
        <v>0.05</v>
      </c>
      <c r="L1223" t="s">
        <v>42</v>
      </c>
      <c r="M1223">
        <v>3268.4559999999997</v>
      </c>
      <c r="N1223">
        <v>2064.288</v>
      </c>
      <c r="O1223" s="10">
        <v>1165.7179999999996</v>
      </c>
      <c r="P1223" s="10">
        <v>0.35665708823982939</v>
      </c>
      <c r="Q1223" s="8">
        <v>3268.4560000000001</v>
      </c>
      <c r="R1223" t="s">
        <v>46</v>
      </c>
      <c r="S1223" t="s">
        <v>49</v>
      </c>
      <c r="T1223" t="s">
        <v>2931</v>
      </c>
      <c r="U1223">
        <v>0</v>
      </c>
      <c r="V1223" t="str">
        <f>IF(CleanedTable[[#This Row],[Returned]] = 0,"NO","Yes")</f>
        <v>NO</v>
      </c>
      <c r="W1223" t="s">
        <v>1272</v>
      </c>
      <c r="X1223" t="s">
        <v>2691</v>
      </c>
      <c r="Y1223" s="10">
        <v>38.450000000000003</v>
      </c>
      <c r="Z1223" s="3">
        <v>44958</v>
      </c>
      <c r="AA1223" s="3">
        <v>44962</v>
      </c>
      <c r="AB1223" t="s">
        <v>2924</v>
      </c>
      <c r="AC1223">
        <v>4</v>
      </c>
    </row>
    <row r="1224" spans="1:29" x14ac:dyDescent="0.3">
      <c r="A1224" s="3">
        <v>45473</v>
      </c>
      <c r="B1224" s="3" t="str">
        <f>TEXT(CleanedTable[[#This Row],[OrderDate]],"mmm")</f>
        <v>Jun</v>
      </c>
      <c r="C1224" s="3" t="str">
        <f>TEXT(CleanedTable[[#This Row],[OrderDate]],"yyyy")</f>
        <v>2024</v>
      </c>
      <c r="D1224" s="3" t="str">
        <f>TEXT(CleanedTable[[#This Row],[OrderDate]],"mmm yyyy")</f>
        <v>Jun 2024</v>
      </c>
      <c r="E1224" t="s">
        <v>19</v>
      </c>
      <c r="F1224" t="s">
        <v>28</v>
      </c>
      <c r="G1224" s="12">
        <v>14</v>
      </c>
      <c r="H1224" s="8">
        <v>429.72</v>
      </c>
      <c r="I1224" t="s">
        <v>32</v>
      </c>
      <c r="J1224" t="s">
        <v>36</v>
      </c>
      <c r="K1224" s="10">
        <v>0.1</v>
      </c>
      <c r="L1224" t="s">
        <v>37</v>
      </c>
      <c r="M1224">
        <v>5414.4719999999998</v>
      </c>
      <c r="N1224">
        <v>3609.6480000000001</v>
      </c>
      <c r="O1224" s="10">
        <v>1759.0439999999996</v>
      </c>
      <c r="P1224" s="10">
        <v>0.32487821527195998</v>
      </c>
      <c r="Q1224" s="8">
        <v>5414.4719999999998</v>
      </c>
      <c r="R1224" t="s">
        <v>47</v>
      </c>
      <c r="S1224" t="s">
        <v>49</v>
      </c>
      <c r="T1224" t="s">
        <v>2931</v>
      </c>
      <c r="U1224">
        <v>0</v>
      </c>
      <c r="V1224" t="str">
        <f>IF(CleanedTable[[#This Row],[Returned]] = 0,"NO","Yes")</f>
        <v>NO</v>
      </c>
      <c r="W1224" t="s">
        <v>1273</v>
      </c>
      <c r="X1224" t="s">
        <v>2692</v>
      </c>
      <c r="Y1224" s="10">
        <v>45.78</v>
      </c>
      <c r="Z1224" s="3">
        <v>45473</v>
      </c>
      <c r="AA1224" s="3">
        <v>45478</v>
      </c>
      <c r="AB1224" t="s">
        <v>2922</v>
      </c>
      <c r="AC1224">
        <v>5</v>
      </c>
    </row>
    <row r="1225" spans="1:29" x14ac:dyDescent="0.3">
      <c r="A1225" s="3">
        <v>45217</v>
      </c>
      <c r="B1225" s="3" t="str">
        <f>TEXT(CleanedTable[[#This Row],[OrderDate]],"mmm")</f>
        <v>Oct</v>
      </c>
      <c r="C1225" s="3" t="str">
        <f>TEXT(CleanedTable[[#This Row],[OrderDate]],"yyyy")</f>
        <v>2023</v>
      </c>
      <c r="D1225" s="3" t="str">
        <f>TEXT(CleanedTable[[#This Row],[OrderDate]],"mmm yyyy")</f>
        <v>Oct 2023</v>
      </c>
      <c r="E1225" t="s">
        <v>22</v>
      </c>
      <c r="F1225" t="s">
        <v>25</v>
      </c>
      <c r="G1225" s="12">
        <v>13</v>
      </c>
      <c r="H1225" s="8">
        <v>127.34</v>
      </c>
      <c r="I1225" t="s">
        <v>34</v>
      </c>
      <c r="J1225" t="s">
        <v>35</v>
      </c>
      <c r="K1225" s="10">
        <v>0</v>
      </c>
      <c r="L1225" t="s">
        <v>38</v>
      </c>
      <c r="M1225">
        <v>1655.42</v>
      </c>
      <c r="N1225">
        <v>993.25199999999995</v>
      </c>
      <c r="O1225" s="10">
        <v>656.01800000000014</v>
      </c>
      <c r="P1225" s="10">
        <v>0.39628493071244769</v>
      </c>
      <c r="Q1225" s="8">
        <v>1655.42</v>
      </c>
      <c r="R1225" t="s">
        <v>45</v>
      </c>
      <c r="S1225" t="s">
        <v>50</v>
      </c>
      <c r="T1225" t="s">
        <v>2931</v>
      </c>
      <c r="U1225">
        <v>0</v>
      </c>
      <c r="V1225" t="str">
        <f>IF(CleanedTable[[#This Row],[Returned]] = 0,"NO","Yes")</f>
        <v>NO</v>
      </c>
      <c r="W1225" t="s">
        <v>1274</v>
      </c>
      <c r="X1225" t="s">
        <v>2693</v>
      </c>
      <c r="Y1225" s="10">
        <v>6.15</v>
      </c>
      <c r="Z1225" s="3">
        <v>45217</v>
      </c>
      <c r="AA1225" s="3">
        <v>45220</v>
      </c>
      <c r="AB1225" t="s">
        <v>2925</v>
      </c>
      <c r="AC1225">
        <v>3</v>
      </c>
    </row>
    <row r="1226" spans="1:29" x14ac:dyDescent="0.3">
      <c r="A1226" s="3">
        <v>45477</v>
      </c>
      <c r="B1226" s="3" t="str">
        <f>TEXT(CleanedTable[[#This Row],[OrderDate]],"mmm")</f>
        <v>Jul</v>
      </c>
      <c r="C1226" s="3" t="str">
        <f>TEXT(CleanedTable[[#This Row],[OrderDate]],"yyyy")</f>
        <v>2024</v>
      </c>
      <c r="D1226" s="3" t="str">
        <f>TEXT(CleanedTable[[#This Row],[OrderDate]],"mmm yyyy")</f>
        <v>Jul 2024</v>
      </c>
      <c r="E1226" t="s">
        <v>19</v>
      </c>
      <c r="F1226" t="s">
        <v>28</v>
      </c>
      <c r="G1226" s="12">
        <v>6</v>
      </c>
      <c r="H1226" s="8">
        <v>421.97</v>
      </c>
      <c r="I1226" t="s">
        <v>31</v>
      </c>
      <c r="J1226" t="s">
        <v>35</v>
      </c>
      <c r="K1226" s="10">
        <v>0.05</v>
      </c>
      <c r="L1226" t="s">
        <v>42</v>
      </c>
      <c r="M1226">
        <v>2405.2290000000003</v>
      </c>
      <c r="N1226">
        <v>1519.0920000000001</v>
      </c>
      <c r="O1226" s="10">
        <v>844.82700000000023</v>
      </c>
      <c r="P1226" s="10">
        <v>0.35124597283668213</v>
      </c>
      <c r="Q1226" s="8">
        <v>2405.2289999999998</v>
      </c>
      <c r="R1226" t="s">
        <v>47</v>
      </c>
      <c r="S1226" t="s">
        <v>50</v>
      </c>
      <c r="T1226" t="s">
        <v>2931</v>
      </c>
      <c r="U1226">
        <v>0</v>
      </c>
      <c r="V1226" t="str">
        <f>IF(CleanedTable[[#This Row],[Returned]] = 0,"NO","Yes")</f>
        <v>NO</v>
      </c>
      <c r="W1226" t="s">
        <v>1275</v>
      </c>
      <c r="X1226" t="s">
        <v>2694</v>
      </c>
      <c r="Y1226" s="10">
        <v>41.31</v>
      </c>
      <c r="Z1226" s="3">
        <v>45477</v>
      </c>
      <c r="AA1226" s="3">
        <v>45486</v>
      </c>
      <c r="AB1226" t="s">
        <v>2922</v>
      </c>
      <c r="AC1226">
        <v>9</v>
      </c>
    </row>
    <row r="1227" spans="1:29" x14ac:dyDescent="0.3">
      <c r="A1227" s="3">
        <v>45477</v>
      </c>
      <c r="B1227" s="3" t="str">
        <f>TEXT(CleanedTable[[#This Row],[OrderDate]],"mmm")</f>
        <v>Jul</v>
      </c>
      <c r="C1227" s="3" t="str">
        <f>TEXT(CleanedTable[[#This Row],[OrderDate]],"yyyy")</f>
        <v>2024</v>
      </c>
      <c r="D1227" s="3" t="str">
        <f>TEXT(CleanedTable[[#This Row],[OrderDate]],"mmm yyyy")</f>
        <v>Jul 2024</v>
      </c>
      <c r="E1227" t="s">
        <v>19</v>
      </c>
      <c r="F1227" t="s">
        <v>29</v>
      </c>
      <c r="G1227" s="12">
        <v>5</v>
      </c>
      <c r="H1227" s="8">
        <v>225.69</v>
      </c>
      <c r="I1227" t="s">
        <v>32</v>
      </c>
      <c r="J1227" t="s">
        <v>35</v>
      </c>
      <c r="K1227" s="10">
        <v>0.15</v>
      </c>
      <c r="L1227" t="s">
        <v>40</v>
      </c>
      <c r="M1227">
        <v>959.1825</v>
      </c>
      <c r="N1227">
        <v>677.06999999999994</v>
      </c>
      <c r="O1227" s="10">
        <v>234.51250000000007</v>
      </c>
      <c r="P1227" s="10">
        <v>0.2444920544317688</v>
      </c>
      <c r="Q1227" s="8">
        <v>959.1825</v>
      </c>
      <c r="R1227" t="s">
        <v>44</v>
      </c>
      <c r="S1227" t="s">
        <v>50</v>
      </c>
      <c r="T1227" t="s">
        <v>2931</v>
      </c>
      <c r="U1227">
        <v>0</v>
      </c>
      <c r="V1227" t="str">
        <f>IF(CleanedTable[[#This Row],[Returned]] = 0,"NO","Yes")</f>
        <v>NO</v>
      </c>
      <c r="W1227" t="s">
        <v>1276</v>
      </c>
      <c r="X1227" t="s">
        <v>2695</v>
      </c>
      <c r="Y1227" s="10">
        <v>47.6</v>
      </c>
      <c r="Z1227" s="3">
        <v>45477</v>
      </c>
      <c r="AA1227" s="3">
        <v>45485</v>
      </c>
      <c r="AB1227" t="s">
        <v>2922</v>
      </c>
      <c r="AC1227">
        <v>8</v>
      </c>
    </row>
    <row r="1228" spans="1:29" x14ac:dyDescent="0.3">
      <c r="A1228" s="3">
        <v>45134</v>
      </c>
      <c r="B1228" s="3" t="str">
        <f>TEXT(CleanedTable[[#This Row],[OrderDate]],"mmm")</f>
        <v>Jul</v>
      </c>
      <c r="C1228" s="3" t="str">
        <f>TEXT(CleanedTable[[#This Row],[OrderDate]],"yyyy")</f>
        <v>2023</v>
      </c>
      <c r="D1228" s="3" t="str">
        <f>TEXT(CleanedTable[[#This Row],[OrderDate]],"mmm yyyy")</f>
        <v>Jul 2023</v>
      </c>
      <c r="E1228" t="s">
        <v>21</v>
      </c>
      <c r="F1228" t="s">
        <v>28</v>
      </c>
      <c r="G1228" s="12">
        <v>10</v>
      </c>
      <c r="H1228" s="8">
        <v>322.11</v>
      </c>
      <c r="I1228" t="s">
        <v>32</v>
      </c>
      <c r="J1228" t="s">
        <v>36</v>
      </c>
      <c r="K1228" s="10">
        <v>0.15</v>
      </c>
      <c r="L1228" t="s">
        <v>41</v>
      </c>
      <c r="M1228">
        <v>2737.9350000000004</v>
      </c>
      <c r="N1228">
        <v>1932.6599999999999</v>
      </c>
      <c r="O1228" s="10">
        <v>776.55500000000052</v>
      </c>
      <c r="P1228" s="10">
        <v>0.28362798970757175</v>
      </c>
      <c r="Q1228" s="8">
        <v>2737.9349999999999</v>
      </c>
      <c r="R1228" t="s">
        <v>46</v>
      </c>
      <c r="S1228" t="s">
        <v>50</v>
      </c>
      <c r="T1228" t="s">
        <v>2931</v>
      </c>
      <c r="U1228">
        <v>0</v>
      </c>
      <c r="V1228" t="str">
        <f>IF(CleanedTable[[#This Row],[Returned]] = 0,"NO","Yes")</f>
        <v>NO</v>
      </c>
      <c r="W1228" t="s">
        <v>1277</v>
      </c>
      <c r="X1228" t="s">
        <v>2696</v>
      </c>
      <c r="Y1228" s="10">
        <v>28.72</v>
      </c>
      <c r="Z1228" s="3">
        <v>45134</v>
      </c>
      <c r="AA1228" s="3">
        <v>45140</v>
      </c>
      <c r="AB1228" t="s">
        <v>2924</v>
      </c>
      <c r="AC1228">
        <v>6</v>
      </c>
    </row>
    <row r="1229" spans="1:29" x14ac:dyDescent="0.3">
      <c r="A1229" s="3">
        <v>45717</v>
      </c>
      <c r="B1229" s="3" t="str">
        <f>TEXT(CleanedTable[[#This Row],[OrderDate]],"mmm")</f>
        <v>Mar</v>
      </c>
      <c r="C1229" s="3" t="str">
        <f>TEXT(CleanedTable[[#This Row],[OrderDate]],"yyyy")</f>
        <v>2025</v>
      </c>
      <c r="D1229" s="3" t="str">
        <f>TEXT(CleanedTable[[#This Row],[OrderDate]],"mmm yyyy")</f>
        <v>Mar 2025</v>
      </c>
      <c r="E1229" t="s">
        <v>23</v>
      </c>
      <c r="F1229" t="s">
        <v>26</v>
      </c>
      <c r="G1229" s="12">
        <v>4</v>
      </c>
      <c r="H1229" s="8">
        <v>209.3</v>
      </c>
      <c r="I1229" t="s">
        <v>31</v>
      </c>
      <c r="J1229" t="s">
        <v>36</v>
      </c>
      <c r="K1229" s="10">
        <v>0.05</v>
      </c>
      <c r="L1229" t="s">
        <v>38</v>
      </c>
      <c r="M1229">
        <v>795.34</v>
      </c>
      <c r="N1229">
        <v>502.32</v>
      </c>
      <c r="O1229" s="10">
        <v>286.13000000000005</v>
      </c>
      <c r="P1229" s="10">
        <v>0.35975809087937238</v>
      </c>
      <c r="Q1229" s="8">
        <v>795.34</v>
      </c>
      <c r="R1229" t="s">
        <v>44</v>
      </c>
      <c r="T1229" t="s">
        <v>2932</v>
      </c>
      <c r="U1229">
        <v>0</v>
      </c>
      <c r="V1229" t="str">
        <f>IF(CleanedTable[[#This Row],[Returned]] = 0,"NO","Yes")</f>
        <v>NO</v>
      </c>
      <c r="W1229" t="s">
        <v>1278</v>
      </c>
      <c r="X1229" t="s">
        <v>2697</v>
      </c>
      <c r="Y1229" s="10">
        <v>6.89</v>
      </c>
      <c r="Z1229" s="3">
        <v>45717</v>
      </c>
      <c r="AA1229" s="3">
        <v>45722</v>
      </c>
      <c r="AB1229" t="s">
        <v>2926</v>
      </c>
      <c r="AC1229">
        <v>5</v>
      </c>
    </row>
    <row r="1230" spans="1:29" x14ac:dyDescent="0.3">
      <c r="A1230" s="3">
        <v>44980</v>
      </c>
      <c r="B1230" s="3" t="str">
        <f>TEXT(CleanedTable[[#This Row],[OrderDate]],"mmm")</f>
        <v>Feb</v>
      </c>
      <c r="C1230" s="3" t="str">
        <f>TEXT(CleanedTable[[#This Row],[OrderDate]],"yyyy")</f>
        <v>2023</v>
      </c>
      <c r="D1230" s="3" t="str">
        <f>TEXT(CleanedTable[[#This Row],[OrderDate]],"mmm yyyy")</f>
        <v>Feb 2023</v>
      </c>
      <c r="E1230" t="s">
        <v>22</v>
      </c>
      <c r="F1230" t="s">
        <v>26</v>
      </c>
      <c r="G1230" s="12">
        <v>16</v>
      </c>
      <c r="H1230" s="8">
        <v>326.16000000000003</v>
      </c>
      <c r="I1230" t="s">
        <v>33</v>
      </c>
      <c r="J1230" t="s">
        <v>35</v>
      </c>
      <c r="K1230" s="10">
        <v>0.1</v>
      </c>
      <c r="L1230" t="s">
        <v>39</v>
      </c>
      <c r="M1230">
        <v>4696.7040000000006</v>
      </c>
      <c r="N1230">
        <v>3131.136</v>
      </c>
      <c r="O1230" s="10">
        <v>1521.2680000000007</v>
      </c>
      <c r="P1230" s="10">
        <v>0.3239011868748809</v>
      </c>
      <c r="Q1230" s="8">
        <v>4696.7040000000006</v>
      </c>
      <c r="R1230" t="s">
        <v>45</v>
      </c>
      <c r="T1230" t="s">
        <v>2932</v>
      </c>
      <c r="U1230">
        <v>0</v>
      </c>
      <c r="V1230" t="str">
        <f>IF(CleanedTable[[#This Row],[Returned]] = 0,"NO","Yes")</f>
        <v>NO</v>
      </c>
      <c r="W1230" t="s">
        <v>1279</v>
      </c>
      <c r="X1230" t="s">
        <v>2698</v>
      </c>
      <c r="Y1230" s="10">
        <v>44.3</v>
      </c>
      <c r="Z1230" s="3">
        <v>44980</v>
      </c>
      <c r="AA1230" s="3">
        <v>44982</v>
      </c>
      <c r="AB1230" t="s">
        <v>2925</v>
      </c>
      <c r="AC1230">
        <v>2</v>
      </c>
    </row>
    <row r="1231" spans="1:29" x14ac:dyDescent="0.3">
      <c r="A1231" s="3">
        <v>44937</v>
      </c>
      <c r="B1231" s="3" t="str">
        <f>TEXT(CleanedTable[[#This Row],[OrderDate]],"mmm")</f>
        <v>Jan</v>
      </c>
      <c r="C1231" s="3" t="str">
        <f>TEXT(CleanedTable[[#This Row],[OrderDate]],"yyyy")</f>
        <v>2023</v>
      </c>
      <c r="D1231" s="3" t="str">
        <f>TEXT(CleanedTable[[#This Row],[OrderDate]],"mmm yyyy")</f>
        <v>Jan 2023</v>
      </c>
      <c r="E1231" t="s">
        <v>19</v>
      </c>
      <c r="F1231" t="s">
        <v>28</v>
      </c>
      <c r="G1231" s="12">
        <v>13</v>
      </c>
      <c r="H1231" s="8">
        <v>515.41999999999996</v>
      </c>
      <c r="I1231" t="s">
        <v>34</v>
      </c>
      <c r="J1231" t="s">
        <v>36</v>
      </c>
      <c r="K1231" s="10">
        <v>0</v>
      </c>
      <c r="L1231" t="s">
        <v>42</v>
      </c>
      <c r="M1231">
        <v>6700.4599999999991</v>
      </c>
      <c r="N1231">
        <v>4020.2759999999994</v>
      </c>
      <c r="O1231" s="10">
        <v>2636.8139999999999</v>
      </c>
      <c r="P1231" s="10">
        <v>0.39352731006527913</v>
      </c>
      <c r="Q1231" s="8">
        <v>6700.4599999999991</v>
      </c>
      <c r="R1231" t="s">
        <v>43</v>
      </c>
      <c r="S1231" t="s">
        <v>48</v>
      </c>
      <c r="T1231" t="s">
        <v>2931</v>
      </c>
      <c r="U1231">
        <v>0</v>
      </c>
      <c r="V1231" t="str">
        <f>IF(CleanedTable[[#This Row],[Returned]] = 0,"NO","Yes")</f>
        <v>NO</v>
      </c>
      <c r="W1231" t="s">
        <v>1280</v>
      </c>
      <c r="X1231" t="s">
        <v>2699</v>
      </c>
      <c r="Y1231" s="10">
        <v>43.37</v>
      </c>
      <c r="Z1231" s="3">
        <v>44937</v>
      </c>
      <c r="AA1231" s="3">
        <v>44946</v>
      </c>
      <c r="AB1231" t="s">
        <v>2922</v>
      </c>
      <c r="AC1231">
        <v>9</v>
      </c>
    </row>
    <row r="1232" spans="1:29" x14ac:dyDescent="0.3">
      <c r="A1232" s="3">
        <v>45398</v>
      </c>
      <c r="B1232" s="3" t="str">
        <f>TEXT(CleanedTable[[#This Row],[OrderDate]],"mmm")</f>
        <v>Apr</v>
      </c>
      <c r="C1232" s="3" t="str">
        <f>TEXT(CleanedTable[[#This Row],[OrderDate]],"yyyy")</f>
        <v>2024</v>
      </c>
      <c r="D1232" s="3" t="str">
        <f>TEXT(CleanedTable[[#This Row],[OrderDate]],"mmm yyyy")</f>
        <v>Apr 2024</v>
      </c>
      <c r="E1232" t="s">
        <v>23</v>
      </c>
      <c r="F1232" t="s">
        <v>29</v>
      </c>
      <c r="G1232" s="12">
        <v>7</v>
      </c>
      <c r="H1232" s="8">
        <v>129.83000000000001</v>
      </c>
      <c r="I1232" t="s">
        <v>32</v>
      </c>
      <c r="J1232" t="s">
        <v>35</v>
      </c>
      <c r="K1232" s="10">
        <v>0</v>
      </c>
      <c r="L1232" t="s">
        <v>40</v>
      </c>
      <c r="M1232">
        <v>908.81000000000006</v>
      </c>
      <c r="N1232">
        <v>545.28600000000006</v>
      </c>
      <c r="O1232" s="10">
        <v>350.404</v>
      </c>
      <c r="P1232" s="10">
        <v>0.38556353913359226</v>
      </c>
      <c r="Q1232" s="8">
        <v>908.81000000000006</v>
      </c>
      <c r="R1232" t="s">
        <v>44</v>
      </c>
      <c r="S1232" t="s">
        <v>50</v>
      </c>
      <c r="T1232" t="s">
        <v>2931</v>
      </c>
      <c r="U1232">
        <v>0</v>
      </c>
      <c r="V1232" t="str">
        <f>IF(CleanedTable[[#This Row],[Returned]] = 0,"NO","Yes")</f>
        <v>NO</v>
      </c>
      <c r="W1232" t="s">
        <v>1281</v>
      </c>
      <c r="X1232" t="s">
        <v>2700</v>
      </c>
      <c r="Y1232" s="10">
        <v>13.12</v>
      </c>
      <c r="Z1232" s="3">
        <v>45398</v>
      </c>
      <c r="AA1232" s="3">
        <v>45402</v>
      </c>
      <c r="AB1232" t="s">
        <v>2926</v>
      </c>
      <c r="AC1232">
        <v>4</v>
      </c>
    </row>
    <row r="1233" spans="1:29" x14ac:dyDescent="0.3">
      <c r="A1233" s="3">
        <v>45360</v>
      </c>
      <c r="B1233" s="3" t="str">
        <f>TEXT(CleanedTable[[#This Row],[OrderDate]],"mmm")</f>
        <v>Mar</v>
      </c>
      <c r="C1233" s="3" t="str">
        <f>TEXT(CleanedTable[[#This Row],[OrderDate]],"yyyy")</f>
        <v>2024</v>
      </c>
      <c r="D1233" s="3" t="str">
        <f>TEXT(CleanedTable[[#This Row],[OrderDate]],"mmm yyyy")</f>
        <v>Mar 2024</v>
      </c>
      <c r="E1233" t="s">
        <v>22</v>
      </c>
      <c r="F1233" t="s">
        <v>28</v>
      </c>
      <c r="G1233" s="12">
        <v>17</v>
      </c>
      <c r="H1233" s="8">
        <v>376.15</v>
      </c>
      <c r="I1233" t="s">
        <v>33</v>
      </c>
      <c r="J1233" t="s">
        <v>36</v>
      </c>
      <c r="K1233" s="10">
        <v>0.05</v>
      </c>
      <c r="L1233" t="s">
        <v>41</v>
      </c>
      <c r="M1233">
        <v>6074.8224999999993</v>
      </c>
      <c r="N1233">
        <v>3836.7299999999996</v>
      </c>
      <c r="O1233" s="10">
        <v>2206.1324999999997</v>
      </c>
      <c r="P1233" s="10">
        <v>0.36315999356359796</v>
      </c>
      <c r="Q1233" s="8">
        <v>6074.8224999999993</v>
      </c>
      <c r="R1233" t="s">
        <v>44</v>
      </c>
      <c r="S1233" t="s">
        <v>50</v>
      </c>
      <c r="T1233" t="s">
        <v>2931</v>
      </c>
      <c r="U1233">
        <v>1</v>
      </c>
      <c r="V1233" t="str">
        <f>IF(CleanedTable[[#This Row],[Returned]] = 0,"NO","Yes")</f>
        <v>Yes</v>
      </c>
      <c r="W1233" t="s">
        <v>1282</v>
      </c>
      <c r="X1233" t="s">
        <v>2701</v>
      </c>
      <c r="Y1233" s="10">
        <v>31.96</v>
      </c>
      <c r="Z1233" s="3">
        <v>45360</v>
      </c>
      <c r="AA1233" s="3">
        <v>45363</v>
      </c>
      <c r="AB1233" t="s">
        <v>2925</v>
      </c>
      <c r="AC1233">
        <v>3</v>
      </c>
    </row>
    <row r="1234" spans="1:29" x14ac:dyDescent="0.3">
      <c r="A1234" s="3">
        <v>45572</v>
      </c>
      <c r="B1234" s="3" t="str">
        <f>TEXT(CleanedTable[[#This Row],[OrderDate]],"mmm")</f>
        <v>Oct</v>
      </c>
      <c r="C1234" s="3" t="str">
        <f>TEXT(CleanedTable[[#This Row],[OrderDate]],"yyyy")</f>
        <v>2024</v>
      </c>
      <c r="D1234" s="3" t="str">
        <f>TEXT(CleanedTable[[#This Row],[OrderDate]],"mmm yyyy")</f>
        <v>Oct 2024</v>
      </c>
      <c r="E1234" t="s">
        <v>20</v>
      </c>
      <c r="F1234" t="s">
        <v>27</v>
      </c>
      <c r="G1234" s="12">
        <v>8</v>
      </c>
      <c r="H1234" s="8">
        <v>385.46</v>
      </c>
      <c r="I1234" t="s">
        <v>32</v>
      </c>
      <c r="J1234" t="s">
        <v>35</v>
      </c>
      <c r="K1234" s="10">
        <v>0</v>
      </c>
      <c r="L1234" t="s">
        <v>42</v>
      </c>
      <c r="M1234">
        <v>3083.68</v>
      </c>
      <c r="N1234">
        <v>1850.2079999999999</v>
      </c>
      <c r="O1234" s="10">
        <v>1224.5819999999999</v>
      </c>
      <c r="P1234" s="10">
        <v>0.39711708089036474</v>
      </c>
      <c r="Q1234" s="8">
        <v>3083.68</v>
      </c>
      <c r="R1234" t="s">
        <v>47</v>
      </c>
      <c r="S1234" t="s">
        <v>49</v>
      </c>
      <c r="T1234" t="s">
        <v>2931</v>
      </c>
      <c r="U1234">
        <v>0</v>
      </c>
      <c r="V1234" t="str">
        <f>IF(CleanedTable[[#This Row],[Returned]] = 0,"NO","Yes")</f>
        <v>NO</v>
      </c>
      <c r="W1234" t="s">
        <v>1283</v>
      </c>
      <c r="X1234" t="s">
        <v>2702</v>
      </c>
      <c r="Y1234" s="10">
        <v>8.89</v>
      </c>
      <c r="Z1234" s="3">
        <v>45572</v>
      </c>
      <c r="AA1234" s="3">
        <v>45576</v>
      </c>
      <c r="AB1234" t="s">
        <v>2923</v>
      </c>
      <c r="AC1234">
        <v>4</v>
      </c>
    </row>
    <row r="1235" spans="1:29" x14ac:dyDescent="0.3">
      <c r="A1235" s="3">
        <v>45205</v>
      </c>
      <c r="B1235" s="3" t="str">
        <f>TEXT(CleanedTable[[#This Row],[OrderDate]],"mmm")</f>
        <v>Oct</v>
      </c>
      <c r="C1235" s="3" t="str">
        <f>TEXT(CleanedTable[[#This Row],[OrderDate]],"yyyy")</f>
        <v>2023</v>
      </c>
      <c r="D1235" s="3" t="str">
        <f>TEXT(CleanedTable[[#This Row],[OrderDate]],"mmm yyyy")</f>
        <v>Oct 2023</v>
      </c>
      <c r="E1235" t="s">
        <v>23</v>
      </c>
      <c r="F1235" t="s">
        <v>30</v>
      </c>
      <c r="G1235" s="12">
        <v>2</v>
      </c>
      <c r="H1235" s="8">
        <v>474.13</v>
      </c>
      <c r="I1235" t="s">
        <v>34</v>
      </c>
      <c r="J1235" t="s">
        <v>35</v>
      </c>
      <c r="K1235" s="10">
        <v>0</v>
      </c>
      <c r="L1235" t="s">
        <v>40</v>
      </c>
      <c r="M1235">
        <v>948.26</v>
      </c>
      <c r="N1235">
        <v>568.95600000000002</v>
      </c>
      <c r="O1235" s="10">
        <v>364.89399999999995</v>
      </c>
      <c r="P1235" s="10">
        <v>0.38480374580811166</v>
      </c>
      <c r="Q1235" s="8">
        <v>948.26</v>
      </c>
      <c r="R1235" t="s">
        <v>44</v>
      </c>
      <c r="S1235" t="s">
        <v>48</v>
      </c>
      <c r="T1235" t="s">
        <v>2931</v>
      </c>
      <c r="U1235">
        <v>1</v>
      </c>
      <c r="V1235" t="str">
        <f>IF(CleanedTable[[#This Row],[Returned]] = 0,"NO","Yes")</f>
        <v>Yes</v>
      </c>
      <c r="W1235" t="s">
        <v>1284</v>
      </c>
      <c r="X1235" t="s">
        <v>2703</v>
      </c>
      <c r="Y1235" s="10">
        <v>14.41</v>
      </c>
      <c r="Z1235" s="3">
        <v>45205</v>
      </c>
      <c r="AA1235" s="3">
        <v>45214</v>
      </c>
      <c r="AB1235" t="s">
        <v>2926</v>
      </c>
      <c r="AC1235">
        <v>9</v>
      </c>
    </row>
    <row r="1236" spans="1:29" x14ac:dyDescent="0.3">
      <c r="A1236" s="3">
        <v>45024</v>
      </c>
      <c r="B1236" s="3" t="str">
        <f>TEXT(CleanedTable[[#This Row],[OrderDate]],"mmm")</f>
        <v>Apr</v>
      </c>
      <c r="C1236" s="3" t="str">
        <f>TEXT(CleanedTable[[#This Row],[OrderDate]],"yyyy")</f>
        <v>2023</v>
      </c>
      <c r="D1236" s="3" t="str">
        <f>TEXT(CleanedTable[[#This Row],[OrderDate]],"mmm yyyy")</f>
        <v>Apr 2023</v>
      </c>
      <c r="E1236" t="s">
        <v>23</v>
      </c>
      <c r="F1236" t="s">
        <v>28</v>
      </c>
      <c r="G1236" s="12">
        <v>15</v>
      </c>
      <c r="H1236" s="8">
        <v>506.17</v>
      </c>
      <c r="I1236" t="s">
        <v>31</v>
      </c>
      <c r="J1236" t="s">
        <v>35</v>
      </c>
      <c r="K1236" s="10">
        <v>0.05</v>
      </c>
      <c r="L1236" t="s">
        <v>38</v>
      </c>
      <c r="M1236">
        <v>7212.9224999999997</v>
      </c>
      <c r="N1236">
        <v>4555.53</v>
      </c>
      <c r="O1236" s="10">
        <v>2615.6624999999999</v>
      </c>
      <c r="P1236" s="10">
        <v>0.36263560297507702</v>
      </c>
      <c r="Q1236" s="8">
        <v>7212.9224999999997</v>
      </c>
      <c r="R1236" t="s">
        <v>43</v>
      </c>
      <c r="T1236" t="s">
        <v>2932</v>
      </c>
      <c r="U1236">
        <v>0</v>
      </c>
      <c r="V1236" t="str">
        <f>IF(CleanedTable[[#This Row],[Returned]] = 0,"NO","Yes")</f>
        <v>NO</v>
      </c>
      <c r="W1236" t="s">
        <v>1285</v>
      </c>
      <c r="X1236" t="s">
        <v>2704</v>
      </c>
      <c r="Y1236" s="10">
        <v>41.73</v>
      </c>
      <c r="Z1236" s="3">
        <v>45024</v>
      </c>
      <c r="AA1236" s="3">
        <v>45029</v>
      </c>
      <c r="AB1236" t="s">
        <v>2926</v>
      </c>
      <c r="AC1236">
        <v>5</v>
      </c>
    </row>
    <row r="1237" spans="1:29" x14ac:dyDescent="0.3">
      <c r="A1237" s="3">
        <v>45342</v>
      </c>
      <c r="B1237" s="3" t="str">
        <f>TEXT(CleanedTable[[#This Row],[OrderDate]],"mmm")</f>
        <v>Feb</v>
      </c>
      <c r="C1237" s="3" t="str">
        <f>TEXT(CleanedTable[[#This Row],[OrderDate]],"yyyy")</f>
        <v>2024</v>
      </c>
      <c r="D1237" s="3" t="str">
        <f>TEXT(CleanedTable[[#This Row],[OrderDate]],"mmm yyyy")</f>
        <v>Feb 2024</v>
      </c>
      <c r="E1237" t="s">
        <v>20</v>
      </c>
      <c r="F1237" t="s">
        <v>25</v>
      </c>
      <c r="G1237" s="12">
        <v>1</v>
      </c>
      <c r="H1237" s="8">
        <v>67.38</v>
      </c>
      <c r="I1237" t="s">
        <v>34</v>
      </c>
      <c r="J1237" t="s">
        <v>36</v>
      </c>
      <c r="K1237" s="10">
        <v>0.15</v>
      </c>
      <c r="L1237" t="s">
        <v>38</v>
      </c>
      <c r="M1237">
        <v>57.272999999999996</v>
      </c>
      <c r="N1237">
        <v>40.427999999999997</v>
      </c>
      <c r="O1237" s="10">
        <v>10.704999999999998</v>
      </c>
      <c r="P1237" s="10">
        <v>0.18691180835646812</v>
      </c>
      <c r="Q1237" s="8">
        <v>57.273000000000003</v>
      </c>
      <c r="R1237" t="s">
        <v>45</v>
      </c>
      <c r="S1237" t="s">
        <v>50</v>
      </c>
      <c r="T1237" t="s">
        <v>2931</v>
      </c>
      <c r="U1237">
        <v>0</v>
      </c>
      <c r="V1237" t="str">
        <f>IF(CleanedTable[[#This Row],[Returned]] = 0,"NO","Yes")</f>
        <v>NO</v>
      </c>
      <c r="W1237" t="s">
        <v>1286</v>
      </c>
      <c r="X1237" t="s">
        <v>2705</v>
      </c>
      <c r="Y1237" s="10">
        <v>6.14</v>
      </c>
      <c r="Z1237" s="3">
        <v>45342</v>
      </c>
      <c r="AA1237" s="3">
        <v>45349</v>
      </c>
      <c r="AB1237" t="s">
        <v>2923</v>
      </c>
      <c r="AC1237">
        <v>7</v>
      </c>
    </row>
    <row r="1238" spans="1:29" x14ac:dyDescent="0.3">
      <c r="A1238" s="3">
        <v>44956</v>
      </c>
      <c r="B1238" s="3" t="str">
        <f>TEXT(CleanedTable[[#This Row],[OrderDate]],"mmm")</f>
        <v>Jan</v>
      </c>
      <c r="C1238" s="3" t="str">
        <f>TEXT(CleanedTable[[#This Row],[OrderDate]],"yyyy")</f>
        <v>2023</v>
      </c>
      <c r="D1238" s="3" t="str">
        <f>TEXT(CleanedTable[[#This Row],[OrderDate]],"mmm yyyy")</f>
        <v>Jan 2023</v>
      </c>
      <c r="E1238" t="s">
        <v>23</v>
      </c>
      <c r="F1238" t="s">
        <v>27</v>
      </c>
      <c r="G1238" s="12">
        <v>15</v>
      </c>
      <c r="H1238" s="8">
        <v>274.3</v>
      </c>
      <c r="I1238" t="s">
        <v>31</v>
      </c>
      <c r="J1238" t="s">
        <v>36</v>
      </c>
      <c r="K1238" s="10">
        <v>0.15</v>
      </c>
      <c r="L1238" t="s">
        <v>39</v>
      </c>
      <c r="M1238">
        <v>3497.3249999999998</v>
      </c>
      <c r="N1238">
        <v>2468.7000000000003</v>
      </c>
      <c r="O1238" s="10">
        <v>1007.0649999999996</v>
      </c>
      <c r="P1238" s="10">
        <v>0.28795293545781409</v>
      </c>
      <c r="Q1238" s="8">
        <v>3497.3249999999998</v>
      </c>
      <c r="R1238" t="s">
        <v>45</v>
      </c>
      <c r="T1238" t="s">
        <v>2932</v>
      </c>
      <c r="U1238">
        <v>0</v>
      </c>
      <c r="V1238" t="str">
        <f>IF(CleanedTable[[#This Row],[Returned]] = 0,"NO","Yes")</f>
        <v>NO</v>
      </c>
      <c r="W1238" t="s">
        <v>1287</v>
      </c>
      <c r="X1238" t="s">
        <v>2706</v>
      </c>
      <c r="Y1238" s="10">
        <v>21.56</v>
      </c>
      <c r="Z1238" s="3">
        <v>44956</v>
      </c>
      <c r="AA1238" s="3">
        <v>44965</v>
      </c>
      <c r="AB1238" t="s">
        <v>2926</v>
      </c>
      <c r="AC1238">
        <v>9</v>
      </c>
    </row>
    <row r="1239" spans="1:29" x14ac:dyDescent="0.3">
      <c r="A1239" s="3">
        <v>45058</v>
      </c>
      <c r="B1239" s="3" t="str">
        <f>TEXT(CleanedTable[[#This Row],[OrderDate]],"mmm")</f>
        <v>May</v>
      </c>
      <c r="C1239" s="3" t="str">
        <f>TEXT(CleanedTable[[#This Row],[OrderDate]],"yyyy")</f>
        <v>2023</v>
      </c>
      <c r="D1239" s="3" t="str">
        <f>TEXT(CleanedTable[[#This Row],[OrderDate]],"mmm yyyy")</f>
        <v>May 2023</v>
      </c>
      <c r="E1239" t="s">
        <v>20</v>
      </c>
      <c r="F1239" t="s">
        <v>28</v>
      </c>
      <c r="G1239" s="12">
        <v>2</v>
      </c>
      <c r="H1239" s="8">
        <v>334.48</v>
      </c>
      <c r="I1239" t="s">
        <v>31</v>
      </c>
      <c r="J1239" t="s">
        <v>35</v>
      </c>
      <c r="K1239" s="10">
        <v>0</v>
      </c>
      <c r="L1239" t="s">
        <v>38</v>
      </c>
      <c r="M1239">
        <v>668.96</v>
      </c>
      <c r="N1239">
        <v>401.37600000000003</v>
      </c>
      <c r="O1239" s="10">
        <v>236.054</v>
      </c>
      <c r="P1239" s="10">
        <v>0.35286713704855294</v>
      </c>
      <c r="Q1239" s="8">
        <v>668.96</v>
      </c>
      <c r="R1239" t="s">
        <v>46</v>
      </c>
      <c r="T1239" t="s">
        <v>2932</v>
      </c>
      <c r="U1239">
        <v>0</v>
      </c>
      <c r="V1239" t="str">
        <f>IF(CleanedTable[[#This Row],[Returned]] = 0,"NO","Yes")</f>
        <v>NO</v>
      </c>
      <c r="W1239" t="s">
        <v>1288</v>
      </c>
      <c r="X1239" t="s">
        <v>2707</v>
      </c>
      <c r="Y1239" s="10">
        <v>31.53</v>
      </c>
      <c r="Z1239" s="3">
        <v>45058</v>
      </c>
      <c r="AA1239" s="3">
        <v>45066</v>
      </c>
      <c r="AB1239" t="s">
        <v>2923</v>
      </c>
      <c r="AC1239">
        <v>8</v>
      </c>
    </row>
    <row r="1240" spans="1:29" x14ac:dyDescent="0.3">
      <c r="A1240" s="3">
        <v>45299</v>
      </c>
      <c r="B1240" s="3" t="str">
        <f>TEXT(CleanedTable[[#This Row],[OrderDate]],"mmm")</f>
        <v>Jan</v>
      </c>
      <c r="C1240" s="3" t="str">
        <f>TEXT(CleanedTable[[#This Row],[OrderDate]],"yyyy")</f>
        <v>2024</v>
      </c>
      <c r="D1240" s="3" t="str">
        <f>TEXT(CleanedTable[[#This Row],[OrderDate]],"mmm yyyy")</f>
        <v>Jan 2024</v>
      </c>
      <c r="E1240" t="s">
        <v>20</v>
      </c>
      <c r="F1240" t="s">
        <v>27</v>
      </c>
      <c r="G1240" s="12">
        <v>7</v>
      </c>
      <c r="H1240" s="8">
        <v>562.6</v>
      </c>
      <c r="I1240" t="s">
        <v>32</v>
      </c>
      <c r="J1240" t="s">
        <v>36</v>
      </c>
      <c r="K1240" s="10">
        <v>0.15</v>
      </c>
      <c r="L1240" t="s">
        <v>37</v>
      </c>
      <c r="M1240">
        <v>3347.4700000000003</v>
      </c>
      <c r="N1240">
        <v>2362.92</v>
      </c>
      <c r="O1240" s="10">
        <v>964.60000000000014</v>
      </c>
      <c r="P1240" s="10">
        <v>0.28815792225173043</v>
      </c>
      <c r="Q1240" s="8">
        <v>3347.47</v>
      </c>
      <c r="R1240" t="s">
        <v>43</v>
      </c>
      <c r="S1240" t="s">
        <v>50</v>
      </c>
      <c r="T1240" t="s">
        <v>2931</v>
      </c>
      <c r="U1240">
        <v>0</v>
      </c>
      <c r="V1240" t="str">
        <f>IF(CleanedTable[[#This Row],[Returned]] = 0,"NO","Yes")</f>
        <v>NO</v>
      </c>
      <c r="W1240" t="s">
        <v>1289</v>
      </c>
      <c r="X1240" t="s">
        <v>2708</v>
      </c>
      <c r="Y1240" s="10">
        <v>19.95</v>
      </c>
      <c r="Z1240" s="3">
        <v>45299</v>
      </c>
      <c r="AA1240" s="3">
        <v>45303</v>
      </c>
      <c r="AB1240" t="s">
        <v>2923</v>
      </c>
      <c r="AC1240">
        <v>4</v>
      </c>
    </row>
    <row r="1241" spans="1:29" x14ac:dyDescent="0.3">
      <c r="A1241" s="3">
        <v>45448</v>
      </c>
      <c r="B1241" s="3" t="str">
        <f>TEXT(CleanedTable[[#This Row],[OrderDate]],"mmm")</f>
        <v>Jun</v>
      </c>
      <c r="C1241" s="3" t="str">
        <f>TEXT(CleanedTable[[#This Row],[OrderDate]],"yyyy")</f>
        <v>2024</v>
      </c>
      <c r="D1241" s="3" t="str">
        <f>TEXT(CleanedTable[[#This Row],[OrderDate]],"mmm yyyy")</f>
        <v>Jun 2024</v>
      </c>
      <c r="E1241" t="s">
        <v>21</v>
      </c>
      <c r="F1241" t="s">
        <v>28</v>
      </c>
      <c r="G1241" s="12">
        <v>7</v>
      </c>
      <c r="H1241" s="8">
        <v>14.34</v>
      </c>
      <c r="I1241" t="s">
        <v>34</v>
      </c>
      <c r="J1241" t="s">
        <v>36</v>
      </c>
      <c r="K1241" s="10">
        <v>0.05</v>
      </c>
      <c r="L1241" t="s">
        <v>38</v>
      </c>
      <c r="M1241">
        <v>95.36099999999999</v>
      </c>
      <c r="N1241">
        <v>60.227999999999994</v>
      </c>
      <c r="O1241" s="10">
        <v>15.682999999999996</v>
      </c>
      <c r="P1241" s="10">
        <v>0.16445926531810695</v>
      </c>
      <c r="Q1241" s="8">
        <v>95.36099999999999</v>
      </c>
      <c r="R1241" t="s">
        <v>46</v>
      </c>
      <c r="S1241" t="s">
        <v>50</v>
      </c>
      <c r="T1241" t="s">
        <v>2931</v>
      </c>
      <c r="U1241">
        <v>0</v>
      </c>
      <c r="V1241" t="str">
        <f>IF(CleanedTable[[#This Row],[Returned]] = 0,"NO","Yes")</f>
        <v>NO</v>
      </c>
      <c r="W1241" t="s">
        <v>1290</v>
      </c>
      <c r="X1241" t="s">
        <v>1598</v>
      </c>
      <c r="Y1241" s="10">
        <v>19.45</v>
      </c>
      <c r="Z1241" s="3">
        <v>45448</v>
      </c>
      <c r="AA1241" s="3">
        <v>45451</v>
      </c>
      <c r="AB1241" t="s">
        <v>2924</v>
      </c>
      <c r="AC1241">
        <v>3</v>
      </c>
    </row>
    <row r="1242" spans="1:29" x14ac:dyDescent="0.3">
      <c r="A1242" s="3">
        <v>45798</v>
      </c>
      <c r="B1242" s="3" t="str">
        <f>TEXT(CleanedTable[[#This Row],[OrderDate]],"mmm")</f>
        <v>May</v>
      </c>
      <c r="C1242" s="3" t="str">
        <f>TEXT(CleanedTable[[#This Row],[OrderDate]],"yyyy")</f>
        <v>2025</v>
      </c>
      <c r="D1242" s="3" t="str">
        <f>TEXT(CleanedTable[[#This Row],[OrderDate]],"mmm yyyy")</f>
        <v>May 2025</v>
      </c>
      <c r="E1242" t="s">
        <v>19</v>
      </c>
      <c r="F1242" t="s">
        <v>25</v>
      </c>
      <c r="G1242" s="12">
        <v>11</v>
      </c>
      <c r="H1242" s="8">
        <v>34.72</v>
      </c>
      <c r="I1242" t="s">
        <v>31</v>
      </c>
      <c r="J1242" t="s">
        <v>35</v>
      </c>
      <c r="K1242" s="10">
        <v>0.1</v>
      </c>
      <c r="L1242" t="s">
        <v>41</v>
      </c>
      <c r="M1242">
        <v>343.72799999999995</v>
      </c>
      <c r="N1242">
        <v>229.15199999999996</v>
      </c>
      <c r="O1242" s="10">
        <v>105.26599999999999</v>
      </c>
      <c r="P1242" s="10">
        <v>0.30624796350602806</v>
      </c>
      <c r="Q1242" s="8">
        <v>343.72800000000001</v>
      </c>
      <c r="R1242" t="s">
        <v>44</v>
      </c>
      <c r="S1242" t="s">
        <v>48</v>
      </c>
      <c r="T1242" t="s">
        <v>2931</v>
      </c>
      <c r="U1242">
        <v>0</v>
      </c>
      <c r="V1242" t="str">
        <f>IF(CleanedTable[[#This Row],[Returned]] = 0,"NO","Yes")</f>
        <v>NO</v>
      </c>
      <c r="W1242" t="s">
        <v>1291</v>
      </c>
      <c r="X1242" t="s">
        <v>2709</v>
      </c>
      <c r="Y1242" s="10">
        <v>9.31</v>
      </c>
      <c r="Z1242" s="3">
        <v>45798</v>
      </c>
      <c r="AA1242" s="3">
        <v>45800</v>
      </c>
      <c r="AB1242" t="s">
        <v>2922</v>
      </c>
      <c r="AC1242">
        <v>2</v>
      </c>
    </row>
    <row r="1243" spans="1:29" x14ac:dyDescent="0.3">
      <c r="A1243" s="3">
        <v>45798</v>
      </c>
      <c r="B1243" s="3" t="str">
        <f>TEXT(CleanedTable[[#This Row],[OrderDate]],"mmm")</f>
        <v>May</v>
      </c>
      <c r="C1243" s="3" t="str">
        <f>TEXT(CleanedTable[[#This Row],[OrderDate]],"yyyy")</f>
        <v>2025</v>
      </c>
      <c r="D1243" s="3" t="str">
        <f>TEXT(CleanedTable[[#This Row],[OrderDate]],"mmm yyyy")</f>
        <v>May 2025</v>
      </c>
      <c r="E1243" t="s">
        <v>19</v>
      </c>
      <c r="F1243" t="s">
        <v>27</v>
      </c>
      <c r="G1243" s="12">
        <v>7</v>
      </c>
      <c r="H1243" s="8">
        <v>15.06</v>
      </c>
      <c r="I1243" t="s">
        <v>32</v>
      </c>
      <c r="J1243" t="s">
        <v>36</v>
      </c>
      <c r="K1243" s="10">
        <v>0</v>
      </c>
      <c r="L1243" t="s">
        <v>38</v>
      </c>
      <c r="M1243">
        <v>105.42</v>
      </c>
      <c r="N1243">
        <v>63.251999999999995</v>
      </c>
      <c r="O1243" s="10">
        <v>-4.4019999999999939</v>
      </c>
      <c r="P1243" s="10">
        <v>-4.1756782394232535E-2</v>
      </c>
      <c r="Q1243" s="8">
        <v>105.42</v>
      </c>
      <c r="R1243" t="s">
        <v>47</v>
      </c>
      <c r="T1243" t="s">
        <v>2932</v>
      </c>
      <c r="U1243">
        <v>1</v>
      </c>
      <c r="V1243" t="str">
        <f>IF(CleanedTable[[#This Row],[Returned]] = 0,"NO","Yes")</f>
        <v>Yes</v>
      </c>
      <c r="W1243" t="s">
        <v>1292</v>
      </c>
      <c r="X1243" t="s">
        <v>2710</v>
      </c>
      <c r="Y1243" s="10">
        <v>46.57</v>
      </c>
      <c r="Z1243" s="3">
        <v>45798</v>
      </c>
      <c r="AA1243" s="3">
        <v>45803</v>
      </c>
      <c r="AB1243" t="s">
        <v>2922</v>
      </c>
      <c r="AC1243">
        <v>5</v>
      </c>
    </row>
    <row r="1244" spans="1:29" x14ac:dyDescent="0.3">
      <c r="A1244" s="3">
        <v>44990</v>
      </c>
      <c r="B1244" s="3" t="str">
        <f>TEXT(CleanedTable[[#This Row],[OrderDate]],"mmm")</f>
        <v>Mar</v>
      </c>
      <c r="C1244" s="3" t="str">
        <f>TEXT(CleanedTable[[#This Row],[OrderDate]],"yyyy")</f>
        <v>2023</v>
      </c>
      <c r="D1244" s="3" t="str">
        <f>TEXT(CleanedTable[[#This Row],[OrderDate]],"mmm yyyy")</f>
        <v>Mar 2023</v>
      </c>
      <c r="E1244" t="s">
        <v>19</v>
      </c>
      <c r="F1244" t="s">
        <v>30</v>
      </c>
      <c r="G1244" s="12">
        <v>11</v>
      </c>
      <c r="H1244" s="8">
        <v>488.17</v>
      </c>
      <c r="I1244" t="s">
        <v>31</v>
      </c>
      <c r="J1244" t="s">
        <v>35</v>
      </c>
      <c r="K1244" s="10">
        <v>0.05</v>
      </c>
      <c r="L1244" t="s">
        <v>42</v>
      </c>
      <c r="M1244">
        <v>5101.3764999999994</v>
      </c>
      <c r="N1244">
        <v>3221.922</v>
      </c>
      <c r="O1244" s="10">
        <v>1841.9844999999993</v>
      </c>
      <c r="P1244" s="10">
        <v>0.36107597625856463</v>
      </c>
      <c r="Q1244" s="8">
        <v>5101.3764999999994</v>
      </c>
      <c r="R1244" t="s">
        <v>47</v>
      </c>
      <c r="S1244" t="s">
        <v>50</v>
      </c>
      <c r="T1244" t="s">
        <v>2931</v>
      </c>
      <c r="U1244">
        <v>1</v>
      </c>
      <c r="V1244" t="str">
        <f>IF(CleanedTable[[#This Row],[Returned]] = 0,"NO","Yes")</f>
        <v>Yes</v>
      </c>
      <c r="W1244" t="s">
        <v>1293</v>
      </c>
      <c r="X1244" t="s">
        <v>2711</v>
      </c>
      <c r="Y1244" s="10">
        <v>37.47</v>
      </c>
      <c r="Z1244" s="3">
        <v>44990</v>
      </c>
      <c r="AA1244" s="3">
        <v>44996</v>
      </c>
      <c r="AB1244" t="s">
        <v>2922</v>
      </c>
      <c r="AC1244">
        <v>6</v>
      </c>
    </row>
    <row r="1245" spans="1:29" x14ac:dyDescent="0.3">
      <c r="A1245" s="3">
        <v>45592</v>
      </c>
      <c r="B1245" s="3" t="str">
        <f>TEXT(CleanedTable[[#This Row],[OrderDate]],"mmm")</f>
        <v>Oct</v>
      </c>
      <c r="C1245" s="3" t="str">
        <f>TEXT(CleanedTable[[#This Row],[OrderDate]],"yyyy")</f>
        <v>2024</v>
      </c>
      <c r="D1245" s="3" t="str">
        <f>TEXT(CleanedTable[[#This Row],[OrderDate]],"mmm yyyy")</f>
        <v>Oct 2024</v>
      </c>
      <c r="E1245" t="s">
        <v>20</v>
      </c>
      <c r="F1245" t="s">
        <v>29</v>
      </c>
      <c r="G1245" s="12">
        <v>10</v>
      </c>
      <c r="H1245" s="8">
        <v>268.39</v>
      </c>
      <c r="I1245" t="s">
        <v>31</v>
      </c>
      <c r="J1245" t="s">
        <v>36</v>
      </c>
      <c r="K1245" s="10">
        <v>0.05</v>
      </c>
      <c r="L1245" t="s">
        <v>38</v>
      </c>
      <c r="M1245">
        <v>2549.7049999999995</v>
      </c>
      <c r="N1245">
        <v>1610.34</v>
      </c>
      <c r="O1245" s="10">
        <v>913.50499999999954</v>
      </c>
      <c r="P1245" s="10">
        <v>0.35827870283032731</v>
      </c>
      <c r="Q1245" s="8">
        <v>2549.704999999999</v>
      </c>
      <c r="R1245" t="s">
        <v>45</v>
      </c>
      <c r="S1245" t="s">
        <v>49</v>
      </c>
      <c r="T1245" t="s">
        <v>2931</v>
      </c>
      <c r="U1245">
        <v>0</v>
      </c>
      <c r="V1245" t="str">
        <f>IF(CleanedTable[[#This Row],[Returned]] = 0,"NO","Yes")</f>
        <v>NO</v>
      </c>
      <c r="W1245" t="s">
        <v>1294</v>
      </c>
      <c r="X1245" t="s">
        <v>2434</v>
      </c>
      <c r="Y1245" s="10">
        <v>25.86</v>
      </c>
      <c r="Z1245" s="3">
        <v>45592</v>
      </c>
      <c r="AA1245" s="3">
        <v>45598</v>
      </c>
      <c r="AB1245" t="s">
        <v>2923</v>
      </c>
      <c r="AC1245">
        <v>6</v>
      </c>
    </row>
    <row r="1246" spans="1:29" x14ac:dyDescent="0.3">
      <c r="A1246" s="3">
        <v>45740</v>
      </c>
      <c r="B1246" s="3" t="str">
        <f>TEXT(CleanedTable[[#This Row],[OrderDate]],"mmm")</f>
        <v>Mar</v>
      </c>
      <c r="C1246" s="3" t="str">
        <f>TEXT(CleanedTable[[#This Row],[OrderDate]],"yyyy")</f>
        <v>2025</v>
      </c>
      <c r="D1246" s="3" t="str">
        <f>TEXT(CleanedTable[[#This Row],[OrderDate]],"mmm yyyy")</f>
        <v>Mar 2025</v>
      </c>
      <c r="E1246" t="s">
        <v>21</v>
      </c>
      <c r="F1246" t="s">
        <v>29</v>
      </c>
      <c r="G1246" s="12">
        <v>5</v>
      </c>
      <c r="H1246" s="8">
        <v>64.180000000000007</v>
      </c>
      <c r="I1246" t="s">
        <v>33</v>
      </c>
      <c r="J1246" t="s">
        <v>36</v>
      </c>
      <c r="K1246" s="10">
        <v>0.1</v>
      </c>
      <c r="L1246" t="s">
        <v>37</v>
      </c>
      <c r="M1246">
        <v>288.81000000000006</v>
      </c>
      <c r="N1246">
        <v>192.54000000000002</v>
      </c>
      <c r="O1246" s="10">
        <v>75.100000000000037</v>
      </c>
      <c r="P1246" s="10">
        <v>0.26003254734946857</v>
      </c>
      <c r="Q1246" s="8">
        <v>288.81000000000012</v>
      </c>
      <c r="R1246" t="s">
        <v>44</v>
      </c>
      <c r="S1246" t="s">
        <v>49</v>
      </c>
      <c r="T1246" t="s">
        <v>2931</v>
      </c>
      <c r="U1246">
        <v>0</v>
      </c>
      <c r="V1246" t="str">
        <f>IF(CleanedTable[[#This Row],[Returned]] = 0,"NO","Yes")</f>
        <v>NO</v>
      </c>
      <c r="W1246" t="s">
        <v>1295</v>
      </c>
      <c r="X1246" t="s">
        <v>2712</v>
      </c>
      <c r="Y1246" s="10">
        <v>21.17</v>
      </c>
      <c r="Z1246" s="3">
        <v>45740</v>
      </c>
      <c r="AA1246" s="3">
        <v>45745</v>
      </c>
      <c r="AB1246" t="s">
        <v>2924</v>
      </c>
      <c r="AC1246">
        <v>5</v>
      </c>
    </row>
    <row r="1247" spans="1:29" x14ac:dyDescent="0.3">
      <c r="A1247" s="3">
        <v>45556</v>
      </c>
      <c r="B1247" s="3" t="str">
        <f>TEXT(CleanedTable[[#This Row],[OrderDate]],"mmm")</f>
        <v>Sep</v>
      </c>
      <c r="C1247" s="3" t="str">
        <f>TEXT(CleanedTable[[#This Row],[OrderDate]],"yyyy")</f>
        <v>2024</v>
      </c>
      <c r="D1247" s="3" t="str">
        <f>TEXT(CleanedTable[[#This Row],[OrderDate]],"mmm yyyy")</f>
        <v>Sep 2024</v>
      </c>
      <c r="E1247" t="s">
        <v>23</v>
      </c>
      <c r="F1247" t="s">
        <v>25</v>
      </c>
      <c r="G1247" s="12">
        <v>15</v>
      </c>
      <c r="H1247" s="8">
        <v>466.55</v>
      </c>
      <c r="I1247" t="s">
        <v>32</v>
      </c>
      <c r="J1247" t="s">
        <v>36</v>
      </c>
      <c r="K1247" s="10">
        <v>0.05</v>
      </c>
      <c r="L1247" t="s">
        <v>38</v>
      </c>
      <c r="M1247">
        <v>6648.3374999999996</v>
      </c>
      <c r="N1247">
        <v>4198.95</v>
      </c>
      <c r="O1247" s="10">
        <v>2412.7075</v>
      </c>
      <c r="P1247" s="10">
        <v>0.36290388386570327</v>
      </c>
      <c r="Q1247" s="8">
        <v>6648.3374999999996</v>
      </c>
      <c r="R1247" t="s">
        <v>47</v>
      </c>
      <c r="S1247" t="s">
        <v>49</v>
      </c>
      <c r="T1247" t="s">
        <v>2931</v>
      </c>
      <c r="U1247">
        <v>1</v>
      </c>
      <c r="V1247" t="str">
        <f>IF(CleanedTable[[#This Row],[Returned]] = 0,"NO","Yes")</f>
        <v>Yes</v>
      </c>
      <c r="W1247" t="s">
        <v>1296</v>
      </c>
      <c r="X1247" t="s">
        <v>2713</v>
      </c>
      <c r="Y1247" s="10">
        <v>36.68</v>
      </c>
      <c r="Z1247" s="3">
        <v>45556</v>
      </c>
      <c r="AA1247" s="3">
        <v>45562</v>
      </c>
      <c r="AB1247" t="s">
        <v>2926</v>
      </c>
      <c r="AC1247">
        <v>6</v>
      </c>
    </row>
    <row r="1248" spans="1:29" x14ac:dyDescent="0.3">
      <c r="A1248" s="3">
        <v>45795</v>
      </c>
      <c r="B1248" s="3" t="str">
        <f>TEXT(CleanedTable[[#This Row],[OrderDate]],"mmm")</f>
        <v>May</v>
      </c>
      <c r="C1248" s="3" t="str">
        <f>TEXT(CleanedTable[[#This Row],[OrderDate]],"yyyy")</f>
        <v>2025</v>
      </c>
      <c r="D1248" s="3" t="str">
        <f>TEXT(CleanedTable[[#This Row],[OrderDate]],"mmm yyyy")</f>
        <v>May 2025</v>
      </c>
      <c r="E1248" t="s">
        <v>21</v>
      </c>
      <c r="F1248" t="s">
        <v>26</v>
      </c>
      <c r="G1248" s="12">
        <v>8</v>
      </c>
      <c r="H1248" s="8">
        <v>505.34</v>
      </c>
      <c r="I1248" t="s">
        <v>31</v>
      </c>
      <c r="J1248" t="s">
        <v>36</v>
      </c>
      <c r="K1248" s="10">
        <v>0.05</v>
      </c>
      <c r="L1248" t="s">
        <v>42</v>
      </c>
      <c r="M1248">
        <v>3840.5839999999998</v>
      </c>
      <c r="N1248">
        <v>2425.6319999999996</v>
      </c>
      <c r="O1248" s="10">
        <v>1392.0720000000001</v>
      </c>
      <c r="P1248" s="10">
        <v>0.36246362532364873</v>
      </c>
      <c r="Q1248" s="8">
        <v>3840.5839999999998</v>
      </c>
      <c r="R1248" t="s">
        <v>46</v>
      </c>
      <c r="T1248" t="s">
        <v>2932</v>
      </c>
      <c r="U1248">
        <v>0</v>
      </c>
      <c r="V1248" t="str">
        <f>IF(CleanedTable[[#This Row],[Returned]] = 0,"NO","Yes")</f>
        <v>NO</v>
      </c>
      <c r="W1248" t="s">
        <v>1297</v>
      </c>
      <c r="X1248" t="s">
        <v>2714</v>
      </c>
      <c r="Y1248" s="10">
        <v>22.88</v>
      </c>
      <c r="Z1248" s="3">
        <v>45795</v>
      </c>
      <c r="AA1248" s="3">
        <v>45804</v>
      </c>
      <c r="AB1248" t="s">
        <v>2924</v>
      </c>
      <c r="AC1248">
        <v>9</v>
      </c>
    </row>
    <row r="1249" spans="1:29" x14ac:dyDescent="0.3">
      <c r="A1249" s="3">
        <v>45484</v>
      </c>
      <c r="B1249" s="3" t="str">
        <f>TEXT(CleanedTable[[#This Row],[OrderDate]],"mmm")</f>
        <v>Jul</v>
      </c>
      <c r="C1249" s="3" t="str">
        <f>TEXT(CleanedTable[[#This Row],[OrderDate]],"yyyy")</f>
        <v>2024</v>
      </c>
      <c r="D1249" s="3" t="str">
        <f>TEXT(CleanedTable[[#This Row],[OrderDate]],"mmm yyyy")</f>
        <v>Jul 2024</v>
      </c>
      <c r="E1249" t="s">
        <v>19</v>
      </c>
      <c r="F1249" t="s">
        <v>28</v>
      </c>
      <c r="G1249" s="12">
        <v>6</v>
      </c>
      <c r="H1249" s="8">
        <v>100.75</v>
      </c>
      <c r="I1249" t="s">
        <v>32</v>
      </c>
      <c r="J1249" t="s">
        <v>35</v>
      </c>
      <c r="K1249" s="10">
        <v>0.1</v>
      </c>
      <c r="L1249" t="s">
        <v>39</v>
      </c>
      <c r="M1249">
        <v>544.05000000000007</v>
      </c>
      <c r="N1249">
        <v>362.7</v>
      </c>
      <c r="O1249" s="10">
        <v>168.37000000000009</v>
      </c>
      <c r="P1249" s="10">
        <v>0.30947523205587735</v>
      </c>
      <c r="Q1249" s="8">
        <v>544.05000000000007</v>
      </c>
      <c r="R1249" t="s">
        <v>45</v>
      </c>
      <c r="S1249" t="s">
        <v>48</v>
      </c>
      <c r="T1249" t="s">
        <v>2931</v>
      </c>
      <c r="U1249">
        <v>0</v>
      </c>
      <c r="V1249" t="str">
        <f>IF(CleanedTable[[#This Row],[Returned]] = 0,"NO","Yes")</f>
        <v>NO</v>
      </c>
      <c r="W1249" t="s">
        <v>1298</v>
      </c>
      <c r="X1249" t="s">
        <v>2715</v>
      </c>
      <c r="Y1249" s="10">
        <v>12.98</v>
      </c>
      <c r="Z1249" s="3">
        <v>45484</v>
      </c>
      <c r="AA1249" s="3">
        <v>45487</v>
      </c>
      <c r="AB1249" t="s">
        <v>2922</v>
      </c>
      <c r="AC1249">
        <v>3</v>
      </c>
    </row>
    <row r="1250" spans="1:29" x14ac:dyDescent="0.3">
      <c r="A1250" s="3">
        <v>45684</v>
      </c>
      <c r="B1250" s="3" t="str">
        <f>TEXT(CleanedTable[[#This Row],[OrderDate]],"mmm")</f>
        <v>Jan</v>
      </c>
      <c r="C1250" s="3" t="str">
        <f>TEXT(CleanedTable[[#This Row],[OrderDate]],"yyyy")</f>
        <v>2025</v>
      </c>
      <c r="D1250" s="3" t="str">
        <f>TEXT(CleanedTable[[#This Row],[OrderDate]],"mmm yyyy")</f>
        <v>Jan 2025</v>
      </c>
      <c r="E1250" t="s">
        <v>21</v>
      </c>
      <c r="F1250" t="s">
        <v>29</v>
      </c>
      <c r="G1250" s="12">
        <v>8</v>
      </c>
      <c r="H1250" s="8">
        <v>352.72</v>
      </c>
      <c r="I1250" t="s">
        <v>33</v>
      </c>
      <c r="J1250" t="s">
        <v>36</v>
      </c>
      <c r="K1250" s="10">
        <v>0.05</v>
      </c>
      <c r="L1250" t="s">
        <v>40</v>
      </c>
      <c r="M1250">
        <v>2680.672</v>
      </c>
      <c r="N1250">
        <v>1693.056</v>
      </c>
      <c r="O1250" s="10">
        <v>956.81600000000003</v>
      </c>
      <c r="P1250" s="10">
        <v>0.35693139630659776</v>
      </c>
      <c r="Q1250" s="8">
        <v>2680.672</v>
      </c>
      <c r="R1250" t="s">
        <v>47</v>
      </c>
      <c r="T1250" t="s">
        <v>2932</v>
      </c>
      <c r="U1250">
        <v>0</v>
      </c>
      <c r="V1250" t="str">
        <f>IF(CleanedTable[[#This Row],[Returned]] = 0,"NO","Yes")</f>
        <v>NO</v>
      </c>
      <c r="W1250" t="s">
        <v>1299</v>
      </c>
      <c r="X1250" t="s">
        <v>2716</v>
      </c>
      <c r="Y1250" s="10">
        <v>30.8</v>
      </c>
      <c r="Z1250" s="3">
        <v>45684</v>
      </c>
      <c r="AA1250" s="3">
        <v>45692</v>
      </c>
      <c r="AB1250" t="s">
        <v>2924</v>
      </c>
      <c r="AC1250">
        <v>8</v>
      </c>
    </row>
    <row r="1251" spans="1:29" x14ac:dyDescent="0.3">
      <c r="A1251" s="3">
        <v>45256</v>
      </c>
      <c r="B1251" s="3" t="str">
        <f>TEXT(CleanedTable[[#This Row],[OrderDate]],"mmm")</f>
        <v>Nov</v>
      </c>
      <c r="C1251" s="3" t="str">
        <f>TEXT(CleanedTable[[#This Row],[OrderDate]],"yyyy")</f>
        <v>2023</v>
      </c>
      <c r="D1251" s="3" t="str">
        <f>TEXT(CleanedTable[[#This Row],[OrderDate]],"mmm yyyy")</f>
        <v>Nov 2023</v>
      </c>
      <c r="E1251" t="s">
        <v>19</v>
      </c>
      <c r="F1251" t="s">
        <v>24</v>
      </c>
      <c r="G1251" s="12">
        <v>9</v>
      </c>
      <c r="H1251" s="8">
        <v>526.26</v>
      </c>
      <c r="I1251" t="s">
        <v>31</v>
      </c>
      <c r="J1251" t="s">
        <v>36</v>
      </c>
      <c r="K1251" s="10">
        <v>0</v>
      </c>
      <c r="L1251" t="s">
        <v>42</v>
      </c>
      <c r="M1251">
        <v>4736.34</v>
      </c>
      <c r="N1251">
        <v>2841.8039999999996</v>
      </c>
      <c r="O1251" s="10">
        <v>1879.0660000000005</v>
      </c>
      <c r="P1251" s="10">
        <v>0.39673376489018958</v>
      </c>
      <c r="Q1251" s="8">
        <v>4736.34</v>
      </c>
      <c r="R1251" t="s">
        <v>47</v>
      </c>
      <c r="S1251" t="s">
        <v>48</v>
      </c>
      <c r="T1251" t="s">
        <v>2931</v>
      </c>
      <c r="U1251">
        <v>0</v>
      </c>
      <c r="V1251" t="str">
        <f>IF(CleanedTable[[#This Row],[Returned]] = 0,"NO","Yes")</f>
        <v>NO</v>
      </c>
      <c r="W1251" t="s">
        <v>1300</v>
      </c>
      <c r="X1251" t="s">
        <v>2215</v>
      </c>
      <c r="Y1251" s="10">
        <v>15.47</v>
      </c>
      <c r="Z1251" s="3">
        <v>45256</v>
      </c>
      <c r="AA1251" s="3">
        <v>45266</v>
      </c>
      <c r="AB1251" t="s">
        <v>2922</v>
      </c>
      <c r="AC1251">
        <v>10</v>
      </c>
    </row>
    <row r="1252" spans="1:29" x14ac:dyDescent="0.3">
      <c r="A1252" s="3">
        <v>45445</v>
      </c>
      <c r="B1252" s="3" t="str">
        <f>TEXT(CleanedTable[[#This Row],[OrderDate]],"mmm")</f>
        <v>Jun</v>
      </c>
      <c r="C1252" s="3" t="str">
        <f>TEXT(CleanedTable[[#This Row],[OrderDate]],"yyyy")</f>
        <v>2024</v>
      </c>
      <c r="D1252" s="3" t="str">
        <f>TEXT(CleanedTable[[#This Row],[OrderDate]],"mmm yyyy")</f>
        <v>Jun 2024</v>
      </c>
      <c r="E1252" t="s">
        <v>22</v>
      </c>
      <c r="F1252" t="s">
        <v>30</v>
      </c>
      <c r="G1252" s="12">
        <v>18</v>
      </c>
      <c r="H1252" s="8">
        <v>519.41999999999996</v>
      </c>
      <c r="I1252" t="s">
        <v>33</v>
      </c>
      <c r="J1252" t="s">
        <v>36</v>
      </c>
      <c r="K1252" s="10">
        <v>0.15</v>
      </c>
      <c r="L1252" t="s">
        <v>37</v>
      </c>
      <c r="M1252">
        <v>7947.1259999999993</v>
      </c>
      <c r="N1252">
        <v>5609.7359999999999</v>
      </c>
      <c r="O1252" s="10">
        <v>2304.4299999999994</v>
      </c>
      <c r="P1252" s="10">
        <v>0.28997023578083442</v>
      </c>
      <c r="Q1252" s="8">
        <v>7947.1259999999993</v>
      </c>
      <c r="R1252" t="s">
        <v>47</v>
      </c>
      <c r="S1252" t="s">
        <v>50</v>
      </c>
      <c r="T1252" t="s">
        <v>2931</v>
      </c>
      <c r="U1252">
        <v>0</v>
      </c>
      <c r="V1252" t="str">
        <f>IF(CleanedTable[[#This Row],[Returned]] = 0,"NO","Yes")</f>
        <v>NO</v>
      </c>
      <c r="W1252" t="s">
        <v>1301</v>
      </c>
      <c r="X1252" t="s">
        <v>2717</v>
      </c>
      <c r="Y1252" s="10">
        <v>32.96</v>
      </c>
      <c r="Z1252" s="3">
        <v>45445</v>
      </c>
      <c r="AA1252" s="3">
        <v>45447</v>
      </c>
      <c r="AB1252" t="s">
        <v>2925</v>
      </c>
      <c r="AC1252">
        <v>2</v>
      </c>
    </row>
    <row r="1253" spans="1:29" x14ac:dyDescent="0.3">
      <c r="A1253" s="3">
        <v>44943</v>
      </c>
      <c r="B1253" s="3" t="str">
        <f>TEXT(CleanedTable[[#This Row],[OrderDate]],"mmm")</f>
        <v>Jan</v>
      </c>
      <c r="C1253" s="3" t="str">
        <f>TEXT(CleanedTable[[#This Row],[OrderDate]],"yyyy")</f>
        <v>2023</v>
      </c>
      <c r="D1253" s="3" t="str">
        <f>TEXT(CleanedTable[[#This Row],[OrderDate]],"mmm yyyy")</f>
        <v>Jan 2023</v>
      </c>
      <c r="E1253" t="s">
        <v>21</v>
      </c>
      <c r="F1253" t="s">
        <v>27</v>
      </c>
      <c r="G1253" s="12">
        <v>18</v>
      </c>
      <c r="H1253" s="8">
        <v>108.46</v>
      </c>
      <c r="I1253" t="s">
        <v>34</v>
      </c>
      <c r="J1253" t="s">
        <v>35</v>
      </c>
      <c r="K1253" s="10">
        <v>0.05</v>
      </c>
      <c r="L1253" t="s">
        <v>39</v>
      </c>
      <c r="M1253">
        <v>1854.6659999999999</v>
      </c>
      <c r="N1253">
        <v>1171.3679999999999</v>
      </c>
      <c r="O1253" s="10">
        <v>672.57799999999997</v>
      </c>
      <c r="P1253" s="10">
        <v>0.3626410361757858</v>
      </c>
      <c r="Q1253" s="8">
        <v>1854.6659999999999</v>
      </c>
      <c r="R1253" t="s">
        <v>43</v>
      </c>
      <c r="S1253" t="s">
        <v>49</v>
      </c>
      <c r="T1253" t="s">
        <v>2931</v>
      </c>
      <c r="U1253">
        <v>0</v>
      </c>
      <c r="V1253" t="str">
        <f>IF(CleanedTable[[#This Row],[Returned]] = 0,"NO","Yes")</f>
        <v>NO</v>
      </c>
      <c r="W1253" t="s">
        <v>1302</v>
      </c>
      <c r="X1253" t="s">
        <v>2718</v>
      </c>
      <c r="Y1253" s="10">
        <v>10.72</v>
      </c>
      <c r="Z1253" s="3">
        <v>44943</v>
      </c>
      <c r="AA1253" s="3">
        <v>44950</v>
      </c>
      <c r="AB1253" t="s">
        <v>2924</v>
      </c>
      <c r="AC1253">
        <v>7</v>
      </c>
    </row>
    <row r="1254" spans="1:29" x14ac:dyDescent="0.3">
      <c r="A1254" s="3">
        <v>45780</v>
      </c>
      <c r="B1254" s="3" t="str">
        <f>TEXT(CleanedTable[[#This Row],[OrderDate]],"mmm")</f>
        <v>May</v>
      </c>
      <c r="C1254" s="3" t="str">
        <f>TEXT(CleanedTable[[#This Row],[OrderDate]],"yyyy")</f>
        <v>2025</v>
      </c>
      <c r="D1254" s="3" t="str">
        <f>TEXT(CleanedTable[[#This Row],[OrderDate]],"mmm yyyy")</f>
        <v>May 2025</v>
      </c>
      <c r="E1254" t="s">
        <v>21</v>
      </c>
      <c r="F1254" t="s">
        <v>26</v>
      </c>
      <c r="G1254" s="12">
        <v>13</v>
      </c>
      <c r="H1254" s="8">
        <v>420.68</v>
      </c>
      <c r="I1254" t="s">
        <v>34</v>
      </c>
      <c r="J1254" t="s">
        <v>35</v>
      </c>
      <c r="K1254" s="10">
        <v>0.05</v>
      </c>
      <c r="L1254" t="s">
        <v>39</v>
      </c>
      <c r="M1254">
        <v>5195.3980000000001</v>
      </c>
      <c r="N1254">
        <v>3281.3039999999996</v>
      </c>
      <c r="O1254" s="10">
        <v>1889.5840000000005</v>
      </c>
      <c r="P1254" s="10">
        <v>0.36370341598468497</v>
      </c>
      <c r="Q1254" s="8">
        <v>5195.3980000000001</v>
      </c>
      <c r="R1254" t="s">
        <v>43</v>
      </c>
      <c r="T1254" t="s">
        <v>2932</v>
      </c>
      <c r="U1254">
        <v>0</v>
      </c>
      <c r="V1254" t="str">
        <f>IF(CleanedTable[[#This Row],[Returned]] = 0,"NO","Yes")</f>
        <v>NO</v>
      </c>
      <c r="W1254" t="s">
        <v>1303</v>
      </c>
      <c r="X1254" t="s">
        <v>2719</v>
      </c>
      <c r="Y1254" s="10">
        <v>24.51</v>
      </c>
      <c r="Z1254" s="3">
        <v>45780</v>
      </c>
      <c r="AA1254" s="3">
        <v>45788</v>
      </c>
      <c r="AB1254" t="s">
        <v>2924</v>
      </c>
      <c r="AC1254">
        <v>8</v>
      </c>
    </row>
    <row r="1255" spans="1:29" x14ac:dyDescent="0.3">
      <c r="A1255" s="3">
        <v>45662</v>
      </c>
      <c r="B1255" s="3" t="str">
        <f>TEXT(CleanedTable[[#This Row],[OrderDate]],"mmm")</f>
        <v>Jan</v>
      </c>
      <c r="C1255" s="3" t="str">
        <f>TEXT(CleanedTable[[#This Row],[OrderDate]],"yyyy")</f>
        <v>2025</v>
      </c>
      <c r="D1255" s="3" t="str">
        <f>TEXT(CleanedTable[[#This Row],[OrderDate]],"mmm yyyy")</f>
        <v>Jan 2025</v>
      </c>
      <c r="E1255" t="s">
        <v>21</v>
      </c>
      <c r="F1255" t="s">
        <v>30</v>
      </c>
      <c r="G1255" s="12">
        <v>17</v>
      </c>
      <c r="H1255" s="8">
        <v>5.91</v>
      </c>
      <c r="I1255" t="s">
        <v>32</v>
      </c>
      <c r="J1255" t="s">
        <v>35</v>
      </c>
      <c r="K1255" s="10">
        <v>0.15</v>
      </c>
      <c r="L1255" t="s">
        <v>37</v>
      </c>
      <c r="M1255">
        <v>85.399500000000003</v>
      </c>
      <c r="N1255">
        <v>60.281999999999996</v>
      </c>
      <c r="O1255" s="10">
        <v>-19.732499999999995</v>
      </c>
      <c r="P1255" s="10">
        <v>-0.2310610717861345</v>
      </c>
      <c r="Q1255" s="8">
        <v>85.399500000000003</v>
      </c>
      <c r="R1255" t="s">
        <v>43</v>
      </c>
      <c r="S1255" t="s">
        <v>49</v>
      </c>
      <c r="T1255" t="s">
        <v>2931</v>
      </c>
      <c r="U1255">
        <v>0</v>
      </c>
      <c r="V1255" t="str">
        <f>IF(CleanedTable[[#This Row],[Returned]] = 0,"NO","Yes")</f>
        <v>NO</v>
      </c>
      <c r="W1255" t="s">
        <v>1304</v>
      </c>
      <c r="X1255" t="s">
        <v>2720</v>
      </c>
      <c r="Y1255" s="10">
        <v>44.85</v>
      </c>
      <c r="Z1255" s="3">
        <v>45662</v>
      </c>
      <c r="AA1255" s="3">
        <v>45670</v>
      </c>
      <c r="AB1255" t="s">
        <v>2924</v>
      </c>
      <c r="AC1255">
        <v>8</v>
      </c>
    </row>
    <row r="1256" spans="1:29" x14ac:dyDescent="0.3">
      <c r="A1256" s="3">
        <v>45342</v>
      </c>
      <c r="B1256" s="3" t="str">
        <f>TEXT(CleanedTable[[#This Row],[OrderDate]],"mmm")</f>
        <v>Feb</v>
      </c>
      <c r="C1256" s="3" t="str">
        <f>TEXT(CleanedTable[[#This Row],[OrderDate]],"yyyy")</f>
        <v>2024</v>
      </c>
      <c r="D1256" s="3" t="str">
        <f>TEXT(CleanedTable[[#This Row],[OrderDate]],"mmm yyyy")</f>
        <v>Feb 2024</v>
      </c>
      <c r="E1256" t="s">
        <v>19</v>
      </c>
      <c r="F1256" t="s">
        <v>25</v>
      </c>
      <c r="G1256" s="12">
        <v>4</v>
      </c>
      <c r="H1256" s="8">
        <v>452.77</v>
      </c>
      <c r="I1256" t="s">
        <v>31</v>
      </c>
      <c r="J1256" t="s">
        <v>36</v>
      </c>
      <c r="K1256" s="10">
        <v>0</v>
      </c>
      <c r="L1256" t="s">
        <v>41</v>
      </c>
      <c r="M1256">
        <v>1811.08</v>
      </c>
      <c r="N1256">
        <v>1086.6479999999999</v>
      </c>
      <c r="O1256" s="10">
        <v>692.42200000000003</v>
      </c>
      <c r="P1256" s="10">
        <v>0.38232546325949163</v>
      </c>
      <c r="Q1256" s="8">
        <v>1811.08</v>
      </c>
      <c r="R1256" t="s">
        <v>46</v>
      </c>
      <c r="S1256" t="s">
        <v>49</v>
      </c>
      <c r="T1256" t="s">
        <v>2931</v>
      </c>
      <c r="U1256">
        <v>0</v>
      </c>
      <c r="V1256" t="str">
        <f>IF(CleanedTable[[#This Row],[Returned]] = 0,"NO","Yes")</f>
        <v>NO</v>
      </c>
      <c r="W1256" t="s">
        <v>1305</v>
      </c>
      <c r="X1256" t="s">
        <v>2721</v>
      </c>
      <c r="Y1256" s="10">
        <v>32.01</v>
      </c>
      <c r="Z1256" s="3">
        <v>45342</v>
      </c>
      <c r="AA1256" s="3">
        <v>45352</v>
      </c>
      <c r="AB1256" t="s">
        <v>2922</v>
      </c>
      <c r="AC1256">
        <v>10</v>
      </c>
    </row>
    <row r="1257" spans="1:29" x14ac:dyDescent="0.3">
      <c r="A1257" s="3">
        <v>45286</v>
      </c>
      <c r="B1257" s="3" t="str">
        <f>TEXT(CleanedTable[[#This Row],[OrderDate]],"mmm")</f>
        <v>Dec</v>
      </c>
      <c r="C1257" s="3" t="str">
        <f>TEXT(CleanedTable[[#This Row],[OrderDate]],"yyyy")</f>
        <v>2023</v>
      </c>
      <c r="D1257" s="3" t="str">
        <f>TEXT(CleanedTable[[#This Row],[OrderDate]],"mmm yyyy")</f>
        <v>Dec 2023</v>
      </c>
      <c r="E1257" t="s">
        <v>21</v>
      </c>
      <c r="F1257" t="s">
        <v>28</v>
      </c>
      <c r="G1257" s="12">
        <v>7</v>
      </c>
      <c r="H1257" s="8">
        <v>157</v>
      </c>
      <c r="I1257" t="s">
        <v>32</v>
      </c>
      <c r="J1257" t="s">
        <v>35</v>
      </c>
      <c r="K1257" s="10">
        <v>0.15</v>
      </c>
      <c r="L1257" t="s">
        <v>38</v>
      </c>
      <c r="M1257">
        <v>934.15</v>
      </c>
      <c r="N1257">
        <v>659.4</v>
      </c>
      <c r="O1257" s="10">
        <v>235.03</v>
      </c>
      <c r="P1257" s="10">
        <v>0.25159770914735324</v>
      </c>
      <c r="Q1257" s="8">
        <v>934.15</v>
      </c>
      <c r="R1257" t="s">
        <v>43</v>
      </c>
      <c r="S1257" t="s">
        <v>49</v>
      </c>
      <c r="T1257" t="s">
        <v>2931</v>
      </c>
      <c r="U1257">
        <v>1</v>
      </c>
      <c r="V1257" t="str">
        <f>IF(CleanedTable[[#This Row],[Returned]] = 0,"NO","Yes")</f>
        <v>Yes</v>
      </c>
      <c r="W1257" t="s">
        <v>1306</v>
      </c>
      <c r="X1257" t="s">
        <v>1952</v>
      </c>
      <c r="Y1257" s="10">
        <v>39.72</v>
      </c>
      <c r="Z1257" s="3">
        <v>45286</v>
      </c>
      <c r="AA1257" s="3">
        <v>45295</v>
      </c>
      <c r="AB1257" t="s">
        <v>2924</v>
      </c>
      <c r="AC1257">
        <v>9</v>
      </c>
    </row>
    <row r="1258" spans="1:29" x14ac:dyDescent="0.3">
      <c r="A1258" s="3">
        <v>44992</v>
      </c>
      <c r="B1258" s="3" t="str">
        <f>TEXT(CleanedTable[[#This Row],[OrderDate]],"mmm")</f>
        <v>Mar</v>
      </c>
      <c r="C1258" s="3" t="str">
        <f>TEXT(CleanedTable[[#This Row],[OrderDate]],"yyyy")</f>
        <v>2023</v>
      </c>
      <c r="D1258" s="3" t="str">
        <f>TEXT(CleanedTable[[#This Row],[OrderDate]],"mmm yyyy")</f>
        <v>Mar 2023</v>
      </c>
      <c r="E1258" t="s">
        <v>21</v>
      </c>
      <c r="F1258" t="s">
        <v>30</v>
      </c>
      <c r="G1258" s="12">
        <v>11</v>
      </c>
      <c r="H1258" s="8">
        <v>550.86</v>
      </c>
      <c r="I1258" t="s">
        <v>33</v>
      </c>
      <c r="J1258" t="s">
        <v>36</v>
      </c>
      <c r="K1258" s="10">
        <v>0.1</v>
      </c>
      <c r="L1258" t="s">
        <v>42</v>
      </c>
      <c r="M1258">
        <v>5453.5140000000001</v>
      </c>
      <c r="N1258">
        <v>3635.6760000000004</v>
      </c>
      <c r="O1258" s="10">
        <v>1796.0179999999998</v>
      </c>
      <c r="P1258" s="10">
        <v>0.32933224339389239</v>
      </c>
      <c r="Q1258" s="8">
        <v>5453.5140000000001</v>
      </c>
      <c r="R1258" t="s">
        <v>43</v>
      </c>
      <c r="S1258" t="s">
        <v>48</v>
      </c>
      <c r="T1258" t="s">
        <v>2931</v>
      </c>
      <c r="U1258">
        <v>0</v>
      </c>
      <c r="V1258" t="str">
        <f>IF(CleanedTable[[#This Row],[Returned]] = 0,"NO","Yes")</f>
        <v>NO</v>
      </c>
      <c r="W1258" t="s">
        <v>1307</v>
      </c>
      <c r="X1258" t="s">
        <v>2722</v>
      </c>
      <c r="Y1258" s="10">
        <v>21.82</v>
      </c>
      <c r="Z1258" s="3">
        <v>44992</v>
      </c>
      <c r="AA1258" s="3">
        <v>44997</v>
      </c>
      <c r="AB1258" t="s">
        <v>2924</v>
      </c>
      <c r="AC1258">
        <v>5</v>
      </c>
    </row>
    <row r="1259" spans="1:29" x14ac:dyDescent="0.3">
      <c r="A1259" s="3">
        <v>45548</v>
      </c>
      <c r="B1259" s="3" t="str">
        <f>TEXT(CleanedTable[[#This Row],[OrderDate]],"mmm")</f>
        <v>Sep</v>
      </c>
      <c r="C1259" s="3" t="str">
        <f>TEXT(CleanedTable[[#This Row],[OrderDate]],"yyyy")</f>
        <v>2024</v>
      </c>
      <c r="D1259" s="3" t="str">
        <f>TEXT(CleanedTable[[#This Row],[OrderDate]],"mmm yyyy")</f>
        <v>Sep 2024</v>
      </c>
      <c r="E1259" t="s">
        <v>21</v>
      </c>
      <c r="F1259" t="s">
        <v>27</v>
      </c>
      <c r="G1259" s="12">
        <v>5</v>
      </c>
      <c r="H1259" s="8">
        <v>172.65</v>
      </c>
      <c r="I1259" t="s">
        <v>33</v>
      </c>
      <c r="J1259" t="s">
        <v>35</v>
      </c>
      <c r="K1259" s="10">
        <v>0.15</v>
      </c>
      <c r="L1259" t="s">
        <v>38</v>
      </c>
      <c r="M1259">
        <v>733.76249999999993</v>
      </c>
      <c r="N1259">
        <v>517.95000000000005</v>
      </c>
      <c r="O1259" s="10">
        <v>187.51249999999987</v>
      </c>
      <c r="P1259" s="10">
        <v>0.25554930921108654</v>
      </c>
      <c r="Q1259" s="8">
        <v>733.76249999999993</v>
      </c>
      <c r="R1259" t="s">
        <v>47</v>
      </c>
      <c r="S1259" t="s">
        <v>49</v>
      </c>
      <c r="T1259" t="s">
        <v>2931</v>
      </c>
      <c r="U1259">
        <v>0</v>
      </c>
      <c r="V1259" t="str">
        <f>IF(CleanedTable[[#This Row],[Returned]] = 0,"NO","Yes")</f>
        <v>NO</v>
      </c>
      <c r="W1259" t="s">
        <v>1308</v>
      </c>
      <c r="X1259" t="s">
        <v>2723</v>
      </c>
      <c r="Y1259" s="10">
        <v>28.3</v>
      </c>
      <c r="Z1259" s="3">
        <v>45548</v>
      </c>
      <c r="AA1259" s="3">
        <v>45557</v>
      </c>
      <c r="AB1259" t="s">
        <v>2924</v>
      </c>
      <c r="AC1259">
        <v>9</v>
      </c>
    </row>
    <row r="1260" spans="1:29" x14ac:dyDescent="0.3">
      <c r="A1260" s="3">
        <v>45293</v>
      </c>
      <c r="B1260" s="3" t="str">
        <f>TEXT(CleanedTable[[#This Row],[OrderDate]],"mmm")</f>
        <v>Jan</v>
      </c>
      <c r="C1260" s="3" t="str">
        <f>TEXT(CleanedTable[[#This Row],[OrderDate]],"yyyy")</f>
        <v>2024</v>
      </c>
      <c r="D1260" s="3" t="str">
        <f>TEXT(CleanedTable[[#This Row],[OrderDate]],"mmm yyyy")</f>
        <v>Jan 2024</v>
      </c>
      <c r="E1260" t="s">
        <v>19</v>
      </c>
      <c r="F1260" t="s">
        <v>29</v>
      </c>
      <c r="G1260" s="12">
        <v>16</v>
      </c>
      <c r="H1260" s="8">
        <v>145.30000000000001</v>
      </c>
      <c r="I1260" t="s">
        <v>31</v>
      </c>
      <c r="J1260" t="s">
        <v>35</v>
      </c>
      <c r="K1260" s="10">
        <v>0</v>
      </c>
      <c r="L1260" t="s">
        <v>37</v>
      </c>
      <c r="M1260">
        <v>2324.8000000000002</v>
      </c>
      <c r="N1260">
        <v>1394.88</v>
      </c>
      <c r="O1260" s="10">
        <v>900.28000000000009</v>
      </c>
      <c r="P1260" s="10">
        <v>0.38725051617343426</v>
      </c>
      <c r="Q1260" s="8">
        <v>2324.8000000000002</v>
      </c>
      <c r="R1260" t="s">
        <v>45</v>
      </c>
      <c r="S1260" t="s">
        <v>48</v>
      </c>
      <c r="T1260" t="s">
        <v>2931</v>
      </c>
      <c r="U1260">
        <v>1</v>
      </c>
      <c r="V1260" t="str">
        <f>IF(CleanedTable[[#This Row],[Returned]] = 0,"NO","Yes")</f>
        <v>Yes</v>
      </c>
      <c r="W1260" t="s">
        <v>1309</v>
      </c>
      <c r="X1260" t="s">
        <v>2724</v>
      </c>
      <c r="Y1260" s="10">
        <v>29.64</v>
      </c>
      <c r="Z1260" s="3">
        <v>45293</v>
      </c>
      <c r="AA1260" s="3">
        <v>45303</v>
      </c>
      <c r="AB1260" t="s">
        <v>2922</v>
      </c>
      <c r="AC1260">
        <v>10</v>
      </c>
    </row>
    <row r="1261" spans="1:29" x14ac:dyDescent="0.3">
      <c r="A1261" s="3">
        <v>45696</v>
      </c>
      <c r="B1261" s="3" t="str">
        <f>TEXT(CleanedTable[[#This Row],[OrderDate]],"mmm")</f>
        <v>Feb</v>
      </c>
      <c r="C1261" s="3" t="str">
        <f>TEXT(CleanedTable[[#This Row],[OrderDate]],"yyyy")</f>
        <v>2025</v>
      </c>
      <c r="D1261" s="3" t="str">
        <f>TEXT(CleanedTable[[#This Row],[OrderDate]],"mmm yyyy")</f>
        <v>Feb 2025</v>
      </c>
      <c r="E1261" t="s">
        <v>20</v>
      </c>
      <c r="F1261" t="s">
        <v>30</v>
      </c>
      <c r="G1261" s="12">
        <v>10</v>
      </c>
      <c r="H1261" s="8">
        <v>67.38</v>
      </c>
      <c r="I1261" t="s">
        <v>33</v>
      </c>
      <c r="J1261" t="s">
        <v>36</v>
      </c>
      <c r="K1261" s="10">
        <v>0.1</v>
      </c>
      <c r="L1261" t="s">
        <v>41</v>
      </c>
      <c r="M1261">
        <v>606.41999999999996</v>
      </c>
      <c r="N1261">
        <v>404.28</v>
      </c>
      <c r="O1261" s="10">
        <v>181.56</v>
      </c>
      <c r="P1261" s="10">
        <v>0.29939645790046504</v>
      </c>
      <c r="Q1261" s="8">
        <v>606.41999999999996</v>
      </c>
      <c r="R1261" t="s">
        <v>44</v>
      </c>
      <c r="S1261" t="s">
        <v>48</v>
      </c>
      <c r="T1261" t="s">
        <v>2931</v>
      </c>
      <c r="U1261">
        <v>1</v>
      </c>
      <c r="V1261" t="str">
        <f>IF(CleanedTable[[#This Row],[Returned]] = 0,"NO","Yes")</f>
        <v>Yes</v>
      </c>
      <c r="W1261" t="s">
        <v>1310</v>
      </c>
      <c r="X1261" t="s">
        <v>1591</v>
      </c>
      <c r="Y1261" s="10">
        <v>20.58</v>
      </c>
      <c r="Z1261" s="3">
        <v>45696</v>
      </c>
      <c r="AA1261" s="3">
        <v>45706</v>
      </c>
      <c r="AB1261" t="s">
        <v>2923</v>
      </c>
      <c r="AC1261">
        <v>10</v>
      </c>
    </row>
    <row r="1262" spans="1:29" x14ac:dyDescent="0.3">
      <c r="A1262" s="3">
        <v>45720</v>
      </c>
      <c r="B1262" s="3" t="str">
        <f>TEXT(CleanedTable[[#This Row],[OrderDate]],"mmm")</f>
        <v>Mar</v>
      </c>
      <c r="C1262" s="3" t="str">
        <f>TEXT(CleanedTable[[#This Row],[OrderDate]],"yyyy")</f>
        <v>2025</v>
      </c>
      <c r="D1262" s="3" t="str">
        <f>TEXT(CleanedTable[[#This Row],[OrderDate]],"mmm yyyy")</f>
        <v>Mar 2025</v>
      </c>
      <c r="E1262" t="s">
        <v>20</v>
      </c>
      <c r="F1262" t="s">
        <v>30</v>
      </c>
      <c r="G1262" s="12">
        <v>15</v>
      </c>
      <c r="H1262" s="8">
        <v>141.13</v>
      </c>
      <c r="I1262" t="s">
        <v>34</v>
      </c>
      <c r="J1262" t="s">
        <v>35</v>
      </c>
      <c r="K1262" s="10">
        <v>0</v>
      </c>
      <c r="L1262" t="s">
        <v>40</v>
      </c>
      <c r="M1262">
        <v>2116.9499999999998</v>
      </c>
      <c r="N1262">
        <v>1270.17</v>
      </c>
      <c r="O1262" s="10">
        <v>827.14999999999975</v>
      </c>
      <c r="P1262" s="10">
        <v>0.39072722548950134</v>
      </c>
      <c r="Q1262" s="8">
        <v>2116.9499999999998</v>
      </c>
      <c r="R1262" t="s">
        <v>47</v>
      </c>
      <c r="S1262" t="s">
        <v>49</v>
      </c>
      <c r="T1262" t="s">
        <v>2931</v>
      </c>
      <c r="U1262">
        <v>0</v>
      </c>
      <c r="V1262" t="str">
        <f>IF(CleanedTable[[#This Row],[Returned]] = 0,"NO","Yes")</f>
        <v>NO</v>
      </c>
      <c r="W1262" t="s">
        <v>1311</v>
      </c>
      <c r="X1262" t="s">
        <v>2725</v>
      </c>
      <c r="Y1262" s="10">
        <v>19.63</v>
      </c>
      <c r="Z1262" s="3">
        <v>45720</v>
      </c>
      <c r="AA1262" s="3">
        <v>45728</v>
      </c>
      <c r="AB1262" t="s">
        <v>2923</v>
      </c>
      <c r="AC1262">
        <v>8</v>
      </c>
    </row>
    <row r="1263" spans="1:29" x14ac:dyDescent="0.3">
      <c r="A1263" s="3">
        <v>45363</v>
      </c>
      <c r="B1263" s="3" t="str">
        <f>TEXT(CleanedTable[[#This Row],[OrderDate]],"mmm")</f>
        <v>Mar</v>
      </c>
      <c r="C1263" s="3" t="str">
        <f>TEXT(CleanedTable[[#This Row],[OrderDate]],"yyyy")</f>
        <v>2024</v>
      </c>
      <c r="D1263" s="3" t="str">
        <f>TEXT(CleanedTable[[#This Row],[OrderDate]],"mmm yyyy")</f>
        <v>Mar 2024</v>
      </c>
      <c r="E1263" t="s">
        <v>22</v>
      </c>
      <c r="F1263" t="s">
        <v>29</v>
      </c>
      <c r="G1263" s="12">
        <v>1</v>
      </c>
      <c r="H1263" s="8">
        <v>534.61</v>
      </c>
      <c r="I1263" t="s">
        <v>34</v>
      </c>
      <c r="J1263" t="s">
        <v>36</v>
      </c>
      <c r="K1263" s="10">
        <v>0.05</v>
      </c>
      <c r="L1263" t="s">
        <v>39</v>
      </c>
      <c r="M1263">
        <v>507.87950000000001</v>
      </c>
      <c r="N1263">
        <v>320.76600000000002</v>
      </c>
      <c r="O1263" s="10">
        <v>164.43349999999998</v>
      </c>
      <c r="P1263" s="10">
        <v>0.3237647906639271</v>
      </c>
      <c r="Q1263" s="8">
        <v>507.87950000000001</v>
      </c>
      <c r="R1263" t="s">
        <v>43</v>
      </c>
      <c r="S1263" t="s">
        <v>49</v>
      </c>
      <c r="T1263" t="s">
        <v>2931</v>
      </c>
      <c r="U1263">
        <v>0</v>
      </c>
      <c r="V1263" t="str">
        <f>IF(CleanedTable[[#This Row],[Returned]] = 0,"NO","Yes")</f>
        <v>NO</v>
      </c>
      <c r="W1263" t="s">
        <v>1312</v>
      </c>
      <c r="X1263" t="s">
        <v>2726</v>
      </c>
      <c r="Y1263" s="10">
        <v>22.68</v>
      </c>
      <c r="Z1263" s="3">
        <v>45363</v>
      </c>
      <c r="AA1263" s="3">
        <v>45372</v>
      </c>
      <c r="AB1263" t="s">
        <v>2925</v>
      </c>
      <c r="AC1263">
        <v>9</v>
      </c>
    </row>
    <row r="1264" spans="1:29" x14ac:dyDescent="0.3">
      <c r="A1264" s="3">
        <v>45476</v>
      </c>
      <c r="B1264" s="3" t="str">
        <f>TEXT(CleanedTable[[#This Row],[OrderDate]],"mmm")</f>
        <v>Jul</v>
      </c>
      <c r="C1264" s="3" t="str">
        <f>TEXT(CleanedTable[[#This Row],[OrderDate]],"yyyy")</f>
        <v>2024</v>
      </c>
      <c r="D1264" s="3" t="str">
        <f>TEXT(CleanedTable[[#This Row],[OrderDate]],"mmm yyyy")</f>
        <v>Jul 2024</v>
      </c>
      <c r="E1264" t="s">
        <v>19</v>
      </c>
      <c r="F1264" t="s">
        <v>25</v>
      </c>
      <c r="G1264" s="12">
        <v>9</v>
      </c>
      <c r="H1264" s="8">
        <v>560.04</v>
      </c>
      <c r="I1264" t="s">
        <v>34</v>
      </c>
      <c r="J1264" t="s">
        <v>36</v>
      </c>
      <c r="K1264" s="10">
        <v>0.05</v>
      </c>
      <c r="L1264" t="s">
        <v>40</v>
      </c>
      <c r="M1264">
        <v>4788.3419999999996</v>
      </c>
      <c r="N1264">
        <v>3024.2159999999994</v>
      </c>
      <c r="O1264" s="10">
        <v>1741.3160000000003</v>
      </c>
      <c r="P1264" s="10">
        <v>0.36365739957588666</v>
      </c>
      <c r="Q1264" s="8">
        <v>4788.3419999999996</v>
      </c>
      <c r="R1264" t="s">
        <v>44</v>
      </c>
      <c r="S1264" t="s">
        <v>50</v>
      </c>
      <c r="T1264" t="s">
        <v>2931</v>
      </c>
      <c r="U1264">
        <v>0</v>
      </c>
      <c r="V1264" t="str">
        <f>IF(CleanedTable[[#This Row],[Returned]] = 0,"NO","Yes")</f>
        <v>NO</v>
      </c>
      <c r="W1264" t="s">
        <v>1313</v>
      </c>
      <c r="X1264" t="s">
        <v>2727</v>
      </c>
      <c r="Y1264" s="10">
        <v>22.81</v>
      </c>
      <c r="Z1264" s="3">
        <v>45476</v>
      </c>
      <c r="AA1264" s="3">
        <v>45480</v>
      </c>
      <c r="AB1264" t="s">
        <v>2922</v>
      </c>
      <c r="AC1264">
        <v>4</v>
      </c>
    </row>
    <row r="1265" spans="1:29" x14ac:dyDescent="0.3">
      <c r="A1265" s="3">
        <v>45662</v>
      </c>
      <c r="B1265" s="3" t="str">
        <f>TEXT(CleanedTable[[#This Row],[OrderDate]],"mmm")</f>
        <v>Jan</v>
      </c>
      <c r="C1265" s="3" t="str">
        <f>TEXT(CleanedTable[[#This Row],[OrderDate]],"yyyy")</f>
        <v>2025</v>
      </c>
      <c r="D1265" s="3" t="str">
        <f>TEXT(CleanedTable[[#This Row],[OrderDate]],"mmm yyyy")</f>
        <v>Jan 2025</v>
      </c>
      <c r="E1265" t="s">
        <v>21</v>
      </c>
      <c r="F1265" t="s">
        <v>24</v>
      </c>
      <c r="G1265" s="12">
        <v>8</v>
      </c>
      <c r="H1265" s="8">
        <v>275.32</v>
      </c>
      <c r="I1265" t="s">
        <v>34</v>
      </c>
      <c r="J1265" t="s">
        <v>36</v>
      </c>
      <c r="K1265" s="10">
        <v>0.1</v>
      </c>
      <c r="L1265" t="s">
        <v>41</v>
      </c>
      <c r="M1265">
        <v>1982.3040000000001</v>
      </c>
      <c r="N1265">
        <v>1321.5359999999998</v>
      </c>
      <c r="O1265" s="10">
        <v>642.50800000000027</v>
      </c>
      <c r="P1265" s="10">
        <v>0.3241218299514102</v>
      </c>
      <c r="Q1265" s="8">
        <v>1982.3040000000001</v>
      </c>
      <c r="R1265" t="s">
        <v>47</v>
      </c>
      <c r="S1265" t="s">
        <v>49</v>
      </c>
      <c r="T1265" t="s">
        <v>2931</v>
      </c>
      <c r="U1265">
        <v>0</v>
      </c>
      <c r="V1265" t="str">
        <f>IF(CleanedTable[[#This Row],[Returned]] = 0,"NO","Yes")</f>
        <v>NO</v>
      </c>
      <c r="W1265" t="s">
        <v>1314</v>
      </c>
      <c r="X1265" t="s">
        <v>2728</v>
      </c>
      <c r="Y1265" s="10">
        <v>18.260000000000002</v>
      </c>
      <c r="Z1265" s="3">
        <v>45662</v>
      </c>
      <c r="AA1265" s="3">
        <v>45670</v>
      </c>
      <c r="AB1265" t="s">
        <v>2924</v>
      </c>
      <c r="AC1265">
        <v>8</v>
      </c>
    </row>
    <row r="1266" spans="1:29" x14ac:dyDescent="0.3">
      <c r="A1266" s="3">
        <v>45372</v>
      </c>
      <c r="B1266" s="3" t="str">
        <f>TEXT(CleanedTable[[#This Row],[OrderDate]],"mmm")</f>
        <v>Mar</v>
      </c>
      <c r="C1266" s="3" t="str">
        <f>TEXT(CleanedTable[[#This Row],[OrderDate]],"yyyy")</f>
        <v>2024</v>
      </c>
      <c r="D1266" s="3" t="str">
        <f>TEXT(CleanedTable[[#This Row],[OrderDate]],"mmm yyyy")</f>
        <v>Mar 2024</v>
      </c>
      <c r="E1266" t="s">
        <v>19</v>
      </c>
      <c r="F1266" t="s">
        <v>25</v>
      </c>
      <c r="G1266" s="12">
        <v>3</v>
      </c>
      <c r="H1266" s="8">
        <v>105.73</v>
      </c>
      <c r="I1266" t="s">
        <v>34</v>
      </c>
      <c r="J1266" t="s">
        <v>36</v>
      </c>
      <c r="K1266" s="10">
        <v>0.05</v>
      </c>
      <c r="L1266" t="s">
        <v>42</v>
      </c>
      <c r="M1266">
        <v>301.33049999999997</v>
      </c>
      <c r="N1266">
        <v>190.31400000000002</v>
      </c>
      <c r="O1266" s="10">
        <v>98.896499999999946</v>
      </c>
      <c r="P1266" s="10">
        <v>0.32819943550354164</v>
      </c>
      <c r="Q1266" s="8">
        <v>301.33049999999997</v>
      </c>
      <c r="R1266" t="s">
        <v>46</v>
      </c>
      <c r="S1266" t="s">
        <v>48</v>
      </c>
      <c r="T1266" t="s">
        <v>2931</v>
      </c>
      <c r="U1266">
        <v>1</v>
      </c>
      <c r="V1266" t="str">
        <f>IF(CleanedTable[[#This Row],[Returned]] = 0,"NO","Yes")</f>
        <v>Yes</v>
      </c>
      <c r="W1266" t="s">
        <v>1315</v>
      </c>
      <c r="X1266" t="s">
        <v>2729</v>
      </c>
      <c r="Y1266" s="10">
        <v>12.12</v>
      </c>
      <c r="Z1266" s="3">
        <v>45372</v>
      </c>
      <c r="AA1266" s="3">
        <v>45379</v>
      </c>
      <c r="AB1266" t="s">
        <v>2922</v>
      </c>
      <c r="AC1266">
        <v>7</v>
      </c>
    </row>
    <row r="1267" spans="1:29" x14ac:dyDescent="0.3">
      <c r="A1267" s="3">
        <v>45744</v>
      </c>
      <c r="B1267" s="3" t="str">
        <f>TEXT(CleanedTable[[#This Row],[OrderDate]],"mmm")</f>
        <v>Mar</v>
      </c>
      <c r="C1267" s="3" t="str">
        <f>TEXT(CleanedTable[[#This Row],[OrderDate]],"yyyy")</f>
        <v>2025</v>
      </c>
      <c r="D1267" s="3" t="str">
        <f>TEXT(CleanedTable[[#This Row],[OrderDate]],"mmm yyyy")</f>
        <v>Mar 2025</v>
      </c>
      <c r="E1267" t="s">
        <v>22</v>
      </c>
      <c r="F1267" t="s">
        <v>28</v>
      </c>
      <c r="G1267" s="12">
        <v>15</v>
      </c>
      <c r="H1267" s="8">
        <v>568.80999999999995</v>
      </c>
      <c r="I1267" t="s">
        <v>34</v>
      </c>
      <c r="J1267" t="s">
        <v>36</v>
      </c>
      <c r="K1267" s="10">
        <v>0.1</v>
      </c>
      <c r="L1267" t="s">
        <v>39</v>
      </c>
      <c r="M1267">
        <v>7678.9349999999995</v>
      </c>
      <c r="N1267">
        <v>5119.2899999999991</v>
      </c>
      <c r="O1267" s="10">
        <v>2551.1050000000005</v>
      </c>
      <c r="P1267" s="10">
        <v>0.33222119994504457</v>
      </c>
      <c r="Q1267" s="8">
        <v>7678.9349999999986</v>
      </c>
      <c r="R1267" t="s">
        <v>44</v>
      </c>
      <c r="T1267" t="s">
        <v>2932</v>
      </c>
      <c r="U1267">
        <v>0</v>
      </c>
      <c r="V1267" t="str">
        <f>IF(CleanedTable[[#This Row],[Returned]] = 0,"NO","Yes")</f>
        <v>NO</v>
      </c>
      <c r="W1267" t="s">
        <v>1316</v>
      </c>
      <c r="X1267" t="s">
        <v>2730</v>
      </c>
      <c r="Y1267" s="10">
        <v>8.5399999999999991</v>
      </c>
      <c r="Z1267" s="3">
        <v>45744</v>
      </c>
      <c r="AA1267" s="3">
        <v>45750</v>
      </c>
      <c r="AB1267" t="s">
        <v>2925</v>
      </c>
      <c r="AC1267">
        <v>6</v>
      </c>
    </row>
    <row r="1268" spans="1:29" x14ac:dyDescent="0.3">
      <c r="A1268" s="3">
        <v>45760</v>
      </c>
      <c r="B1268" s="3" t="str">
        <f>TEXT(CleanedTable[[#This Row],[OrderDate]],"mmm")</f>
        <v>Apr</v>
      </c>
      <c r="C1268" s="3" t="str">
        <f>TEXT(CleanedTable[[#This Row],[OrderDate]],"yyyy")</f>
        <v>2025</v>
      </c>
      <c r="D1268" s="3" t="str">
        <f>TEXT(CleanedTable[[#This Row],[OrderDate]],"mmm yyyy")</f>
        <v>Apr 2025</v>
      </c>
      <c r="E1268" t="s">
        <v>22</v>
      </c>
      <c r="F1268" t="s">
        <v>24</v>
      </c>
      <c r="G1268" s="12">
        <v>20</v>
      </c>
      <c r="H1268" s="8">
        <v>190.39</v>
      </c>
      <c r="I1268" t="s">
        <v>31</v>
      </c>
      <c r="J1268" t="s">
        <v>36</v>
      </c>
      <c r="K1268" s="10">
        <v>0.1</v>
      </c>
      <c r="L1268" t="s">
        <v>42</v>
      </c>
      <c r="M1268">
        <v>3427.02</v>
      </c>
      <c r="N1268">
        <v>2284.6799999999998</v>
      </c>
      <c r="O1268" s="10">
        <v>1092.4100000000001</v>
      </c>
      <c r="P1268" s="10">
        <v>0.31876382396367692</v>
      </c>
      <c r="Q1268" s="8">
        <v>3427.02</v>
      </c>
      <c r="R1268" t="s">
        <v>44</v>
      </c>
      <c r="S1268" t="s">
        <v>49</v>
      </c>
      <c r="T1268" t="s">
        <v>2931</v>
      </c>
      <c r="U1268">
        <v>0</v>
      </c>
      <c r="V1268" t="str">
        <f>IF(CleanedTable[[#This Row],[Returned]] = 0,"NO","Yes")</f>
        <v>NO</v>
      </c>
      <c r="W1268" t="s">
        <v>1317</v>
      </c>
      <c r="X1268" t="s">
        <v>2731</v>
      </c>
      <c r="Y1268" s="10">
        <v>49.93</v>
      </c>
      <c r="Z1268" s="3">
        <v>45760</v>
      </c>
      <c r="AA1268" s="3">
        <v>45765</v>
      </c>
      <c r="AB1268" t="s">
        <v>2925</v>
      </c>
      <c r="AC1268">
        <v>5</v>
      </c>
    </row>
    <row r="1269" spans="1:29" x14ac:dyDescent="0.3">
      <c r="A1269" s="3">
        <v>45412</v>
      </c>
      <c r="B1269" s="3" t="str">
        <f>TEXT(CleanedTable[[#This Row],[OrderDate]],"mmm")</f>
        <v>Apr</v>
      </c>
      <c r="C1269" s="3" t="str">
        <f>TEXT(CleanedTable[[#This Row],[OrderDate]],"yyyy")</f>
        <v>2024</v>
      </c>
      <c r="D1269" s="3" t="str">
        <f>TEXT(CleanedTable[[#This Row],[OrderDate]],"mmm yyyy")</f>
        <v>Apr 2024</v>
      </c>
      <c r="E1269" t="s">
        <v>23</v>
      </c>
      <c r="F1269" t="s">
        <v>27</v>
      </c>
      <c r="G1269" s="12">
        <v>19</v>
      </c>
      <c r="H1269" s="8">
        <v>433.39</v>
      </c>
      <c r="I1269" t="s">
        <v>33</v>
      </c>
      <c r="J1269" t="s">
        <v>36</v>
      </c>
      <c r="K1269" s="10">
        <v>0.05</v>
      </c>
      <c r="L1269" t="s">
        <v>42</v>
      </c>
      <c r="M1269">
        <v>7822.6894999999995</v>
      </c>
      <c r="N1269">
        <v>4940.6459999999997</v>
      </c>
      <c r="O1269" s="10">
        <v>2874.4534999999996</v>
      </c>
      <c r="P1269" s="10">
        <v>0.36745079809188386</v>
      </c>
      <c r="Q1269" s="8">
        <v>7822.6894999999986</v>
      </c>
      <c r="R1269" t="s">
        <v>43</v>
      </c>
      <c r="S1269" t="s">
        <v>50</v>
      </c>
      <c r="T1269" t="s">
        <v>2931</v>
      </c>
      <c r="U1269">
        <v>0</v>
      </c>
      <c r="V1269" t="str">
        <f>IF(CleanedTable[[#This Row],[Returned]] = 0,"NO","Yes")</f>
        <v>NO</v>
      </c>
      <c r="W1269" t="s">
        <v>1318</v>
      </c>
      <c r="X1269" t="s">
        <v>2732</v>
      </c>
      <c r="Y1269" s="10">
        <v>7.59</v>
      </c>
      <c r="Z1269" s="3">
        <v>45412</v>
      </c>
      <c r="AA1269" s="3">
        <v>45421</v>
      </c>
      <c r="AB1269" t="s">
        <v>2926</v>
      </c>
      <c r="AC1269">
        <v>9</v>
      </c>
    </row>
    <row r="1270" spans="1:29" x14ac:dyDescent="0.3">
      <c r="A1270" s="3">
        <v>45703</v>
      </c>
      <c r="B1270" s="3" t="str">
        <f>TEXT(CleanedTable[[#This Row],[OrderDate]],"mmm")</f>
        <v>Feb</v>
      </c>
      <c r="C1270" s="3" t="str">
        <f>TEXT(CleanedTable[[#This Row],[OrderDate]],"yyyy")</f>
        <v>2025</v>
      </c>
      <c r="D1270" s="3" t="str">
        <f>TEXT(CleanedTable[[#This Row],[OrderDate]],"mmm yyyy")</f>
        <v>Feb 2025</v>
      </c>
      <c r="E1270" t="s">
        <v>20</v>
      </c>
      <c r="F1270" t="s">
        <v>25</v>
      </c>
      <c r="G1270" s="12">
        <v>1</v>
      </c>
      <c r="H1270" s="8">
        <v>92.72</v>
      </c>
      <c r="I1270" t="s">
        <v>33</v>
      </c>
      <c r="J1270" t="s">
        <v>35</v>
      </c>
      <c r="K1270" s="10">
        <v>0.15</v>
      </c>
      <c r="L1270" t="s">
        <v>37</v>
      </c>
      <c r="M1270">
        <v>78.811999999999998</v>
      </c>
      <c r="N1270">
        <v>55.631999999999998</v>
      </c>
      <c r="O1270" s="10">
        <v>-25.28</v>
      </c>
      <c r="P1270" s="10">
        <v>-0.32076333553266001</v>
      </c>
      <c r="Q1270" s="8">
        <v>78.811999999999998</v>
      </c>
      <c r="R1270" t="s">
        <v>46</v>
      </c>
      <c r="S1270" t="s">
        <v>50</v>
      </c>
      <c r="T1270" t="s">
        <v>2931</v>
      </c>
      <c r="U1270">
        <v>0</v>
      </c>
      <c r="V1270" t="str">
        <f>IF(CleanedTable[[#This Row],[Returned]] = 0,"NO","Yes")</f>
        <v>NO</v>
      </c>
      <c r="W1270" t="s">
        <v>1319</v>
      </c>
      <c r="X1270" t="s">
        <v>2733</v>
      </c>
      <c r="Y1270" s="10">
        <v>48.46</v>
      </c>
      <c r="Z1270" s="3">
        <v>45703</v>
      </c>
      <c r="AA1270" s="3">
        <v>45707</v>
      </c>
      <c r="AB1270" t="s">
        <v>2923</v>
      </c>
      <c r="AC1270">
        <v>4</v>
      </c>
    </row>
    <row r="1271" spans="1:29" x14ac:dyDescent="0.3">
      <c r="A1271" s="3">
        <v>45706</v>
      </c>
      <c r="B1271" s="3" t="str">
        <f>TEXT(CleanedTable[[#This Row],[OrderDate]],"mmm")</f>
        <v>Feb</v>
      </c>
      <c r="C1271" s="3" t="str">
        <f>TEXT(CleanedTable[[#This Row],[OrderDate]],"yyyy")</f>
        <v>2025</v>
      </c>
      <c r="D1271" s="3" t="str">
        <f>TEXT(CleanedTable[[#This Row],[OrderDate]],"mmm yyyy")</f>
        <v>Feb 2025</v>
      </c>
      <c r="E1271" t="s">
        <v>23</v>
      </c>
      <c r="F1271" t="s">
        <v>24</v>
      </c>
      <c r="G1271" s="12">
        <v>1</v>
      </c>
      <c r="H1271" s="8">
        <v>263.27999999999997</v>
      </c>
      <c r="I1271" t="s">
        <v>34</v>
      </c>
      <c r="J1271" t="s">
        <v>35</v>
      </c>
      <c r="K1271" s="10">
        <v>0.1</v>
      </c>
      <c r="L1271" t="s">
        <v>37</v>
      </c>
      <c r="M1271">
        <v>236.95199999999997</v>
      </c>
      <c r="N1271">
        <v>157.96799999999999</v>
      </c>
      <c r="O1271" s="10">
        <v>42.703999999999979</v>
      </c>
      <c r="P1271" s="10">
        <v>0.18022215469799785</v>
      </c>
      <c r="Q1271" s="8">
        <v>236.952</v>
      </c>
      <c r="R1271" t="s">
        <v>45</v>
      </c>
      <c r="S1271" t="s">
        <v>49</v>
      </c>
      <c r="T1271" t="s">
        <v>2931</v>
      </c>
      <c r="U1271">
        <v>0</v>
      </c>
      <c r="V1271" t="str">
        <f>IF(CleanedTable[[#This Row],[Returned]] = 0,"NO","Yes")</f>
        <v>NO</v>
      </c>
      <c r="W1271" t="s">
        <v>1320</v>
      </c>
      <c r="X1271" t="s">
        <v>2734</v>
      </c>
      <c r="Y1271" s="10">
        <v>36.28</v>
      </c>
      <c r="Z1271" s="3">
        <v>45706</v>
      </c>
      <c r="AA1271" s="3">
        <v>45711</v>
      </c>
      <c r="AB1271" t="s">
        <v>2926</v>
      </c>
      <c r="AC1271">
        <v>5</v>
      </c>
    </row>
    <row r="1272" spans="1:29" x14ac:dyDescent="0.3">
      <c r="A1272" s="3">
        <v>45177</v>
      </c>
      <c r="B1272" s="3" t="str">
        <f>TEXT(CleanedTable[[#This Row],[OrderDate]],"mmm")</f>
        <v>Sep</v>
      </c>
      <c r="C1272" s="3" t="str">
        <f>TEXT(CleanedTable[[#This Row],[OrderDate]],"yyyy")</f>
        <v>2023</v>
      </c>
      <c r="D1272" s="3" t="str">
        <f>TEXT(CleanedTable[[#This Row],[OrderDate]],"mmm yyyy")</f>
        <v>Sep 2023</v>
      </c>
      <c r="E1272" t="s">
        <v>23</v>
      </c>
      <c r="F1272" t="s">
        <v>25</v>
      </c>
      <c r="G1272" s="12">
        <v>11</v>
      </c>
      <c r="H1272" s="8">
        <v>358.59</v>
      </c>
      <c r="I1272" t="s">
        <v>31</v>
      </c>
      <c r="J1272" t="s">
        <v>35</v>
      </c>
      <c r="K1272" s="10">
        <v>0</v>
      </c>
      <c r="L1272" t="s">
        <v>39</v>
      </c>
      <c r="M1272">
        <v>3944.49</v>
      </c>
      <c r="N1272">
        <v>2366.6939999999995</v>
      </c>
      <c r="O1272" s="10">
        <v>1548.6060000000002</v>
      </c>
      <c r="P1272" s="10">
        <v>0.39259980377691422</v>
      </c>
      <c r="Q1272" s="8">
        <v>3944.49</v>
      </c>
      <c r="R1272" t="s">
        <v>45</v>
      </c>
      <c r="T1272" t="s">
        <v>2932</v>
      </c>
      <c r="U1272">
        <v>0</v>
      </c>
      <c r="V1272" t="str">
        <f>IF(CleanedTable[[#This Row],[Returned]] = 0,"NO","Yes")</f>
        <v>NO</v>
      </c>
      <c r="W1272" t="s">
        <v>1321</v>
      </c>
      <c r="X1272" t="s">
        <v>2735</v>
      </c>
      <c r="Y1272" s="10">
        <v>29.19</v>
      </c>
      <c r="Z1272" s="3">
        <v>45177</v>
      </c>
      <c r="AA1272" s="3">
        <v>45179</v>
      </c>
      <c r="AB1272" t="s">
        <v>2926</v>
      </c>
      <c r="AC1272">
        <v>2</v>
      </c>
    </row>
    <row r="1273" spans="1:29" x14ac:dyDescent="0.3">
      <c r="A1273" s="3">
        <v>45326</v>
      </c>
      <c r="B1273" s="3" t="str">
        <f>TEXT(CleanedTable[[#This Row],[OrderDate]],"mmm")</f>
        <v>Feb</v>
      </c>
      <c r="C1273" s="3" t="str">
        <f>TEXT(CleanedTable[[#This Row],[OrderDate]],"yyyy")</f>
        <v>2024</v>
      </c>
      <c r="D1273" s="3" t="str">
        <f>TEXT(CleanedTable[[#This Row],[OrderDate]],"mmm yyyy")</f>
        <v>Feb 2024</v>
      </c>
      <c r="E1273" t="s">
        <v>22</v>
      </c>
      <c r="F1273" t="s">
        <v>29</v>
      </c>
      <c r="G1273" s="12">
        <v>18</v>
      </c>
      <c r="H1273" s="8">
        <v>595.53</v>
      </c>
      <c r="I1273" t="s">
        <v>31</v>
      </c>
      <c r="J1273" t="s">
        <v>36</v>
      </c>
      <c r="K1273" s="10">
        <v>0</v>
      </c>
      <c r="L1273" t="s">
        <v>39</v>
      </c>
      <c r="M1273">
        <v>10719.539999999999</v>
      </c>
      <c r="N1273">
        <v>6431.7240000000002</v>
      </c>
      <c r="O1273" s="10">
        <v>4244.905999999999</v>
      </c>
      <c r="P1273" s="10">
        <v>0.39599702972329032</v>
      </c>
      <c r="Q1273" s="8">
        <v>10719.54</v>
      </c>
      <c r="R1273" t="s">
        <v>47</v>
      </c>
      <c r="S1273" t="s">
        <v>50</v>
      </c>
      <c r="T1273" t="s">
        <v>2931</v>
      </c>
      <c r="U1273">
        <v>0</v>
      </c>
      <c r="V1273" t="str">
        <f>IF(CleanedTable[[#This Row],[Returned]] = 0,"NO","Yes")</f>
        <v>NO</v>
      </c>
      <c r="W1273" t="s">
        <v>1322</v>
      </c>
      <c r="X1273" t="s">
        <v>2736</v>
      </c>
      <c r="Y1273" s="10">
        <v>42.91</v>
      </c>
      <c r="Z1273" s="3">
        <v>45326</v>
      </c>
      <c r="AA1273" s="3">
        <v>45328</v>
      </c>
      <c r="AB1273" t="s">
        <v>2925</v>
      </c>
      <c r="AC1273">
        <v>2</v>
      </c>
    </row>
    <row r="1274" spans="1:29" x14ac:dyDescent="0.3">
      <c r="A1274" s="3">
        <v>45621</v>
      </c>
      <c r="B1274" s="3" t="str">
        <f>TEXT(CleanedTable[[#This Row],[OrderDate]],"mmm")</f>
        <v>Nov</v>
      </c>
      <c r="C1274" s="3" t="str">
        <f>TEXT(CleanedTable[[#This Row],[OrderDate]],"yyyy")</f>
        <v>2024</v>
      </c>
      <c r="D1274" s="3" t="str">
        <f>TEXT(CleanedTable[[#This Row],[OrderDate]],"mmm yyyy")</f>
        <v>Nov 2024</v>
      </c>
      <c r="E1274" t="s">
        <v>21</v>
      </c>
      <c r="F1274" t="s">
        <v>28</v>
      </c>
      <c r="G1274" s="12">
        <v>14</v>
      </c>
      <c r="H1274" s="8">
        <v>574.32000000000005</v>
      </c>
      <c r="I1274" t="s">
        <v>34</v>
      </c>
      <c r="J1274" t="s">
        <v>35</v>
      </c>
      <c r="K1274" s="10">
        <v>0.15</v>
      </c>
      <c r="L1274" t="s">
        <v>41</v>
      </c>
      <c r="M1274">
        <v>6834.4080000000004</v>
      </c>
      <c r="N1274">
        <v>4824.2880000000005</v>
      </c>
      <c r="O1274" s="10">
        <v>1998.05</v>
      </c>
      <c r="P1274" s="10">
        <v>0.29235158334123451</v>
      </c>
      <c r="Q1274" s="8">
        <v>6834.4080000000004</v>
      </c>
      <c r="R1274" t="s">
        <v>45</v>
      </c>
      <c r="S1274" t="s">
        <v>49</v>
      </c>
      <c r="T1274" t="s">
        <v>2931</v>
      </c>
      <c r="U1274">
        <v>0</v>
      </c>
      <c r="V1274" t="str">
        <f>IF(CleanedTable[[#This Row],[Returned]] = 0,"NO","Yes")</f>
        <v>NO</v>
      </c>
      <c r="W1274" t="s">
        <v>1323</v>
      </c>
      <c r="X1274" t="s">
        <v>2737</v>
      </c>
      <c r="Y1274" s="10">
        <v>12.07</v>
      </c>
      <c r="Z1274" s="3">
        <v>45621</v>
      </c>
      <c r="AA1274" s="3">
        <v>45631</v>
      </c>
      <c r="AB1274" t="s">
        <v>2924</v>
      </c>
      <c r="AC1274">
        <v>10</v>
      </c>
    </row>
    <row r="1275" spans="1:29" x14ac:dyDescent="0.3">
      <c r="A1275" s="3">
        <v>45656</v>
      </c>
      <c r="B1275" s="3" t="str">
        <f>TEXT(CleanedTable[[#This Row],[OrderDate]],"mmm")</f>
        <v>Dec</v>
      </c>
      <c r="C1275" s="3" t="str">
        <f>TEXT(CleanedTable[[#This Row],[OrderDate]],"yyyy")</f>
        <v>2024</v>
      </c>
      <c r="D1275" s="3" t="str">
        <f>TEXT(CleanedTable[[#This Row],[OrderDate]],"mmm yyyy")</f>
        <v>Dec 2024</v>
      </c>
      <c r="E1275" t="s">
        <v>21</v>
      </c>
      <c r="F1275" t="s">
        <v>24</v>
      </c>
      <c r="G1275" s="12">
        <v>18</v>
      </c>
      <c r="H1275" s="8">
        <v>444.13</v>
      </c>
      <c r="I1275" t="s">
        <v>34</v>
      </c>
      <c r="J1275" t="s">
        <v>36</v>
      </c>
      <c r="K1275" s="10">
        <v>0</v>
      </c>
      <c r="L1275" t="s">
        <v>39</v>
      </c>
      <c r="M1275">
        <v>7994.34</v>
      </c>
      <c r="N1275">
        <v>4796.6040000000003</v>
      </c>
      <c r="O1275" s="10">
        <v>3192.326</v>
      </c>
      <c r="P1275" s="10">
        <v>0.39932327121438416</v>
      </c>
      <c r="Q1275" s="8">
        <v>7994.34</v>
      </c>
      <c r="R1275" t="s">
        <v>47</v>
      </c>
      <c r="S1275" t="s">
        <v>49</v>
      </c>
      <c r="T1275" t="s">
        <v>2931</v>
      </c>
      <c r="U1275">
        <v>0</v>
      </c>
      <c r="V1275" t="str">
        <f>IF(CleanedTable[[#This Row],[Returned]] = 0,"NO","Yes")</f>
        <v>NO</v>
      </c>
      <c r="W1275" t="s">
        <v>1324</v>
      </c>
      <c r="X1275" t="s">
        <v>2738</v>
      </c>
      <c r="Y1275" s="10">
        <v>5.41</v>
      </c>
      <c r="Z1275" s="3">
        <v>45656</v>
      </c>
      <c r="AA1275" s="3">
        <v>45659</v>
      </c>
      <c r="AB1275" t="s">
        <v>2924</v>
      </c>
      <c r="AC1275">
        <v>3</v>
      </c>
    </row>
    <row r="1276" spans="1:29" x14ac:dyDescent="0.3">
      <c r="A1276" s="3">
        <v>45174</v>
      </c>
      <c r="B1276" s="3" t="str">
        <f>TEXT(CleanedTable[[#This Row],[OrderDate]],"mmm")</f>
        <v>Sep</v>
      </c>
      <c r="C1276" s="3" t="str">
        <f>TEXT(CleanedTable[[#This Row],[OrderDate]],"yyyy")</f>
        <v>2023</v>
      </c>
      <c r="D1276" s="3" t="str">
        <f>TEXT(CleanedTable[[#This Row],[OrderDate]],"mmm yyyy")</f>
        <v>Sep 2023</v>
      </c>
      <c r="E1276" t="s">
        <v>23</v>
      </c>
      <c r="F1276" t="s">
        <v>29</v>
      </c>
      <c r="G1276" s="12">
        <v>19</v>
      </c>
      <c r="H1276" s="8">
        <v>431.47</v>
      </c>
      <c r="I1276" t="s">
        <v>32</v>
      </c>
      <c r="J1276" t="s">
        <v>36</v>
      </c>
      <c r="K1276" s="10">
        <v>0.1</v>
      </c>
      <c r="L1276" t="s">
        <v>37</v>
      </c>
      <c r="M1276">
        <v>7378.1370000000006</v>
      </c>
      <c r="N1276">
        <v>4918.7579999999998</v>
      </c>
      <c r="O1276" s="10">
        <v>2410.1490000000008</v>
      </c>
      <c r="P1276" s="10">
        <v>0.32666091724780938</v>
      </c>
      <c r="Q1276" s="8">
        <v>7378.1370000000006</v>
      </c>
      <c r="R1276" t="s">
        <v>44</v>
      </c>
      <c r="S1276" t="s">
        <v>50</v>
      </c>
      <c r="T1276" t="s">
        <v>2931</v>
      </c>
      <c r="U1276">
        <v>0</v>
      </c>
      <c r="V1276" t="str">
        <f>IF(CleanedTable[[#This Row],[Returned]] = 0,"NO","Yes")</f>
        <v>NO</v>
      </c>
      <c r="W1276" t="s">
        <v>1325</v>
      </c>
      <c r="X1276" t="s">
        <v>2739</v>
      </c>
      <c r="Y1276" s="10">
        <v>49.23</v>
      </c>
      <c r="Z1276" s="3">
        <v>45174</v>
      </c>
      <c r="AA1276" s="3">
        <v>45179</v>
      </c>
      <c r="AB1276" t="s">
        <v>2926</v>
      </c>
      <c r="AC1276">
        <v>5</v>
      </c>
    </row>
    <row r="1277" spans="1:29" x14ac:dyDescent="0.3">
      <c r="A1277" s="3">
        <v>45139</v>
      </c>
      <c r="B1277" s="3" t="str">
        <f>TEXT(CleanedTable[[#This Row],[OrderDate]],"mmm")</f>
        <v>Aug</v>
      </c>
      <c r="C1277" s="3" t="str">
        <f>TEXT(CleanedTable[[#This Row],[OrderDate]],"yyyy")</f>
        <v>2023</v>
      </c>
      <c r="D1277" s="3" t="str">
        <f>TEXT(CleanedTable[[#This Row],[OrderDate]],"mmm yyyy")</f>
        <v>Aug 2023</v>
      </c>
      <c r="E1277" t="s">
        <v>23</v>
      </c>
      <c r="F1277" t="s">
        <v>30</v>
      </c>
      <c r="G1277" s="12">
        <v>19</v>
      </c>
      <c r="H1277" s="8">
        <v>67.489999999999995</v>
      </c>
      <c r="I1277" t="s">
        <v>33</v>
      </c>
      <c r="J1277" t="s">
        <v>36</v>
      </c>
      <c r="K1277" s="10">
        <v>0</v>
      </c>
      <c r="L1277" t="s">
        <v>39</v>
      </c>
      <c r="M1277">
        <v>1282.31</v>
      </c>
      <c r="N1277">
        <v>769.38599999999985</v>
      </c>
      <c r="O1277" s="10">
        <v>480.88400000000007</v>
      </c>
      <c r="P1277" s="10">
        <v>0.37501384220664274</v>
      </c>
      <c r="Q1277" s="8">
        <v>1282.31</v>
      </c>
      <c r="R1277" t="s">
        <v>46</v>
      </c>
      <c r="S1277" t="s">
        <v>49</v>
      </c>
      <c r="T1277" t="s">
        <v>2931</v>
      </c>
      <c r="U1277">
        <v>0</v>
      </c>
      <c r="V1277" t="str">
        <f>IF(CleanedTable[[#This Row],[Returned]] = 0,"NO","Yes")</f>
        <v>NO</v>
      </c>
      <c r="W1277" t="s">
        <v>1326</v>
      </c>
      <c r="X1277" t="s">
        <v>2740</v>
      </c>
      <c r="Y1277" s="10">
        <v>32.04</v>
      </c>
      <c r="Z1277" s="3">
        <v>45139</v>
      </c>
      <c r="AA1277" s="3">
        <v>45149</v>
      </c>
      <c r="AB1277" t="s">
        <v>2926</v>
      </c>
      <c r="AC1277">
        <v>10</v>
      </c>
    </row>
    <row r="1278" spans="1:29" x14ac:dyDescent="0.3">
      <c r="A1278" s="3">
        <v>44932</v>
      </c>
      <c r="B1278" s="3" t="str">
        <f>TEXT(CleanedTable[[#This Row],[OrderDate]],"mmm")</f>
        <v>Jan</v>
      </c>
      <c r="C1278" s="3" t="str">
        <f>TEXT(CleanedTable[[#This Row],[OrderDate]],"yyyy")</f>
        <v>2023</v>
      </c>
      <c r="D1278" s="3" t="str">
        <f>TEXT(CleanedTable[[#This Row],[OrderDate]],"mmm yyyy")</f>
        <v>Jan 2023</v>
      </c>
      <c r="E1278" t="s">
        <v>22</v>
      </c>
      <c r="F1278" t="s">
        <v>29</v>
      </c>
      <c r="G1278" s="12">
        <v>11</v>
      </c>
      <c r="H1278" s="8">
        <v>25.67</v>
      </c>
      <c r="I1278" t="s">
        <v>33</v>
      </c>
      <c r="J1278" t="s">
        <v>36</v>
      </c>
      <c r="K1278" s="10">
        <v>0.15</v>
      </c>
      <c r="L1278" t="s">
        <v>40</v>
      </c>
      <c r="M1278">
        <v>240.0145</v>
      </c>
      <c r="N1278">
        <v>169.42200000000003</v>
      </c>
      <c r="O1278" s="10">
        <v>40.472499999999968</v>
      </c>
      <c r="P1278" s="10">
        <v>0.16862522889242096</v>
      </c>
      <c r="Q1278" s="8">
        <v>240.0145</v>
      </c>
      <c r="R1278" t="s">
        <v>45</v>
      </c>
      <c r="S1278" t="s">
        <v>49</v>
      </c>
      <c r="T1278" t="s">
        <v>2931</v>
      </c>
      <c r="U1278">
        <v>0</v>
      </c>
      <c r="V1278" t="str">
        <f>IF(CleanedTable[[#This Row],[Returned]] = 0,"NO","Yes")</f>
        <v>NO</v>
      </c>
      <c r="W1278" t="s">
        <v>1327</v>
      </c>
      <c r="X1278" t="s">
        <v>2741</v>
      </c>
      <c r="Y1278" s="10">
        <v>30.12</v>
      </c>
      <c r="Z1278" s="3">
        <v>44932</v>
      </c>
      <c r="AA1278" s="3">
        <v>44934</v>
      </c>
      <c r="AB1278" t="s">
        <v>2925</v>
      </c>
      <c r="AC1278">
        <v>2</v>
      </c>
    </row>
    <row r="1279" spans="1:29" x14ac:dyDescent="0.3">
      <c r="A1279" s="3">
        <v>45779</v>
      </c>
      <c r="B1279" s="3" t="str">
        <f>TEXT(CleanedTable[[#This Row],[OrderDate]],"mmm")</f>
        <v>May</v>
      </c>
      <c r="C1279" s="3" t="str">
        <f>TEXT(CleanedTable[[#This Row],[OrderDate]],"yyyy")</f>
        <v>2025</v>
      </c>
      <c r="D1279" s="3" t="str">
        <f>TEXT(CleanedTable[[#This Row],[OrderDate]],"mmm yyyy")</f>
        <v>May 2025</v>
      </c>
      <c r="E1279" t="s">
        <v>22</v>
      </c>
      <c r="F1279" t="s">
        <v>25</v>
      </c>
      <c r="G1279" s="12">
        <v>4</v>
      </c>
      <c r="H1279" s="8">
        <v>368.69</v>
      </c>
      <c r="I1279" t="s">
        <v>34</v>
      </c>
      <c r="J1279" t="s">
        <v>35</v>
      </c>
      <c r="K1279" s="10">
        <v>0</v>
      </c>
      <c r="L1279" t="s">
        <v>41</v>
      </c>
      <c r="M1279">
        <v>1474.76</v>
      </c>
      <c r="N1279">
        <v>884.85599999999999</v>
      </c>
      <c r="O1279" s="10">
        <v>541.33399999999995</v>
      </c>
      <c r="P1279" s="10">
        <v>0.36706582766009382</v>
      </c>
      <c r="Q1279" s="8">
        <v>1474.76</v>
      </c>
      <c r="R1279" t="s">
        <v>44</v>
      </c>
      <c r="S1279" t="s">
        <v>50</v>
      </c>
      <c r="T1279" t="s">
        <v>2931</v>
      </c>
      <c r="U1279">
        <v>0</v>
      </c>
      <c r="V1279" t="str">
        <f>IF(CleanedTable[[#This Row],[Returned]] = 0,"NO","Yes")</f>
        <v>NO</v>
      </c>
      <c r="W1279" t="s">
        <v>1328</v>
      </c>
      <c r="X1279" t="s">
        <v>2742</v>
      </c>
      <c r="Y1279" s="10">
        <v>48.57</v>
      </c>
      <c r="Z1279" s="3">
        <v>45779</v>
      </c>
      <c r="AA1279" s="3">
        <v>45783</v>
      </c>
      <c r="AB1279" t="s">
        <v>2925</v>
      </c>
      <c r="AC1279">
        <v>4</v>
      </c>
    </row>
    <row r="1280" spans="1:29" x14ac:dyDescent="0.3">
      <c r="A1280" s="3">
        <v>45281</v>
      </c>
      <c r="B1280" s="3" t="str">
        <f>TEXT(CleanedTable[[#This Row],[OrderDate]],"mmm")</f>
        <v>Dec</v>
      </c>
      <c r="C1280" s="3" t="str">
        <f>TEXT(CleanedTable[[#This Row],[OrderDate]],"yyyy")</f>
        <v>2023</v>
      </c>
      <c r="D1280" s="3" t="str">
        <f>TEXT(CleanedTable[[#This Row],[OrderDate]],"mmm yyyy")</f>
        <v>Dec 2023</v>
      </c>
      <c r="E1280" t="s">
        <v>23</v>
      </c>
      <c r="F1280" t="s">
        <v>28</v>
      </c>
      <c r="G1280" s="12">
        <v>7</v>
      </c>
      <c r="H1280" s="8">
        <v>257.01</v>
      </c>
      <c r="I1280" t="s">
        <v>34</v>
      </c>
      <c r="J1280" t="s">
        <v>36</v>
      </c>
      <c r="K1280" s="10">
        <v>0.05</v>
      </c>
      <c r="L1280" t="s">
        <v>37</v>
      </c>
      <c r="M1280">
        <v>1709.1164999999999</v>
      </c>
      <c r="N1280">
        <v>1079.442</v>
      </c>
      <c r="O1280" s="10">
        <v>594.15449999999987</v>
      </c>
      <c r="P1280" s="10">
        <v>0.34763838509545719</v>
      </c>
      <c r="Q1280" s="8">
        <v>1709.1165000000001</v>
      </c>
      <c r="R1280" t="s">
        <v>45</v>
      </c>
      <c r="T1280" t="s">
        <v>2932</v>
      </c>
      <c r="U1280">
        <v>0</v>
      </c>
      <c r="V1280" t="str">
        <f>IF(CleanedTable[[#This Row],[Returned]] = 0,"NO","Yes")</f>
        <v>NO</v>
      </c>
      <c r="W1280" t="s">
        <v>1329</v>
      </c>
      <c r="X1280" t="s">
        <v>2743</v>
      </c>
      <c r="Y1280" s="10">
        <v>35.520000000000003</v>
      </c>
      <c r="Z1280" s="3">
        <v>45281</v>
      </c>
      <c r="AA1280" s="3">
        <v>45288</v>
      </c>
      <c r="AB1280" t="s">
        <v>2926</v>
      </c>
      <c r="AC1280">
        <v>7</v>
      </c>
    </row>
    <row r="1281" spans="1:29" x14ac:dyDescent="0.3">
      <c r="A1281" s="3">
        <v>45545</v>
      </c>
      <c r="B1281" s="3" t="str">
        <f>TEXT(CleanedTable[[#This Row],[OrderDate]],"mmm")</f>
        <v>Sep</v>
      </c>
      <c r="C1281" s="3" t="str">
        <f>TEXT(CleanedTable[[#This Row],[OrderDate]],"yyyy")</f>
        <v>2024</v>
      </c>
      <c r="D1281" s="3" t="str">
        <f>TEXT(CleanedTable[[#This Row],[OrderDate]],"mmm yyyy")</f>
        <v>Sep 2024</v>
      </c>
      <c r="E1281" t="s">
        <v>19</v>
      </c>
      <c r="F1281" t="s">
        <v>24</v>
      </c>
      <c r="G1281" s="12">
        <v>14</v>
      </c>
      <c r="H1281" s="8">
        <v>85.54</v>
      </c>
      <c r="I1281" t="s">
        <v>31</v>
      </c>
      <c r="J1281" t="s">
        <v>35</v>
      </c>
      <c r="K1281" s="10">
        <v>0</v>
      </c>
      <c r="L1281" t="s">
        <v>39</v>
      </c>
      <c r="M1281">
        <v>1197.5600000000002</v>
      </c>
      <c r="N1281">
        <v>718.53600000000006</v>
      </c>
      <c r="O1281" s="10">
        <v>462.94400000000013</v>
      </c>
      <c r="P1281" s="10">
        <v>0.38657269781889847</v>
      </c>
      <c r="Q1281" s="8">
        <v>1197.56</v>
      </c>
      <c r="R1281" t="s">
        <v>44</v>
      </c>
      <c r="S1281" t="s">
        <v>48</v>
      </c>
      <c r="T1281" t="s">
        <v>2931</v>
      </c>
      <c r="U1281">
        <v>0</v>
      </c>
      <c r="V1281" t="str">
        <f>IF(CleanedTable[[#This Row],[Returned]] = 0,"NO","Yes")</f>
        <v>NO</v>
      </c>
      <c r="W1281" t="s">
        <v>1330</v>
      </c>
      <c r="X1281" t="s">
        <v>2744</v>
      </c>
      <c r="Y1281" s="10">
        <v>16.079999999999998</v>
      </c>
      <c r="Z1281" s="3">
        <v>45545</v>
      </c>
      <c r="AA1281" s="3">
        <v>45549</v>
      </c>
      <c r="AB1281" t="s">
        <v>2922</v>
      </c>
      <c r="AC1281">
        <v>4</v>
      </c>
    </row>
    <row r="1282" spans="1:29" x14ac:dyDescent="0.3">
      <c r="A1282" s="3">
        <v>45387</v>
      </c>
      <c r="B1282" s="3" t="str">
        <f>TEXT(CleanedTable[[#This Row],[OrderDate]],"mmm")</f>
        <v>Apr</v>
      </c>
      <c r="C1282" s="3" t="str">
        <f>TEXT(CleanedTable[[#This Row],[OrderDate]],"yyyy")</f>
        <v>2024</v>
      </c>
      <c r="D1282" s="3" t="str">
        <f>TEXT(CleanedTable[[#This Row],[OrderDate]],"mmm yyyy")</f>
        <v>Apr 2024</v>
      </c>
      <c r="E1282" t="s">
        <v>22</v>
      </c>
      <c r="F1282" t="s">
        <v>27</v>
      </c>
      <c r="G1282" s="12">
        <v>9</v>
      </c>
      <c r="H1282" s="8">
        <v>267.60000000000002</v>
      </c>
      <c r="I1282" t="s">
        <v>34</v>
      </c>
      <c r="J1282" t="s">
        <v>36</v>
      </c>
      <c r="K1282" s="10">
        <v>0.15</v>
      </c>
      <c r="L1282" t="s">
        <v>37</v>
      </c>
      <c r="M1282">
        <v>2047.14</v>
      </c>
      <c r="N1282">
        <v>1445.04</v>
      </c>
      <c r="O1282" s="10">
        <v>593.62000000000012</v>
      </c>
      <c r="P1282" s="10">
        <v>0.28997528258936861</v>
      </c>
      <c r="Q1282" s="8">
        <v>2047.14</v>
      </c>
      <c r="R1282" t="s">
        <v>45</v>
      </c>
      <c r="S1282" t="s">
        <v>48</v>
      </c>
      <c r="T1282" t="s">
        <v>2931</v>
      </c>
      <c r="U1282">
        <v>0</v>
      </c>
      <c r="V1282" t="str">
        <f>IF(CleanedTable[[#This Row],[Returned]] = 0,"NO","Yes")</f>
        <v>NO</v>
      </c>
      <c r="W1282" t="s">
        <v>1331</v>
      </c>
      <c r="X1282" t="s">
        <v>2745</v>
      </c>
      <c r="Y1282" s="10">
        <v>8.48</v>
      </c>
      <c r="Z1282" s="3">
        <v>45387</v>
      </c>
      <c r="AA1282" s="3">
        <v>45392</v>
      </c>
      <c r="AB1282" t="s">
        <v>2925</v>
      </c>
      <c r="AC1282">
        <v>5</v>
      </c>
    </row>
    <row r="1283" spans="1:29" x14ac:dyDescent="0.3">
      <c r="A1283" s="3">
        <v>45133</v>
      </c>
      <c r="B1283" s="3" t="str">
        <f>TEXT(CleanedTable[[#This Row],[OrderDate]],"mmm")</f>
        <v>Jul</v>
      </c>
      <c r="C1283" s="3" t="str">
        <f>TEXT(CleanedTable[[#This Row],[OrderDate]],"yyyy")</f>
        <v>2023</v>
      </c>
      <c r="D1283" s="3" t="str">
        <f>TEXT(CleanedTable[[#This Row],[OrderDate]],"mmm yyyy")</f>
        <v>Jul 2023</v>
      </c>
      <c r="E1283" t="s">
        <v>19</v>
      </c>
      <c r="F1283" t="s">
        <v>26</v>
      </c>
      <c r="G1283" s="12">
        <v>15</v>
      </c>
      <c r="H1283" s="8">
        <v>261.85000000000002</v>
      </c>
      <c r="I1283" t="s">
        <v>34</v>
      </c>
      <c r="J1283" t="s">
        <v>35</v>
      </c>
      <c r="K1283" s="10">
        <v>0.15</v>
      </c>
      <c r="L1283" t="s">
        <v>41</v>
      </c>
      <c r="M1283">
        <v>3338.5875000000001</v>
      </c>
      <c r="N1283">
        <v>2356.65</v>
      </c>
      <c r="O1283" s="10">
        <v>941.25750000000005</v>
      </c>
      <c r="P1283" s="10">
        <v>0.28193285333992296</v>
      </c>
      <c r="Q1283" s="8">
        <v>3338.5875000000001</v>
      </c>
      <c r="R1283" t="s">
        <v>43</v>
      </c>
      <c r="S1283" t="s">
        <v>49</v>
      </c>
      <c r="T1283" t="s">
        <v>2931</v>
      </c>
      <c r="U1283">
        <v>0</v>
      </c>
      <c r="V1283" t="str">
        <f>IF(CleanedTable[[#This Row],[Returned]] = 0,"NO","Yes")</f>
        <v>NO</v>
      </c>
      <c r="W1283" t="s">
        <v>1332</v>
      </c>
      <c r="X1283" t="s">
        <v>2746</v>
      </c>
      <c r="Y1283" s="10">
        <v>40.68</v>
      </c>
      <c r="Z1283" s="3">
        <v>45133</v>
      </c>
      <c r="AA1283" s="3">
        <v>45138</v>
      </c>
      <c r="AB1283" t="s">
        <v>2922</v>
      </c>
      <c r="AC1283">
        <v>5</v>
      </c>
    </row>
    <row r="1284" spans="1:29" x14ac:dyDescent="0.3">
      <c r="A1284" s="3">
        <v>45242</v>
      </c>
      <c r="B1284" s="3" t="str">
        <f>TEXT(CleanedTable[[#This Row],[OrderDate]],"mmm")</f>
        <v>Nov</v>
      </c>
      <c r="C1284" s="3" t="str">
        <f>TEXT(CleanedTable[[#This Row],[OrderDate]],"yyyy")</f>
        <v>2023</v>
      </c>
      <c r="D1284" s="3" t="str">
        <f>TEXT(CleanedTable[[#This Row],[OrderDate]],"mmm yyyy")</f>
        <v>Nov 2023</v>
      </c>
      <c r="E1284" t="s">
        <v>19</v>
      </c>
      <c r="F1284" t="s">
        <v>30</v>
      </c>
      <c r="G1284" s="12">
        <v>11</v>
      </c>
      <c r="H1284" s="8">
        <v>199.57</v>
      </c>
      <c r="I1284" t="s">
        <v>32</v>
      </c>
      <c r="J1284" t="s">
        <v>36</v>
      </c>
      <c r="K1284" s="10">
        <v>0.05</v>
      </c>
      <c r="L1284" t="s">
        <v>42</v>
      </c>
      <c r="M1284">
        <v>2085.5065</v>
      </c>
      <c r="N1284">
        <v>1317.1619999999998</v>
      </c>
      <c r="O1284" s="10">
        <v>719.4045000000001</v>
      </c>
      <c r="P1284" s="10">
        <v>0.34495433123799907</v>
      </c>
      <c r="Q1284" s="8">
        <v>2085.5065</v>
      </c>
      <c r="R1284" t="s">
        <v>46</v>
      </c>
      <c r="S1284" t="s">
        <v>49</v>
      </c>
      <c r="T1284" t="s">
        <v>2931</v>
      </c>
      <c r="U1284">
        <v>0</v>
      </c>
      <c r="V1284" t="str">
        <f>IF(CleanedTable[[#This Row],[Returned]] = 0,"NO","Yes")</f>
        <v>NO</v>
      </c>
      <c r="W1284" t="s">
        <v>1333</v>
      </c>
      <c r="X1284" t="s">
        <v>2725</v>
      </c>
      <c r="Y1284" s="10">
        <v>48.94</v>
      </c>
      <c r="Z1284" s="3">
        <v>45242</v>
      </c>
      <c r="AA1284" s="3">
        <v>45244</v>
      </c>
      <c r="AB1284" t="s">
        <v>2922</v>
      </c>
      <c r="AC1284">
        <v>2</v>
      </c>
    </row>
    <row r="1285" spans="1:29" x14ac:dyDescent="0.3">
      <c r="A1285" s="3">
        <v>45765</v>
      </c>
      <c r="B1285" s="3" t="str">
        <f>TEXT(CleanedTable[[#This Row],[OrderDate]],"mmm")</f>
        <v>Apr</v>
      </c>
      <c r="C1285" s="3" t="str">
        <f>TEXT(CleanedTable[[#This Row],[OrderDate]],"yyyy")</f>
        <v>2025</v>
      </c>
      <c r="D1285" s="3" t="str">
        <f>TEXT(CleanedTable[[#This Row],[OrderDate]],"mmm yyyy")</f>
        <v>Apr 2025</v>
      </c>
      <c r="E1285" t="s">
        <v>22</v>
      </c>
      <c r="F1285" t="s">
        <v>25</v>
      </c>
      <c r="G1285" s="12">
        <v>5</v>
      </c>
      <c r="H1285" s="8">
        <v>504.96</v>
      </c>
      <c r="I1285" t="s">
        <v>33</v>
      </c>
      <c r="J1285" t="s">
        <v>36</v>
      </c>
      <c r="K1285" s="10">
        <v>0.05</v>
      </c>
      <c r="L1285" t="s">
        <v>41</v>
      </c>
      <c r="M1285">
        <v>2398.5599999999995</v>
      </c>
      <c r="N1285">
        <v>1514.88</v>
      </c>
      <c r="O1285" s="10">
        <v>861.55999999999938</v>
      </c>
      <c r="P1285" s="10">
        <v>0.35919885264492007</v>
      </c>
      <c r="Q1285" s="8">
        <v>2398.559999999999</v>
      </c>
      <c r="R1285" t="s">
        <v>44</v>
      </c>
      <c r="S1285" t="s">
        <v>48</v>
      </c>
      <c r="T1285" t="s">
        <v>2931</v>
      </c>
      <c r="U1285">
        <v>0</v>
      </c>
      <c r="V1285" t="str">
        <f>IF(CleanedTable[[#This Row],[Returned]] = 0,"NO","Yes")</f>
        <v>NO</v>
      </c>
      <c r="W1285" t="s">
        <v>1334</v>
      </c>
      <c r="X1285" t="s">
        <v>2747</v>
      </c>
      <c r="Y1285" s="10">
        <v>22.12</v>
      </c>
      <c r="Z1285" s="3">
        <v>45765</v>
      </c>
      <c r="AA1285" s="3">
        <v>45767</v>
      </c>
      <c r="AB1285" t="s">
        <v>2925</v>
      </c>
      <c r="AC1285">
        <v>2</v>
      </c>
    </row>
    <row r="1286" spans="1:29" x14ac:dyDescent="0.3">
      <c r="A1286" s="3">
        <v>45150</v>
      </c>
      <c r="B1286" s="3" t="str">
        <f>TEXT(CleanedTable[[#This Row],[OrderDate]],"mmm")</f>
        <v>Aug</v>
      </c>
      <c r="C1286" s="3" t="str">
        <f>TEXT(CleanedTable[[#This Row],[OrderDate]],"yyyy")</f>
        <v>2023</v>
      </c>
      <c r="D1286" s="3" t="str">
        <f>TEXT(CleanedTable[[#This Row],[OrderDate]],"mmm yyyy")</f>
        <v>Aug 2023</v>
      </c>
      <c r="E1286" t="s">
        <v>20</v>
      </c>
      <c r="F1286" t="s">
        <v>27</v>
      </c>
      <c r="G1286" s="12">
        <v>8</v>
      </c>
      <c r="H1286" s="8">
        <v>28.34</v>
      </c>
      <c r="I1286" t="s">
        <v>33</v>
      </c>
      <c r="J1286" t="s">
        <v>35</v>
      </c>
      <c r="K1286" s="10">
        <v>0.05</v>
      </c>
      <c r="L1286" t="s">
        <v>38</v>
      </c>
      <c r="M1286">
        <v>215.38399999999999</v>
      </c>
      <c r="N1286">
        <v>136.03199999999998</v>
      </c>
      <c r="O1286" s="10">
        <v>56.162000000000006</v>
      </c>
      <c r="P1286" s="10">
        <v>0.26075288786539397</v>
      </c>
      <c r="Q1286" s="8">
        <v>215.38399999999999</v>
      </c>
      <c r="R1286" t="s">
        <v>47</v>
      </c>
      <c r="T1286" t="s">
        <v>2932</v>
      </c>
      <c r="U1286">
        <v>1</v>
      </c>
      <c r="V1286" t="str">
        <f>IF(CleanedTable[[#This Row],[Returned]] = 0,"NO","Yes")</f>
        <v>Yes</v>
      </c>
      <c r="W1286" t="s">
        <v>1335</v>
      </c>
      <c r="X1286" t="s">
        <v>2748</v>
      </c>
      <c r="Y1286" s="10">
        <v>23.19</v>
      </c>
      <c r="Z1286" s="3">
        <v>45150</v>
      </c>
      <c r="AA1286" s="3">
        <v>45157</v>
      </c>
      <c r="AB1286" t="s">
        <v>2923</v>
      </c>
      <c r="AC1286">
        <v>7</v>
      </c>
    </row>
    <row r="1287" spans="1:29" x14ac:dyDescent="0.3">
      <c r="A1287" s="3">
        <v>45638</v>
      </c>
      <c r="B1287" s="3" t="str">
        <f>TEXT(CleanedTable[[#This Row],[OrderDate]],"mmm")</f>
        <v>Dec</v>
      </c>
      <c r="C1287" s="3" t="str">
        <f>TEXT(CleanedTable[[#This Row],[OrderDate]],"yyyy")</f>
        <v>2024</v>
      </c>
      <c r="D1287" s="3" t="str">
        <f>TEXT(CleanedTable[[#This Row],[OrderDate]],"mmm yyyy")</f>
        <v>Dec 2024</v>
      </c>
      <c r="E1287" t="s">
        <v>23</v>
      </c>
      <c r="F1287" t="s">
        <v>30</v>
      </c>
      <c r="G1287" s="12">
        <v>17</v>
      </c>
      <c r="H1287" s="8">
        <v>495.13</v>
      </c>
      <c r="I1287" t="s">
        <v>34</v>
      </c>
      <c r="J1287" t="s">
        <v>35</v>
      </c>
      <c r="K1287" s="10">
        <v>0.1</v>
      </c>
      <c r="L1287" t="s">
        <v>38</v>
      </c>
      <c r="M1287">
        <v>7575.4889999999996</v>
      </c>
      <c r="N1287">
        <v>5050.3259999999991</v>
      </c>
      <c r="O1287" s="10">
        <v>2498.7930000000006</v>
      </c>
      <c r="P1287" s="10">
        <v>0.32985236992621869</v>
      </c>
      <c r="Q1287" s="8">
        <v>7575.4889999999996</v>
      </c>
      <c r="R1287" t="s">
        <v>43</v>
      </c>
      <c r="S1287" t="s">
        <v>48</v>
      </c>
      <c r="T1287" t="s">
        <v>2931</v>
      </c>
      <c r="U1287">
        <v>1</v>
      </c>
      <c r="V1287" t="str">
        <f>IF(CleanedTable[[#This Row],[Returned]] = 0,"NO","Yes")</f>
        <v>Yes</v>
      </c>
      <c r="W1287" t="s">
        <v>1336</v>
      </c>
      <c r="X1287" t="s">
        <v>2749</v>
      </c>
      <c r="Y1287" s="10">
        <v>26.37</v>
      </c>
      <c r="Z1287" s="3">
        <v>45638</v>
      </c>
      <c r="AA1287" s="3">
        <v>45647</v>
      </c>
      <c r="AB1287" t="s">
        <v>2926</v>
      </c>
      <c r="AC1287">
        <v>9</v>
      </c>
    </row>
    <row r="1288" spans="1:29" x14ac:dyDescent="0.3">
      <c r="A1288" s="3">
        <v>45784</v>
      </c>
      <c r="B1288" s="3" t="str">
        <f>TEXT(CleanedTable[[#This Row],[OrderDate]],"mmm")</f>
        <v>May</v>
      </c>
      <c r="C1288" s="3" t="str">
        <f>TEXT(CleanedTable[[#This Row],[OrderDate]],"yyyy")</f>
        <v>2025</v>
      </c>
      <c r="D1288" s="3" t="str">
        <f>TEXT(CleanedTable[[#This Row],[OrderDate]],"mmm yyyy")</f>
        <v>May 2025</v>
      </c>
      <c r="E1288" t="s">
        <v>23</v>
      </c>
      <c r="F1288" t="s">
        <v>25</v>
      </c>
      <c r="G1288" s="12">
        <v>14</v>
      </c>
      <c r="H1288" s="8">
        <v>142.05000000000001</v>
      </c>
      <c r="I1288" t="s">
        <v>34</v>
      </c>
      <c r="J1288" t="s">
        <v>36</v>
      </c>
      <c r="K1288" s="10">
        <v>0.05</v>
      </c>
      <c r="L1288" t="s">
        <v>39</v>
      </c>
      <c r="M1288">
        <v>1889.2650000000001</v>
      </c>
      <c r="N1288">
        <v>1193.22</v>
      </c>
      <c r="O1288" s="10">
        <v>662.3950000000001</v>
      </c>
      <c r="P1288" s="10">
        <v>0.35060989326537045</v>
      </c>
      <c r="Q1288" s="8">
        <v>1889.2650000000001</v>
      </c>
      <c r="R1288" t="s">
        <v>44</v>
      </c>
      <c r="S1288" t="s">
        <v>49</v>
      </c>
      <c r="T1288" t="s">
        <v>2931</v>
      </c>
      <c r="U1288">
        <v>0</v>
      </c>
      <c r="V1288" t="str">
        <f>IF(CleanedTable[[#This Row],[Returned]] = 0,"NO","Yes")</f>
        <v>NO</v>
      </c>
      <c r="W1288" t="s">
        <v>1337</v>
      </c>
      <c r="X1288" t="s">
        <v>2750</v>
      </c>
      <c r="Y1288" s="10">
        <v>33.65</v>
      </c>
      <c r="Z1288" s="3">
        <v>45784</v>
      </c>
      <c r="AA1288" s="3">
        <v>45790</v>
      </c>
      <c r="AB1288" t="s">
        <v>2926</v>
      </c>
      <c r="AC1288">
        <v>6</v>
      </c>
    </row>
    <row r="1289" spans="1:29" x14ac:dyDescent="0.3">
      <c r="A1289" s="3">
        <v>45726</v>
      </c>
      <c r="B1289" s="3" t="str">
        <f>TEXT(CleanedTable[[#This Row],[OrderDate]],"mmm")</f>
        <v>Mar</v>
      </c>
      <c r="C1289" s="3" t="str">
        <f>TEXT(CleanedTable[[#This Row],[OrderDate]],"yyyy")</f>
        <v>2025</v>
      </c>
      <c r="D1289" s="3" t="str">
        <f>TEXT(CleanedTable[[#This Row],[OrderDate]],"mmm yyyy")</f>
        <v>Mar 2025</v>
      </c>
      <c r="E1289" t="s">
        <v>19</v>
      </c>
      <c r="F1289" t="s">
        <v>27</v>
      </c>
      <c r="G1289" s="12">
        <v>16</v>
      </c>
      <c r="H1289" s="8">
        <v>504.36</v>
      </c>
      <c r="I1289" t="s">
        <v>34</v>
      </c>
      <c r="J1289" t="s">
        <v>35</v>
      </c>
      <c r="K1289" s="10">
        <v>0</v>
      </c>
      <c r="L1289" t="s">
        <v>42</v>
      </c>
      <c r="M1289">
        <v>8069.76</v>
      </c>
      <c r="N1289">
        <v>4841.8559999999998</v>
      </c>
      <c r="O1289" s="10">
        <v>3216.2340000000004</v>
      </c>
      <c r="P1289" s="10">
        <v>0.39855386033785395</v>
      </c>
      <c r="Q1289" s="8">
        <v>8069.76</v>
      </c>
      <c r="R1289" t="s">
        <v>46</v>
      </c>
      <c r="T1289" t="s">
        <v>2932</v>
      </c>
      <c r="U1289">
        <v>1</v>
      </c>
      <c r="V1289" t="str">
        <f>IF(CleanedTable[[#This Row],[Returned]] = 0,"NO","Yes")</f>
        <v>Yes</v>
      </c>
      <c r="W1289" t="s">
        <v>1338</v>
      </c>
      <c r="X1289" t="s">
        <v>1801</v>
      </c>
      <c r="Y1289" s="10">
        <v>11.67</v>
      </c>
      <c r="Z1289" s="3">
        <v>45726</v>
      </c>
      <c r="AA1289" s="3">
        <v>45729</v>
      </c>
      <c r="AB1289" t="s">
        <v>2922</v>
      </c>
      <c r="AC1289">
        <v>3</v>
      </c>
    </row>
    <row r="1290" spans="1:29" x14ac:dyDescent="0.3">
      <c r="A1290" s="3">
        <v>45809</v>
      </c>
      <c r="B1290" s="3" t="str">
        <f>TEXT(CleanedTable[[#This Row],[OrderDate]],"mmm")</f>
        <v>Jun</v>
      </c>
      <c r="C1290" s="3" t="str">
        <f>TEXT(CleanedTable[[#This Row],[OrderDate]],"yyyy")</f>
        <v>2025</v>
      </c>
      <c r="D1290" s="3" t="str">
        <f>TEXT(CleanedTable[[#This Row],[OrderDate]],"mmm yyyy")</f>
        <v>Jun 2025</v>
      </c>
      <c r="E1290" t="s">
        <v>19</v>
      </c>
      <c r="F1290" t="s">
        <v>26</v>
      </c>
      <c r="G1290" s="12">
        <v>7</v>
      </c>
      <c r="H1290" s="8">
        <v>122.2</v>
      </c>
      <c r="I1290" t="s">
        <v>31</v>
      </c>
      <c r="J1290" t="s">
        <v>36</v>
      </c>
      <c r="K1290" s="10">
        <v>0</v>
      </c>
      <c r="L1290" t="s">
        <v>40</v>
      </c>
      <c r="M1290">
        <v>855.4</v>
      </c>
      <c r="N1290">
        <v>513.24</v>
      </c>
      <c r="O1290" s="10">
        <v>311.95</v>
      </c>
      <c r="P1290" s="10">
        <v>0.36468318915127423</v>
      </c>
      <c r="Q1290" s="8">
        <v>855.4</v>
      </c>
      <c r="R1290" t="s">
        <v>45</v>
      </c>
      <c r="T1290" t="s">
        <v>2932</v>
      </c>
      <c r="U1290">
        <v>0</v>
      </c>
      <c r="V1290" t="str">
        <f>IF(CleanedTable[[#This Row],[Returned]] = 0,"NO","Yes")</f>
        <v>NO</v>
      </c>
      <c r="W1290" t="s">
        <v>1339</v>
      </c>
      <c r="X1290" t="s">
        <v>2751</v>
      </c>
      <c r="Y1290" s="10">
        <v>30.21</v>
      </c>
      <c r="Z1290" s="3">
        <v>45809</v>
      </c>
      <c r="AA1290" s="3">
        <v>45818</v>
      </c>
      <c r="AB1290" t="s">
        <v>2922</v>
      </c>
      <c r="AC1290">
        <v>9</v>
      </c>
    </row>
    <row r="1291" spans="1:29" x14ac:dyDescent="0.3">
      <c r="A1291" s="3">
        <v>45796</v>
      </c>
      <c r="B1291" s="3" t="str">
        <f>TEXT(CleanedTable[[#This Row],[OrderDate]],"mmm")</f>
        <v>May</v>
      </c>
      <c r="C1291" s="3" t="str">
        <f>TEXT(CleanedTable[[#This Row],[OrderDate]],"yyyy")</f>
        <v>2025</v>
      </c>
      <c r="D1291" s="3" t="str">
        <f>TEXT(CleanedTable[[#This Row],[OrderDate]],"mmm yyyy")</f>
        <v>May 2025</v>
      </c>
      <c r="E1291" t="s">
        <v>23</v>
      </c>
      <c r="F1291" t="s">
        <v>27</v>
      </c>
      <c r="G1291" s="12">
        <v>7</v>
      </c>
      <c r="H1291" s="8">
        <v>338.42</v>
      </c>
      <c r="I1291" t="s">
        <v>31</v>
      </c>
      <c r="J1291" t="s">
        <v>36</v>
      </c>
      <c r="K1291" s="10">
        <v>0.15</v>
      </c>
      <c r="L1291" t="s">
        <v>38</v>
      </c>
      <c r="M1291">
        <v>2013.5989999999999</v>
      </c>
      <c r="N1291">
        <v>1421.364</v>
      </c>
      <c r="O1291" s="10">
        <v>586.41499999999985</v>
      </c>
      <c r="P1291" s="10">
        <v>0.2912272999738279</v>
      </c>
      <c r="Q1291" s="8">
        <v>2013.5989999999999</v>
      </c>
      <c r="R1291" t="s">
        <v>43</v>
      </c>
      <c r="S1291" t="s">
        <v>48</v>
      </c>
      <c r="T1291" t="s">
        <v>2931</v>
      </c>
      <c r="U1291">
        <v>0</v>
      </c>
      <c r="V1291" t="str">
        <f>IF(CleanedTable[[#This Row],[Returned]] = 0,"NO","Yes")</f>
        <v>NO</v>
      </c>
      <c r="W1291" t="s">
        <v>1340</v>
      </c>
      <c r="X1291" t="s">
        <v>2752</v>
      </c>
      <c r="Y1291" s="10">
        <v>5.82</v>
      </c>
      <c r="Z1291" s="3">
        <v>45796</v>
      </c>
      <c r="AA1291" s="3">
        <v>45798</v>
      </c>
      <c r="AB1291" t="s">
        <v>2926</v>
      </c>
      <c r="AC1291">
        <v>2</v>
      </c>
    </row>
    <row r="1292" spans="1:29" x14ac:dyDescent="0.3">
      <c r="A1292" s="3">
        <v>44965</v>
      </c>
      <c r="B1292" s="3" t="str">
        <f>TEXT(CleanedTable[[#This Row],[OrderDate]],"mmm")</f>
        <v>Feb</v>
      </c>
      <c r="C1292" s="3" t="str">
        <f>TEXT(CleanedTable[[#This Row],[OrderDate]],"yyyy")</f>
        <v>2023</v>
      </c>
      <c r="D1292" s="3" t="str">
        <f>TEXT(CleanedTable[[#This Row],[OrderDate]],"mmm yyyy")</f>
        <v>Feb 2023</v>
      </c>
      <c r="E1292" t="s">
        <v>19</v>
      </c>
      <c r="F1292" t="s">
        <v>29</v>
      </c>
      <c r="G1292" s="12">
        <v>4</v>
      </c>
      <c r="H1292" s="8">
        <v>224.75</v>
      </c>
      <c r="I1292" t="s">
        <v>34</v>
      </c>
      <c r="J1292" t="s">
        <v>35</v>
      </c>
      <c r="K1292" s="10">
        <v>0</v>
      </c>
      <c r="L1292" t="s">
        <v>39</v>
      </c>
      <c r="M1292">
        <v>899</v>
      </c>
      <c r="N1292">
        <v>539.4</v>
      </c>
      <c r="O1292" s="10">
        <v>315.74</v>
      </c>
      <c r="P1292" s="10">
        <v>0.35121245828698555</v>
      </c>
      <c r="Q1292" s="8">
        <v>899</v>
      </c>
      <c r="R1292" t="s">
        <v>46</v>
      </c>
      <c r="T1292" t="s">
        <v>2932</v>
      </c>
      <c r="U1292">
        <v>0</v>
      </c>
      <c r="V1292" t="str">
        <f>IF(CleanedTable[[#This Row],[Returned]] = 0,"NO","Yes")</f>
        <v>NO</v>
      </c>
      <c r="W1292" t="s">
        <v>1341</v>
      </c>
      <c r="X1292" t="s">
        <v>2753</v>
      </c>
      <c r="Y1292" s="10">
        <v>43.86</v>
      </c>
      <c r="Z1292" s="3">
        <v>44965</v>
      </c>
      <c r="AA1292" s="3">
        <v>44973</v>
      </c>
      <c r="AB1292" t="s">
        <v>2922</v>
      </c>
      <c r="AC1292">
        <v>8</v>
      </c>
    </row>
    <row r="1293" spans="1:29" x14ac:dyDescent="0.3">
      <c r="A1293" s="3">
        <v>45771</v>
      </c>
      <c r="B1293" s="3" t="str">
        <f>TEXT(CleanedTable[[#This Row],[OrderDate]],"mmm")</f>
        <v>Apr</v>
      </c>
      <c r="C1293" s="3" t="str">
        <f>TEXT(CleanedTable[[#This Row],[OrderDate]],"yyyy")</f>
        <v>2025</v>
      </c>
      <c r="D1293" s="3" t="str">
        <f>TEXT(CleanedTable[[#This Row],[OrderDate]],"mmm yyyy")</f>
        <v>Apr 2025</v>
      </c>
      <c r="E1293" t="s">
        <v>22</v>
      </c>
      <c r="F1293" t="s">
        <v>26</v>
      </c>
      <c r="G1293" s="12">
        <v>16</v>
      </c>
      <c r="H1293" s="8">
        <v>509.71</v>
      </c>
      <c r="I1293" t="s">
        <v>33</v>
      </c>
      <c r="J1293" t="s">
        <v>35</v>
      </c>
      <c r="K1293" s="10">
        <v>0.1</v>
      </c>
      <c r="L1293" t="s">
        <v>40</v>
      </c>
      <c r="M1293">
        <v>7339.8239999999996</v>
      </c>
      <c r="N1293">
        <v>4893.2159999999994</v>
      </c>
      <c r="O1293" s="10">
        <v>2404.828</v>
      </c>
      <c r="P1293" s="10">
        <v>0.32764109875114172</v>
      </c>
      <c r="Q1293" s="8">
        <v>7339.8239999999996</v>
      </c>
      <c r="R1293" t="s">
        <v>47</v>
      </c>
      <c r="T1293" t="s">
        <v>2932</v>
      </c>
      <c r="U1293">
        <v>0</v>
      </c>
      <c r="V1293" t="str">
        <f>IF(CleanedTable[[#This Row],[Returned]] = 0,"NO","Yes")</f>
        <v>NO</v>
      </c>
      <c r="W1293" t="s">
        <v>1342</v>
      </c>
      <c r="X1293" t="s">
        <v>2754</v>
      </c>
      <c r="Y1293" s="10">
        <v>41.78</v>
      </c>
      <c r="Z1293" s="3">
        <v>45771</v>
      </c>
      <c r="AA1293" s="3">
        <v>45780</v>
      </c>
      <c r="AB1293" t="s">
        <v>2925</v>
      </c>
      <c r="AC1293">
        <v>9</v>
      </c>
    </row>
    <row r="1294" spans="1:29" x14ac:dyDescent="0.3">
      <c r="A1294" s="3">
        <v>45536</v>
      </c>
      <c r="B1294" s="3" t="str">
        <f>TEXT(CleanedTable[[#This Row],[OrderDate]],"mmm")</f>
        <v>Sep</v>
      </c>
      <c r="C1294" s="3" t="str">
        <f>TEXT(CleanedTable[[#This Row],[OrderDate]],"yyyy")</f>
        <v>2024</v>
      </c>
      <c r="D1294" s="3" t="str">
        <f>TEXT(CleanedTable[[#This Row],[OrderDate]],"mmm yyyy")</f>
        <v>Sep 2024</v>
      </c>
      <c r="E1294" t="s">
        <v>21</v>
      </c>
      <c r="F1294" t="s">
        <v>29</v>
      </c>
      <c r="G1294" s="12">
        <v>14</v>
      </c>
      <c r="H1294" s="8">
        <v>297.56</v>
      </c>
      <c r="I1294" t="s">
        <v>31</v>
      </c>
      <c r="J1294" t="s">
        <v>35</v>
      </c>
      <c r="K1294" s="10">
        <v>0.1</v>
      </c>
      <c r="L1294" t="s">
        <v>41</v>
      </c>
      <c r="M1294">
        <v>3749.2560000000003</v>
      </c>
      <c r="N1294">
        <v>2499.5039999999999</v>
      </c>
      <c r="O1294" s="10">
        <v>1218.3120000000004</v>
      </c>
      <c r="P1294" s="10">
        <v>0.3249476696176522</v>
      </c>
      <c r="Q1294" s="8">
        <v>3749.2559999999999</v>
      </c>
      <c r="R1294" t="s">
        <v>46</v>
      </c>
      <c r="S1294" t="s">
        <v>48</v>
      </c>
      <c r="T1294" t="s">
        <v>2931</v>
      </c>
      <c r="U1294">
        <v>0</v>
      </c>
      <c r="V1294" t="str">
        <f>IF(CleanedTable[[#This Row],[Returned]] = 0,"NO","Yes")</f>
        <v>NO</v>
      </c>
      <c r="W1294" t="s">
        <v>1343</v>
      </c>
      <c r="X1294" t="s">
        <v>2755</v>
      </c>
      <c r="Y1294" s="10">
        <v>31.44</v>
      </c>
      <c r="Z1294" s="3">
        <v>45536</v>
      </c>
      <c r="AA1294" s="3">
        <v>45543</v>
      </c>
      <c r="AB1294" t="s">
        <v>2924</v>
      </c>
      <c r="AC1294">
        <v>7</v>
      </c>
    </row>
    <row r="1295" spans="1:29" x14ac:dyDescent="0.3">
      <c r="A1295" s="3">
        <v>45603</v>
      </c>
      <c r="B1295" s="3" t="str">
        <f>TEXT(CleanedTable[[#This Row],[OrderDate]],"mmm")</f>
        <v>Nov</v>
      </c>
      <c r="C1295" s="3" t="str">
        <f>TEXT(CleanedTable[[#This Row],[OrderDate]],"yyyy")</f>
        <v>2024</v>
      </c>
      <c r="D1295" s="3" t="str">
        <f>TEXT(CleanedTable[[#This Row],[OrderDate]],"mmm yyyy")</f>
        <v>Nov 2024</v>
      </c>
      <c r="E1295" t="s">
        <v>22</v>
      </c>
      <c r="F1295" t="s">
        <v>30</v>
      </c>
      <c r="G1295" s="12">
        <v>13</v>
      </c>
      <c r="H1295" s="8">
        <v>365.11</v>
      </c>
      <c r="I1295" t="s">
        <v>33</v>
      </c>
      <c r="J1295" t="s">
        <v>36</v>
      </c>
      <c r="K1295" s="10">
        <v>0.05</v>
      </c>
      <c r="L1295" t="s">
        <v>41</v>
      </c>
      <c r="M1295">
        <v>4509.1085000000003</v>
      </c>
      <c r="N1295">
        <v>2847.8580000000002</v>
      </c>
      <c r="O1295" s="10">
        <v>1647.2805000000001</v>
      </c>
      <c r="P1295" s="10">
        <v>0.36532287923433199</v>
      </c>
      <c r="Q1295" s="8">
        <v>4509.1085000000003</v>
      </c>
      <c r="R1295" t="s">
        <v>43</v>
      </c>
      <c r="T1295" t="s">
        <v>2932</v>
      </c>
      <c r="U1295">
        <v>0</v>
      </c>
      <c r="V1295" t="str">
        <f>IF(CleanedTable[[#This Row],[Returned]] = 0,"NO","Yes")</f>
        <v>NO</v>
      </c>
      <c r="W1295" t="s">
        <v>1344</v>
      </c>
      <c r="X1295" t="s">
        <v>2756</v>
      </c>
      <c r="Y1295" s="10">
        <v>13.97</v>
      </c>
      <c r="Z1295" s="3">
        <v>45603</v>
      </c>
      <c r="AA1295" s="3">
        <v>45609</v>
      </c>
      <c r="AB1295" t="s">
        <v>2925</v>
      </c>
      <c r="AC1295">
        <v>6</v>
      </c>
    </row>
    <row r="1296" spans="1:29" x14ac:dyDescent="0.3">
      <c r="A1296" s="3">
        <v>45625</v>
      </c>
      <c r="B1296" s="3" t="str">
        <f>TEXT(CleanedTable[[#This Row],[OrderDate]],"mmm")</f>
        <v>Nov</v>
      </c>
      <c r="C1296" s="3" t="str">
        <f>TEXT(CleanedTable[[#This Row],[OrderDate]],"yyyy")</f>
        <v>2024</v>
      </c>
      <c r="D1296" s="3" t="str">
        <f>TEXT(CleanedTable[[#This Row],[OrderDate]],"mmm yyyy")</f>
        <v>Nov 2024</v>
      </c>
      <c r="E1296" t="s">
        <v>19</v>
      </c>
      <c r="F1296" t="s">
        <v>27</v>
      </c>
      <c r="G1296" s="12">
        <v>1</v>
      </c>
      <c r="H1296" s="8">
        <v>139.13</v>
      </c>
      <c r="I1296" t="s">
        <v>33</v>
      </c>
      <c r="J1296" t="s">
        <v>35</v>
      </c>
      <c r="K1296" s="10">
        <v>0</v>
      </c>
      <c r="L1296" t="s">
        <v>40</v>
      </c>
      <c r="M1296">
        <v>139.13</v>
      </c>
      <c r="N1296">
        <v>83.477999999999994</v>
      </c>
      <c r="O1296" s="10">
        <v>19.731999999999999</v>
      </c>
      <c r="P1296" s="10">
        <v>0.14182419320060374</v>
      </c>
      <c r="Q1296" s="8">
        <v>139.13</v>
      </c>
      <c r="R1296" t="s">
        <v>47</v>
      </c>
      <c r="T1296" t="s">
        <v>2932</v>
      </c>
      <c r="U1296">
        <v>1</v>
      </c>
      <c r="V1296" t="str">
        <f>IF(CleanedTable[[#This Row],[Returned]] = 0,"NO","Yes")</f>
        <v>Yes</v>
      </c>
      <c r="W1296" t="s">
        <v>1345</v>
      </c>
      <c r="X1296" t="s">
        <v>2757</v>
      </c>
      <c r="Y1296" s="10">
        <v>35.92</v>
      </c>
      <c r="Z1296" s="3">
        <v>45625</v>
      </c>
      <c r="AA1296" s="3">
        <v>45628</v>
      </c>
      <c r="AB1296" t="s">
        <v>2922</v>
      </c>
      <c r="AC1296">
        <v>3</v>
      </c>
    </row>
    <row r="1297" spans="1:29" x14ac:dyDescent="0.3">
      <c r="A1297" s="3">
        <v>45026</v>
      </c>
      <c r="B1297" s="3" t="str">
        <f>TEXT(CleanedTable[[#This Row],[OrderDate]],"mmm")</f>
        <v>Apr</v>
      </c>
      <c r="C1297" s="3" t="str">
        <f>TEXT(CleanedTable[[#This Row],[OrderDate]],"yyyy")</f>
        <v>2023</v>
      </c>
      <c r="D1297" s="3" t="str">
        <f>TEXT(CleanedTable[[#This Row],[OrderDate]],"mmm yyyy")</f>
        <v>Apr 2023</v>
      </c>
      <c r="E1297" t="s">
        <v>23</v>
      </c>
      <c r="F1297" t="s">
        <v>27</v>
      </c>
      <c r="G1297" s="12">
        <v>6</v>
      </c>
      <c r="H1297" s="8">
        <v>543.89</v>
      </c>
      <c r="I1297" t="s">
        <v>33</v>
      </c>
      <c r="J1297" t="s">
        <v>36</v>
      </c>
      <c r="K1297" s="10">
        <v>0</v>
      </c>
      <c r="L1297" t="s">
        <v>42</v>
      </c>
      <c r="M1297">
        <v>3263.34</v>
      </c>
      <c r="N1297">
        <v>1958.0039999999999</v>
      </c>
      <c r="O1297" s="10">
        <v>1292.1460000000002</v>
      </c>
      <c r="P1297" s="10">
        <v>0.39595812878829667</v>
      </c>
      <c r="Q1297" s="8">
        <v>3263.34</v>
      </c>
      <c r="R1297" t="s">
        <v>47</v>
      </c>
      <c r="T1297" t="s">
        <v>2932</v>
      </c>
      <c r="U1297">
        <v>1</v>
      </c>
      <c r="V1297" t="str">
        <f>IF(CleanedTable[[#This Row],[Returned]] = 0,"NO","Yes")</f>
        <v>Yes</v>
      </c>
      <c r="W1297" t="s">
        <v>1346</v>
      </c>
      <c r="X1297" t="s">
        <v>2758</v>
      </c>
      <c r="Y1297" s="10">
        <v>13.19</v>
      </c>
      <c r="Z1297" s="3">
        <v>45026</v>
      </c>
      <c r="AA1297" s="3">
        <v>45036</v>
      </c>
      <c r="AB1297" t="s">
        <v>2926</v>
      </c>
      <c r="AC1297">
        <v>10</v>
      </c>
    </row>
    <row r="1298" spans="1:29" x14ac:dyDescent="0.3">
      <c r="A1298" s="3">
        <v>45301</v>
      </c>
      <c r="B1298" s="3" t="str">
        <f>TEXT(CleanedTable[[#This Row],[OrderDate]],"mmm")</f>
        <v>Jan</v>
      </c>
      <c r="C1298" s="3" t="str">
        <f>TEXT(CleanedTable[[#This Row],[OrderDate]],"yyyy")</f>
        <v>2024</v>
      </c>
      <c r="D1298" s="3" t="str">
        <f>TEXT(CleanedTable[[#This Row],[OrderDate]],"mmm yyyy")</f>
        <v>Jan 2024</v>
      </c>
      <c r="E1298" t="s">
        <v>21</v>
      </c>
      <c r="F1298" t="s">
        <v>30</v>
      </c>
      <c r="G1298" s="12">
        <v>19</v>
      </c>
      <c r="H1298" s="8">
        <v>219.7</v>
      </c>
      <c r="I1298" t="s">
        <v>32</v>
      </c>
      <c r="J1298" t="s">
        <v>36</v>
      </c>
      <c r="K1298" s="10">
        <v>0</v>
      </c>
      <c r="L1298" t="s">
        <v>38</v>
      </c>
      <c r="M1298">
        <v>4174.3</v>
      </c>
      <c r="N1298">
        <v>2504.58</v>
      </c>
      <c r="O1298" s="10">
        <v>1654.3400000000001</v>
      </c>
      <c r="P1298" s="10">
        <v>0.39631554991256018</v>
      </c>
      <c r="Q1298" s="8">
        <v>4174.3</v>
      </c>
      <c r="R1298" t="s">
        <v>47</v>
      </c>
      <c r="S1298" t="s">
        <v>48</v>
      </c>
      <c r="T1298" t="s">
        <v>2931</v>
      </c>
      <c r="U1298">
        <v>0</v>
      </c>
      <c r="V1298" t="str">
        <f>IF(CleanedTable[[#This Row],[Returned]] = 0,"NO","Yes")</f>
        <v>NO</v>
      </c>
      <c r="W1298" t="s">
        <v>1347</v>
      </c>
      <c r="X1298" t="s">
        <v>2759</v>
      </c>
      <c r="Y1298" s="10">
        <v>15.38</v>
      </c>
      <c r="Z1298" s="3">
        <v>45301</v>
      </c>
      <c r="AA1298" s="3">
        <v>45307</v>
      </c>
      <c r="AB1298" t="s">
        <v>2924</v>
      </c>
      <c r="AC1298">
        <v>6</v>
      </c>
    </row>
    <row r="1299" spans="1:29" x14ac:dyDescent="0.3">
      <c r="A1299" s="3">
        <v>45794</v>
      </c>
      <c r="B1299" s="3" t="str">
        <f>TEXT(CleanedTable[[#This Row],[OrderDate]],"mmm")</f>
        <v>May</v>
      </c>
      <c r="C1299" s="3" t="str">
        <f>TEXT(CleanedTable[[#This Row],[OrderDate]],"yyyy")</f>
        <v>2025</v>
      </c>
      <c r="D1299" s="3" t="str">
        <f>TEXT(CleanedTable[[#This Row],[OrderDate]],"mmm yyyy")</f>
        <v>May 2025</v>
      </c>
      <c r="E1299" t="s">
        <v>20</v>
      </c>
      <c r="F1299" t="s">
        <v>25</v>
      </c>
      <c r="G1299" s="12">
        <v>6</v>
      </c>
      <c r="H1299" s="8">
        <v>94.34</v>
      </c>
      <c r="I1299" t="s">
        <v>33</v>
      </c>
      <c r="J1299" t="s">
        <v>36</v>
      </c>
      <c r="K1299" s="10">
        <v>0.05</v>
      </c>
      <c r="L1299" t="s">
        <v>38</v>
      </c>
      <c r="M1299">
        <v>537.73799999999994</v>
      </c>
      <c r="N1299">
        <v>339.62400000000002</v>
      </c>
      <c r="O1299" s="10">
        <v>148.85399999999993</v>
      </c>
      <c r="P1299" s="10">
        <v>0.27681510326590264</v>
      </c>
      <c r="Q1299" s="8">
        <v>537.73799999999994</v>
      </c>
      <c r="R1299" t="s">
        <v>47</v>
      </c>
      <c r="S1299" t="s">
        <v>50</v>
      </c>
      <c r="T1299" t="s">
        <v>2931</v>
      </c>
      <c r="U1299">
        <v>1</v>
      </c>
      <c r="V1299" t="str">
        <f>IF(CleanedTable[[#This Row],[Returned]] = 0,"NO","Yes")</f>
        <v>Yes</v>
      </c>
      <c r="W1299" t="s">
        <v>1348</v>
      </c>
      <c r="X1299" t="s">
        <v>2760</v>
      </c>
      <c r="Y1299" s="10">
        <v>49.26</v>
      </c>
      <c r="Z1299" s="3">
        <v>45794</v>
      </c>
      <c r="AA1299" s="3">
        <v>45800</v>
      </c>
      <c r="AB1299" t="s">
        <v>2923</v>
      </c>
      <c r="AC1299">
        <v>6</v>
      </c>
    </row>
    <row r="1300" spans="1:29" x14ac:dyDescent="0.3">
      <c r="A1300" s="3">
        <v>45499</v>
      </c>
      <c r="B1300" s="3" t="str">
        <f>TEXT(CleanedTable[[#This Row],[OrderDate]],"mmm")</f>
        <v>Jul</v>
      </c>
      <c r="C1300" s="3" t="str">
        <f>TEXT(CleanedTable[[#This Row],[OrderDate]],"yyyy")</f>
        <v>2024</v>
      </c>
      <c r="D1300" s="3" t="str">
        <f>TEXT(CleanedTable[[#This Row],[OrderDate]],"mmm yyyy")</f>
        <v>Jul 2024</v>
      </c>
      <c r="E1300" t="s">
        <v>22</v>
      </c>
      <c r="F1300" t="s">
        <v>24</v>
      </c>
      <c r="G1300" s="12">
        <v>9</v>
      </c>
      <c r="H1300" s="8">
        <v>486.58</v>
      </c>
      <c r="I1300" t="s">
        <v>32</v>
      </c>
      <c r="J1300" t="s">
        <v>36</v>
      </c>
      <c r="K1300" s="10">
        <v>0.15</v>
      </c>
      <c r="L1300" t="s">
        <v>38</v>
      </c>
      <c r="M1300">
        <v>3722.337</v>
      </c>
      <c r="N1300">
        <v>2627.5319999999997</v>
      </c>
      <c r="O1300" s="10">
        <v>1056.0850000000003</v>
      </c>
      <c r="P1300" s="10">
        <v>0.2837155797554064</v>
      </c>
      <c r="Q1300" s="8">
        <v>3722.337</v>
      </c>
      <c r="R1300" t="s">
        <v>43</v>
      </c>
      <c r="S1300" t="s">
        <v>48</v>
      </c>
      <c r="T1300" t="s">
        <v>2931</v>
      </c>
      <c r="U1300">
        <v>0</v>
      </c>
      <c r="V1300" t="str">
        <f>IF(CleanedTable[[#This Row],[Returned]] = 0,"NO","Yes")</f>
        <v>NO</v>
      </c>
      <c r="W1300" t="s">
        <v>1349</v>
      </c>
      <c r="X1300" t="s">
        <v>2761</v>
      </c>
      <c r="Y1300" s="10">
        <v>38.72</v>
      </c>
      <c r="Z1300" s="3">
        <v>45499</v>
      </c>
      <c r="AA1300" s="3">
        <v>45503</v>
      </c>
      <c r="AB1300" t="s">
        <v>2925</v>
      </c>
      <c r="AC1300">
        <v>4</v>
      </c>
    </row>
    <row r="1301" spans="1:29" x14ac:dyDescent="0.3">
      <c r="A1301" s="3">
        <v>45652</v>
      </c>
      <c r="B1301" s="3" t="str">
        <f>TEXT(CleanedTable[[#This Row],[OrderDate]],"mmm")</f>
        <v>Dec</v>
      </c>
      <c r="C1301" s="3" t="str">
        <f>TEXT(CleanedTable[[#This Row],[OrderDate]],"yyyy")</f>
        <v>2024</v>
      </c>
      <c r="D1301" s="3" t="str">
        <f>TEXT(CleanedTable[[#This Row],[OrderDate]],"mmm yyyy")</f>
        <v>Dec 2024</v>
      </c>
      <c r="E1301" t="s">
        <v>20</v>
      </c>
      <c r="F1301" t="s">
        <v>26</v>
      </c>
      <c r="G1301" s="12">
        <v>12</v>
      </c>
      <c r="H1301" s="8">
        <v>578.86</v>
      </c>
      <c r="I1301" t="s">
        <v>34</v>
      </c>
      <c r="J1301" t="s">
        <v>36</v>
      </c>
      <c r="K1301" s="10">
        <v>0.15</v>
      </c>
      <c r="L1301" t="s">
        <v>39</v>
      </c>
      <c r="M1301">
        <v>5904.3719999999994</v>
      </c>
      <c r="N1301">
        <v>4167.7919999999995</v>
      </c>
      <c r="O1301" s="10">
        <v>1710.74</v>
      </c>
      <c r="P1301" s="10">
        <v>0.28974122904180161</v>
      </c>
      <c r="Q1301" s="8">
        <v>5904.3719999999994</v>
      </c>
      <c r="R1301" t="s">
        <v>47</v>
      </c>
      <c r="S1301" t="s">
        <v>48</v>
      </c>
      <c r="T1301" t="s">
        <v>2931</v>
      </c>
      <c r="U1301">
        <v>0</v>
      </c>
      <c r="V1301" t="str">
        <f>IF(CleanedTable[[#This Row],[Returned]] = 0,"NO","Yes")</f>
        <v>NO</v>
      </c>
      <c r="W1301" t="s">
        <v>1350</v>
      </c>
      <c r="X1301" t="s">
        <v>2762</v>
      </c>
      <c r="Y1301" s="10">
        <v>25.84</v>
      </c>
      <c r="Z1301" s="3">
        <v>45652</v>
      </c>
      <c r="AA1301" s="3">
        <v>45660</v>
      </c>
      <c r="AB1301" t="s">
        <v>2923</v>
      </c>
      <c r="AC1301">
        <v>8</v>
      </c>
    </row>
    <row r="1302" spans="1:29" x14ac:dyDescent="0.3">
      <c r="A1302" s="3">
        <v>45680</v>
      </c>
      <c r="B1302" s="3" t="str">
        <f>TEXT(CleanedTable[[#This Row],[OrderDate]],"mmm")</f>
        <v>Jan</v>
      </c>
      <c r="C1302" s="3" t="str">
        <f>TEXT(CleanedTable[[#This Row],[OrderDate]],"yyyy")</f>
        <v>2025</v>
      </c>
      <c r="D1302" s="3" t="str">
        <f>TEXT(CleanedTable[[#This Row],[OrderDate]],"mmm yyyy")</f>
        <v>Jan 2025</v>
      </c>
      <c r="E1302" t="s">
        <v>19</v>
      </c>
      <c r="F1302" t="s">
        <v>29</v>
      </c>
      <c r="G1302" s="12">
        <v>7</v>
      </c>
      <c r="H1302" s="8">
        <v>196.88</v>
      </c>
      <c r="I1302" t="s">
        <v>33</v>
      </c>
      <c r="J1302" t="s">
        <v>36</v>
      </c>
      <c r="K1302" s="10">
        <v>0</v>
      </c>
      <c r="L1302" t="s">
        <v>41</v>
      </c>
      <c r="M1302">
        <v>1378.1599999999999</v>
      </c>
      <c r="N1302">
        <v>826.89599999999996</v>
      </c>
      <c r="O1302" s="10">
        <v>506.34399999999988</v>
      </c>
      <c r="P1302" s="10">
        <v>0.36740581645092002</v>
      </c>
      <c r="Q1302" s="8">
        <v>1378.16</v>
      </c>
      <c r="R1302" t="s">
        <v>46</v>
      </c>
      <c r="S1302" t="s">
        <v>49</v>
      </c>
      <c r="T1302" t="s">
        <v>2931</v>
      </c>
      <c r="U1302">
        <v>0</v>
      </c>
      <c r="V1302" t="str">
        <f>IF(CleanedTable[[#This Row],[Returned]] = 0,"NO","Yes")</f>
        <v>NO</v>
      </c>
      <c r="W1302" t="s">
        <v>1351</v>
      </c>
      <c r="X1302" t="s">
        <v>2070</v>
      </c>
      <c r="Y1302" s="10">
        <v>44.92</v>
      </c>
      <c r="Z1302" s="3">
        <v>45680</v>
      </c>
      <c r="AA1302" s="3">
        <v>45688</v>
      </c>
      <c r="AB1302" t="s">
        <v>2922</v>
      </c>
      <c r="AC1302">
        <v>8</v>
      </c>
    </row>
    <row r="1303" spans="1:29" x14ac:dyDescent="0.3">
      <c r="A1303" s="3">
        <v>45376</v>
      </c>
      <c r="B1303" s="3" t="str">
        <f>TEXT(CleanedTable[[#This Row],[OrderDate]],"mmm")</f>
        <v>Mar</v>
      </c>
      <c r="C1303" s="3" t="str">
        <f>TEXT(CleanedTable[[#This Row],[OrderDate]],"yyyy")</f>
        <v>2024</v>
      </c>
      <c r="D1303" s="3" t="str">
        <f>TEXT(CleanedTable[[#This Row],[OrderDate]],"mmm yyyy")</f>
        <v>Mar 2024</v>
      </c>
      <c r="E1303" t="s">
        <v>20</v>
      </c>
      <c r="F1303" t="s">
        <v>25</v>
      </c>
      <c r="G1303" s="12">
        <v>7</v>
      </c>
      <c r="H1303" s="8">
        <v>446.32</v>
      </c>
      <c r="I1303" t="s">
        <v>31</v>
      </c>
      <c r="J1303" t="s">
        <v>35</v>
      </c>
      <c r="K1303" s="10">
        <v>0.1</v>
      </c>
      <c r="L1303" t="s">
        <v>38</v>
      </c>
      <c r="M1303">
        <v>2811.8159999999998</v>
      </c>
      <c r="N1303">
        <v>1874.5439999999999</v>
      </c>
      <c r="O1303" s="10">
        <v>890.04199999999992</v>
      </c>
      <c r="P1303" s="10">
        <v>0.31653635942038882</v>
      </c>
      <c r="Q1303" s="8">
        <v>2811.8159999999998</v>
      </c>
      <c r="R1303" t="s">
        <v>46</v>
      </c>
      <c r="T1303" t="s">
        <v>2932</v>
      </c>
      <c r="U1303">
        <v>0</v>
      </c>
      <c r="V1303" t="str">
        <f>IF(CleanedTable[[#This Row],[Returned]] = 0,"NO","Yes")</f>
        <v>NO</v>
      </c>
      <c r="W1303" t="s">
        <v>1352</v>
      </c>
      <c r="X1303" t="s">
        <v>2763</v>
      </c>
      <c r="Y1303" s="10">
        <v>47.23</v>
      </c>
      <c r="Z1303" s="3">
        <v>45376</v>
      </c>
      <c r="AA1303" s="3">
        <v>45383</v>
      </c>
      <c r="AB1303" t="s">
        <v>2923</v>
      </c>
      <c r="AC1303">
        <v>7</v>
      </c>
    </row>
    <row r="1304" spans="1:29" x14ac:dyDescent="0.3">
      <c r="A1304" s="3">
        <v>45720</v>
      </c>
      <c r="B1304" s="3" t="str">
        <f>TEXT(CleanedTable[[#This Row],[OrderDate]],"mmm")</f>
        <v>Mar</v>
      </c>
      <c r="C1304" s="3" t="str">
        <f>TEXT(CleanedTable[[#This Row],[OrderDate]],"yyyy")</f>
        <v>2025</v>
      </c>
      <c r="D1304" s="3" t="str">
        <f>TEXT(CleanedTable[[#This Row],[OrderDate]],"mmm yyyy")</f>
        <v>Mar 2025</v>
      </c>
      <c r="E1304" t="s">
        <v>22</v>
      </c>
      <c r="F1304" t="s">
        <v>29</v>
      </c>
      <c r="G1304" s="12">
        <v>11</v>
      </c>
      <c r="H1304" s="8">
        <v>447.38</v>
      </c>
      <c r="I1304" t="s">
        <v>34</v>
      </c>
      <c r="J1304" t="s">
        <v>35</v>
      </c>
      <c r="K1304" s="10">
        <v>0</v>
      </c>
      <c r="L1304" t="s">
        <v>38</v>
      </c>
      <c r="M1304">
        <v>4921.18</v>
      </c>
      <c r="N1304">
        <v>2952.7080000000001</v>
      </c>
      <c r="O1304" s="10">
        <v>1931.7520000000002</v>
      </c>
      <c r="P1304" s="10">
        <v>0.39253837494259508</v>
      </c>
      <c r="Q1304" s="8">
        <v>4921.18</v>
      </c>
      <c r="R1304" t="s">
        <v>44</v>
      </c>
      <c r="S1304" t="s">
        <v>49</v>
      </c>
      <c r="T1304" t="s">
        <v>2931</v>
      </c>
      <c r="U1304">
        <v>0</v>
      </c>
      <c r="V1304" t="str">
        <f>IF(CleanedTable[[#This Row],[Returned]] = 0,"NO","Yes")</f>
        <v>NO</v>
      </c>
      <c r="W1304" t="s">
        <v>1353</v>
      </c>
      <c r="X1304" t="s">
        <v>2102</v>
      </c>
      <c r="Y1304" s="10">
        <v>36.72</v>
      </c>
      <c r="Z1304" s="3">
        <v>45720</v>
      </c>
      <c r="AA1304" s="3">
        <v>45727</v>
      </c>
      <c r="AB1304" t="s">
        <v>2925</v>
      </c>
      <c r="AC1304">
        <v>7</v>
      </c>
    </row>
    <row r="1305" spans="1:29" x14ac:dyDescent="0.3">
      <c r="A1305" s="3">
        <v>45219</v>
      </c>
      <c r="B1305" s="3" t="str">
        <f>TEXT(CleanedTable[[#This Row],[OrderDate]],"mmm")</f>
        <v>Oct</v>
      </c>
      <c r="C1305" s="3" t="str">
        <f>TEXT(CleanedTable[[#This Row],[OrderDate]],"yyyy")</f>
        <v>2023</v>
      </c>
      <c r="D1305" s="3" t="str">
        <f>TEXT(CleanedTable[[#This Row],[OrderDate]],"mmm yyyy")</f>
        <v>Oct 2023</v>
      </c>
      <c r="E1305" t="s">
        <v>20</v>
      </c>
      <c r="F1305" t="s">
        <v>26</v>
      </c>
      <c r="G1305" s="12">
        <v>14</v>
      </c>
      <c r="H1305" s="8">
        <v>275.33999999999997</v>
      </c>
      <c r="I1305" t="s">
        <v>31</v>
      </c>
      <c r="J1305" t="s">
        <v>36</v>
      </c>
      <c r="K1305" s="10">
        <v>0.1</v>
      </c>
      <c r="L1305" t="s">
        <v>40</v>
      </c>
      <c r="M1305">
        <v>3469.2839999999997</v>
      </c>
      <c r="N1305">
        <v>2312.8559999999998</v>
      </c>
      <c r="O1305" s="10">
        <v>1123.6279999999999</v>
      </c>
      <c r="P1305" s="10">
        <v>0.32387893294408876</v>
      </c>
      <c r="Q1305" s="8">
        <v>3469.2840000000001</v>
      </c>
      <c r="R1305" t="s">
        <v>43</v>
      </c>
      <c r="T1305" t="s">
        <v>2932</v>
      </c>
      <c r="U1305">
        <v>1</v>
      </c>
      <c r="V1305" t="str">
        <f>IF(CleanedTable[[#This Row],[Returned]] = 0,"NO","Yes")</f>
        <v>Yes</v>
      </c>
      <c r="W1305" t="s">
        <v>1354</v>
      </c>
      <c r="X1305" t="s">
        <v>2764</v>
      </c>
      <c r="Y1305" s="10">
        <v>32.799999999999997</v>
      </c>
      <c r="Z1305" s="3">
        <v>45219</v>
      </c>
      <c r="AA1305" s="3">
        <v>45223</v>
      </c>
      <c r="AB1305" t="s">
        <v>2923</v>
      </c>
      <c r="AC1305">
        <v>4</v>
      </c>
    </row>
    <row r="1306" spans="1:29" x14ac:dyDescent="0.3">
      <c r="A1306" s="3">
        <v>45554</v>
      </c>
      <c r="B1306" s="3" t="str">
        <f>TEXT(CleanedTable[[#This Row],[OrderDate]],"mmm")</f>
        <v>Sep</v>
      </c>
      <c r="C1306" s="3" t="str">
        <f>TEXT(CleanedTable[[#This Row],[OrderDate]],"yyyy")</f>
        <v>2024</v>
      </c>
      <c r="D1306" s="3" t="str">
        <f>TEXT(CleanedTable[[#This Row],[OrderDate]],"mmm yyyy")</f>
        <v>Sep 2024</v>
      </c>
      <c r="E1306" t="s">
        <v>22</v>
      </c>
      <c r="F1306" t="s">
        <v>26</v>
      </c>
      <c r="G1306" s="12">
        <v>2</v>
      </c>
      <c r="H1306" s="8">
        <v>27.64</v>
      </c>
      <c r="I1306" t="s">
        <v>31</v>
      </c>
      <c r="J1306" t="s">
        <v>36</v>
      </c>
      <c r="K1306" s="10">
        <v>0.15</v>
      </c>
      <c r="L1306" t="s">
        <v>39</v>
      </c>
      <c r="M1306">
        <v>46.988</v>
      </c>
      <c r="N1306">
        <v>33.167999999999999</v>
      </c>
      <c r="O1306" s="10">
        <v>-7.91</v>
      </c>
      <c r="P1306" s="10">
        <v>-0.16834085298374055</v>
      </c>
      <c r="Q1306" s="8">
        <v>46.988</v>
      </c>
      <c r="R1306" t="s">
        <v>45</v>
      </c>
      <c r="S1306" t="s">
        <v>48</v>
      </c>
      <c r="T1306" t="s">
        <v>2931</v>
      </c>
      <c r="U1306">
        <v>0</v>
      </c>
      <c r="V1306" t="str">
        <f>IF(CleanedTable[[#This Row],[Returned]] = 0,"NO","Yes")</f>
        <v>NO</v>
      </c>
      <c r="W1306" t="s">
        <v>1355</v>
      </c>
      <c r="X1306" t="s">
        <v>2765</v>
      </c>
      <c r="Y1306" s="10">
        <v>21.73</v>
      </c>
      <c r="Z1306" s="3">
        <v>45554</v>
      </c>
      <c r="AA1306" s="3">
        <v>45563</v>
      </c>
      <c r="AB1306" t="s">
        <v>2925</v>
      </c>
      <c r="AC1306">
        <v>9</v>
      </c>
    </row>
    <row r="1307" spans="1:29" x14ac:dyDescent="0.3">
      <c r="A1307" s="3">
        <v>45192</v>
      </c>
      <c r="B1307" s="3" t="str">
        <f>TEXT(CleanedTable[[#This Row],[OrderDate]],"mmm")</f>
        <v>Sep</v>
      </c>
      <c r="C1307" s="3" t="str">
        <f>TEXT(CleanedTable[[#This Row],[OrderDate]],"yyyy")</f>
        <v>2023</v>
      </c>
      <c r="D1307" s="3" t="str">
        <f>TEXT(CleanedTable[[#This Row],[OrderDate]],"mmm yyyy")</f>
        <v>Sep 2023</v>
      </c>
      <c r="E1307" t="s">
        <v>21</v>
      </c>
      <c r="F1307" t="s">
        <v>28</v>
      </c>
      <c r="G1307" s="12">
        <v>17</v>
      </c>
      <c r="H1307" s="8">
        <v>439.3</v>
      </c>
      <c r="I1307" t="s">
        <v>31</v>
      </c>
      <c r="J1307" t="s">
        <v>36</v>
      </c>
      <c r="K1307" s="10">
        <v>0</v>
      </c>
      <c r="L1307" t="s">
        <v>39</v>
      </c>
      <c r="M1307">
        <v>7468.1</v>
      </c>
      <c r="N1307">
        <v>4480.8599999999997</v>
      </c>
      <c r="O1307" s="10">
        <v>2974.3700000000008</v>
      </c>
      <c r="P1307" s="10">
        <v>0.39827667010350698</v>
      </c>
      <c r="Q1307" s="8">
        <v>7468.1</v>
      </c>
      <c r="R1307" t="s">
        <v>43</v>
      </c>
      <c r="S1307" t="s">
        <v>48</v>
      </c>
      <c r="T1307" t="s">
        <v>2931</v>
      </c>
      <c r="U1307">
        <v>0</v>
      </c>
      <c r="V1307" t="str">
        <f>IF(CleanedTable[[#This Row],[Returned]] = 0,"NO","Yes")</f>
        <v>NO</v>
      </c>
      <c r="W1307" t="s">
        <v>1356</v>
      </c>
      <c r="X1307" t="s">
        <v>2766</v>
      </c>
      <c r="Y1307" s="10">
        <v>12.87</v>
      </c>
      <c r="Z1307" s="3">
        <v>45192</v>
      </c>
      <c r="AA1307" s="3">
        <v>45195</v>
      </c>
      <c r="AB1307" t="s">
        <v>2924</v>
      </c>
      <c r="AC1307">
        <v>3</v>
      </c>
    </row>
    <row r="1308" spans="1:29" x14ac:dyDescent="0.3">
      <c r="A1308" s="3">
        <v>45657</v>
      </c>
      <c r="B1308" s="3" t="str">
        <f>TEXT(CleanedTable[[#This Row],[OrderDate]],"mmm")</f>
        <v>Dec</v>
      </c>
      <c r="C1308" s="3" t="str">
        <f>TEXT(CleanedTable[[#This Row],[OrderDate]],"yyyy")</f>
        <v>2024</v>
      </c>
      <c r="D1308" s="3" t="str">
        <f>TEXT(CleanedTable[[#This Row],[OrderDate]],"mmm yyyy")</f>
        <v>Dec 2024</v>
      </c>
      <c r="E1308" t="s">
        <v>19</v>
      </c>
      <c r="F1308" t="s">
        <v>30</v>
      </c>
      <c r="G1308" s="12">
        <v>15</v>
      </c>
      <c r="H1308" s="8">
        <v>573.80999999999995</v>
      </c>
      <c r="I1308" t="s">
        <v>33</v>
      </c>
      <c r="J1308" t="s">
        <v>36</v>
      </c>
      <c r="K1308" s="10">
        <v>0</v>
      </c>
      <c r="L1308" t="s">
        <v>38</v>
      </c>
      <c r="M1308">
        <v>8607.15</v>
      </c>
      <c r="N1308">
        <v>5164.2899999999991</v>
      </c>
      <c r="O1308" s="10">
        <v>3406.9900000000007</v>
      </c>
      <c r="P1308" s="10">
        <v>0.39583253457880957</v>
      </c>
      <c r="Q1308" s="8">
        <v>8607.15</v>
      </c>
      <c r="R1308" t="s">
        <v>44</v>
      </c>
      <c r="S1308" t="s">
        <v>49</v>
      </c>
      <c r="T1308" t="s">
        <v>2931</v>
      </c>
      <c r="U1308">
        <v>0</v>
      </c>
      <c r="V1308" t="str">
        <f>IF(CleanedTable[[#This Row],[Returned]] = 0,"NO","Yes")</f>
        <v>NO</v>
      </c>
      <c r="W1308" t="s">
        <v>1357</v>
      </c>
      <c r="X1308" t="s">
        <v>2169</v>
      </c>
      <c r="Y1308" s="10">
        <v>35.869999999999997</v>
      </c>
      <c r="Z1308" s="3">
        <v>45657</v>
      </c>
      <c r="AA1308" s="3">
        <v>45659</v>
      </c>
      <c r="AB1308" t="s">
        <v>2922</v>
      </c>
      <c r="AC1308">
        <v>2</v>
      </c>
    </row>
    <row r="1309" spans="1:29" x14ac:dyDescent="0.3">
      <c r="A1309" s="3">
        <v>45314</v>
      </c>
      <c r="B1309" s="3" t="str">
        <f>TEXT(CleanedTable[[#This Row],[OrderDate]],"mmm")</f>
        <v>Jan</v>
      </c>
      <c r="C1309" s="3" t="str">
        <f>TEXT(CleanedTable[[#This Row],[OrderDate]],"yyyy")</f>
        <v>2024</v>
      </c>
      <c r="D1309" s="3" t="str">
        <f>TEXT(CleanedTable[[#This Row],[OrderDate]],"mmm yyyy")</f>
        <v>Jan 2024</v>
      </c>
      <c r="E1309" t="s">
        <v>21</v>
      </c>
      <c r="F1309" t="s">
        <v>26</v>
      </c>
      <c r="G1309" s="12">
        <v>19</v>
      </c>
      <c r="H1309" s="8">
        <v>360.06</v>
      </c>
      <c r="I1309" t="s">
        <v>33</v>
      </c>
      <c r="J1309" t="s">
        <v>35</v>
      </c>
      <c r="K1309" s="10">
        <v>0.05</v>
      </c>
      <c r="L1309" t="s">
        <v>37</v>
      </c>
      <c r="M1309">
        <v>6499.0829999999996</v>
      </c>
      <c r="N1309">
        <v>4104.6840000000002</v>
      </c>
      <c r="O1309" s="10">
        <v>2361.2089999999994</v>
      </c>
      <c r="P1309" s="10">
        <v>0.36331417832331109</v>
      </c>
      <c r="Q1309" s="8">
        <v>6499.0829999999996</v>
      </c>
      <c r="R1309" t="s">
        <v>46</v>
      </c>
      <c r="S1309" t="s">
        <v>48</v>
      </c>
      <c r="T1309" t="s">
        <v>2931</v>
      </c>
      <c r="U1309">
        <v>0</v>
      </c>
      <c r="V1309" t="str">
        <f>IF(CleanedTable[[#This Row],[Returned]] = 0,"NO","Yes")</f>
        <v>NO</v>
      </c>
      <c r="W1309" t="s">
        <v>1358</v>
      </c>
      <c r="X1309" t="s">
        <v>2431</v>
      </c>
      <c r="Y1309" s="10">
        <v>33.19</v>
      </c>
      <c r="Z1309" s="3">
        <v>45314</v>
      </c>
      <c r="AA1309" s="3">
        <v>45322</v>
      </c>
      <c r="AB1309" t="s">
        <v>2924</v>
      </c>
      <c r="AC1309">
        <v>8</v>
      </c>
    </row>
    <row r="1310" spans="1:29" x14ac:dyDescent="0.3">
      <c r="A1310" s="3">
        <v>45090</v>
      </c>
      <c r="B1310" s="3" t="str">
        <f>TEXT(CleanedTable[[#This Row],[OrderDate]],"mmm")</f>
        <v>Jun</v>
      </c>
      <c r="C1310" s="3" t="str">
        <f>TEXT(CleanedTable[[#This Row],[OrderDate]],"yyyy")</f>
        <v>2023</v>
      </c>
      <c r="D1310" s="3" t="str">
        <f>TEXT(CleanedTable[[#This Row],[OrderDate]],"mmm yyyy")</f>
        <v>Jun 2023</v>
      </c>
      <c r="E1310" t="s">
        <v>19</v>
      </c>
      <c r="F1310" t="s">
        <v>24</v>
      </c>
      <c r="G1310" s="12">
        <v>7</v>
      </c>
      <c r="H1310" s="8">
        <v>535.20000000000005</v>
      </c>
      <c r="I1310" t="s">
        <v>33</v>
      </c>
      <c r="J1310" t="s">
        <v>36</v>
      </c>
      <c r="K1310" s="10">
        <v>0.1</v>
      </c>
      <c r="L1310" t="s">
        <v>39</v>
      </c>
      <c r="M1310">
        <v>3371.7600000000007</v>
      </c>
      <c r="N1310">
        <v>2247.84</v>
      </c>
      <c r="O1310" s="10">
        <v>1113.4800000000005</v>
      </c>
      <c r="P1310" s="10">
        <v>0.33023702754644468</v>
      </c>
      <c r="Q1310" s="8">
        <v>3371.7600000000011</v>
      </c>
      <c r="R1310" t="s">
        <v>46</v>
      </c>
      <c r="T1310" t="s">
        <v>2932</v>
      </c>
      <c r="U1310">
        <v>0</v>
      </c>
      <c r="V1310" t="str">
        <f>IF(CleanedTable[[#This Row],[Returned]] = 0,"NO","Yes")</f>
        <v>NO</v>
      </c>
      <c r="W1310" t="s">
        <v>1359</v>
      </c>
      <c r="X1310" t="s">
        <v>2767</v>
      </c>
      <c r="Y1310" s="10">
        <v>10.44</v>
      </c>
      <c r="Z1310" s="3">
        <v>45090</v>
      </c>
      <c r="AA1310" s="3">
        <v>45100</v>
      </c>
      <c r="AB1310" t="s">
        <v>2922</v>
      </c>
      <c r="AC1310">
        <v>10</v>
      </c>
    </row>
    <row r="1311" spans="1:29" x14ac:dyDescent="0.3">
      <c r="A1311" s="3">
        <v>45108</v>
      </c>
      <c r="B1311" s="3" t="str">
        <f>TEXT(CleanedTable[[#This Row],[OrderDate]],"mmm")</f>
        <v>Jul</v>
      </c>
      <c r="C1311" s="3" t="str">
        <f>TEXT(CleanedTable[[#This Row],[OrderDate]],"yyyy")</f>
        <v>2023</v>
      </c>
      <c r="D1311" s="3" t="str">
        <f>TEXT(CleanedTable[[#This Row],[OrderDate]],"mmm yyyy")</f>
        <v>Jul 2023</v>
      </c>
      <c r="E1311" t="s">
        <v>19</v>
      </c>
      <c r="F1311" t="s">
        <v>27</v>
      </c>
      <c r="G1311" s="12">
        <v>19</v>
      </c>
      <c r="H1311" s="8">
        <v>161.13</v>
      </c>
      <c r="I1311" t="s">
        <v>32</v>
      </c>
      <c r="J1311" t="s">
        <v>35</v>
      </c>
      <c r="K1311" s="10">
        <v>0</v>
      </c>
      <c r="L1311" t="s">
        <v>41</v>
      </c>
      <c r="M1311">
        <v>3061.47</v>
      </c>
      <c r="N1311">
        <v>1836.8820000000001</v>
      </c>
      <c r="O1311" s="10">
        <v>1219.1279999999997</v>
      </c>
      <c r="P1311" s="10">
        <v>0.39821654303324866</v>
      </c>
      <c r="Q1311" s="8">
        <v>3061.47</v>
      </c>
      <c r="R1311" t="s">
        <v>45</v>
      </c>
      <c r="S1311" t="s">
        <v>48</v>
      </c>
      <c r="T1311" t="s">
        <v>2931</v>
      </c>
      <c r="U1311">
        <v>0</v>
      </c>
      <c r="V1311" t="str">
        <f>IF(CleanedTable[[#This Row],[Returned]] = 0,"NO","Yes")</f>
        <v>NO</v>
      </c>
      <c r="W1311" t="s">
        <v>1360</v>
      </c>
      <c r="X1311" t="s">
        <v>2768</v>
      </c>
      <c r="Y1311" s="10">
        <v>5.46</v>
      </c>
      <c r="Z1311" s="3">
        <v>45108</v>
      </c>
      <c r="AA1311" s="3">
        <v>45113</v>
      </c>
      <c r="AB1311" t="s">
        <v>2922</v>
      </c>
      <c r="AC1311">
        <v>5</v>
      </c>
    </row>
    <row r="1312" spans="1:29" x14ac:dyDescent="0.3">
      <c r="A1312" s="3">
        <v>45738</v>
      </c>
      <c r="B1312" s="3" t="str">
        <f>TEXT(CleanedTable[[#This Row],[OrderDate]],"mmm")</f>
        <v>Mar</v>
      </c>
      <c r="C1312" s="3" t="str">
        <f>TEXT(CleanedTable[[#This Row],[OrderDate]],"yyyy")</f>
        <v>2025</v>
      </c>
      <c r="D1312" s="3" t="str">
        <f>TEXT(CleanedTable[[#This Row],[OrderDate]],"mmm yyyy")</f>
        <v>Mar 2025</v>
      </c>
      <c r="E1312" t="s">
        <v>20</v>
      </c>
      <c r="F1312" t="s">
        <v>24</v>
      </c>
      <c r="G1312" s="12">
        <v>11</v>
      </c>
      <c r="H1312" s="8">
        <v>29.6</v>
      </c>
      <c r="I1312" t="s">
        <v>34</v>
      </c>
      <c r="J1312" t="s">
        <v>36</v>
      </c>
      <c r="K1312" s="10">
        <v>0.15</v>
      </c>
      <c r="L1312" t="s">
        <v>40</v>
      </c>
      <c r="M1312">
        <v>276.76</v>
      </c>
      <c r="N1312">
        <v>195.36</v>
      </c>
      <c r="O1312" s="10">
        <v>46.439999999999976</v>
      </c>
      <c r="P1312" s="10">
        <v>0.16779881485763831</v>
      </c>
      <c r="Q1312" s="8">
        <v>276.76</v>
      </c>
      <c r="R1312" t="s">
        <v>47</v>
      </c>
      <c r="S1312" t="s">
        <v>48</v>
      </c>
      <c r="T1312" t="s">
        <v>2931</v>
      </c>
      <c r="U1312">
        <v>1</v>
      </c>
      <c r="V1312" t="str">
        <f>IF(CleanedTable[[#This Row],[Returned]] = 0,"NO","Yes")</f>
        <v>Yes</v>
      </c>
      <c r="W1312" t="s">
        <v>1361</v>
      </c>
      <c r="X1312" t="s">
        <v>2769</v>
      </c>
      <c r="Y1312" s="10">
        <v>34.96</v>
      </c>
      <c r="Z1312" s="3">
        <v>45738</v>
      </c>
      <c r="AA1312" s="3">
        <v>45741</v>
      </c>
      <c r="AB1312" t="s">
        <v>2923</v>
      </c>
      <c r="AC1312">
        <v>3</v>
      </c>
    </row>
    <row r="1313" spans="1:29" x14ac:dyDescent="0.3">
      <c r="A1313" s="3">
        <v>45695</v>
      </c>
      <c r="B1313" s="3" t="str">
        <f>TEXT(CleanedTable[[#This Row],[OrderDate]],"mmm")</f>
        <v>Feb</v>
      </c>
      <c r="C1313" s="3" t="str">
        <f>TEXT(CleanedTable[[#This Row],[OrderDate]],"yyyy")</f>
        <v>2025</v>
      </c>
      <c r="D1313" s="3" t="str">
        <f>TEXT(CleanedTable[[#This Row],[OrderDate]],"mmm yyyy")</f>
        <v>Feb 2025</v>
      </c>
      <c r="E1313" t="s">
        <v>20</v>
      </c>
      <c r="F1313" t="s">
        <v>24</v>
      </c>
      <c r="G1313" s="12">
        <v>16</v>
      </c>
      <c r="H1313" s="8">
        <v>172.89</v>
      </c>
      <c r="I1313" t="s">
        <v>31</v>
      </c>
      <c r="J1313" t="s">
        <v>35</v>
      </c>
      <c r="K1313" s="10">
        <v>0.15</v>
      </c>
      <c r="L1313" t="s">
        <v>41</v>
      </c>
      <c r="M1313">
        <v>2351.3039999999996</v>
      </c>
      <c r="N1313">
        <v>1659.7439999999999</v>
      </c>
      <c r="O1313" s="10">
        <v>649.68999999999971</v>
      </c>
      <c r="P1313" s="10">
        <v>0.2763105068506666</v>
      </c>
      <c r="Q1313" s="8">
        <v>2351.3040000000001</v>
      </c>
      <c r="R1313" t="s">
        <v>45</v>
      </c>
      <c r="S1313" t="s">
        <v>48</v>
      </c>
      <c r="T1313" t="s">
        <v>2931</v>
      </c>
      <c r="U1313">
        <v>1</v>
      </c>
      <c r="V1313" t="str">
        <f>IF(CleanedTable[[#This Row],[Returned]] = 0,"NO","Yes")</f>
        <v>Yes</v>
      </c>
      <c r="W1313" t="s">
        <v>1362</v>
      </c>
      <c r="X1313" t="s">
        <v>2770</v>
      </c>
      <c r="Y1313" s="10">
        <v>41.87</v>
      </c>
      <c r="Z1313" s="3">
        <v>45695</v>
      </c>
      <c r="AA1313" s="3">
        <v>45703</v>
      </c>
      <c r="AB1313" t="s">
        <v>2923</v>
      </c>
      <c r="AC1313">
        <v>8</v>
      </c>
    </row>
    <row r="1314" spans="1:29" x14ac:dyDescent="0.3">
      <c r="A1314" s="3">
        <v>45217</v>
      </c>
      <c r="B1314" s="3" t="str">
        <f>TEXT(CleanedTable[[#This Row],[OrderDate]],"mmm")</f>
        <v>Oct</v>
      </c>
      <c r="C1314" s="3" t="str">
        <f>TEXT(CleanedTable[[#This Row],[OrderDate]],"yyyy")</f>
        <v>2023</v>
      </c>
      <c r="D1314" s="3" t="str">
        <f>TEXT(CleanedTable[[#This Row],[OrderDate]],"mmm yyyy")</f>
        <v>Oct 2023</v>
      </c>
      <c r="E1314" t="s">
        <v>21</v>
      </c>
      <c r="F1314" t="s">
        <v>25</v>
      </c>
      <c r="G1314" s="12">
        <v>5</v>
      </c>
      <c r="H1314" s="8">
        <v>48.06</v>
      </c>
      <c r="I1314" t="s">
        <v>32</v>
      </c>
      <c r="J1314" t="s">
        <v>35</v>
      </c>
      <c r="K1314" s="10">
        <v>0</v>
      </c>
      <c r="L1314" t="s">
        <v>38</v>
      </c>
      <c r="M1314">
        <v>240.3</v>
      </c>
      <c r="N1314">
        <v>144.18</v>
      </c>
      <c r="O1314" s="10">
        <v>76.95</v>
      </c>
      <c r="P1314" s="10">
        <v>0.3202247191011236</v>
      </c>
      <c r="Q1314" s="8">
        <v>240.3</v>
      </c>
      <c r="R1314" t="s">
        <v>44</v>
      </c>
      <c r="S1314" t="s">
        <v>48</v>
      </c>
      <c r="T1314" t="s">
        <v>2931</v>
      </c>
      <c r="U1314">
        <v>0</v>
      </c>
      <c r="V1314" t="str">
        <f>IF(CleanedTable[[#This Row],[Returned]] = 0,"NO","Yes")</f>
        <v>NO</v>
      </c>
      <c r="W1314" t="s">
        <v>1363</v>
      </c>
      <c r="X1314" t="s">
        <v>2771</v>
      </c>
      <c r="Y1314" s="10">
        <v>19.170000000000002</v>
      </c>
      <c r="Z1314" s="3">
        <v>45217</v>
      </c>
      <c r="AA1314" s="3">
        <v>45225</v>
      </c>
      <c r="AB1314" t="s">
        <v>2924</v>
      </c>
      <c r="AC1314">
        <v>8</v>
      </c>
    </row>
    <row r="1315" spans="1:29" x14ac:dyDescent="0.3">
      <c r="A1315" s="3">
        <v>45293</v>
      </c>
      <c r="B1315" s="3" t="str">
        <f>TEXT(CleanedTable[[#This Row],[OrderDate]],"mmm")</f>
        <v>Jan</v>
      </c>
      <c r="C1315" s="3" t="str">
        <f>TEXT(CleanedTable[[#This Row],[OrderDate]],"yyyy")</f>
        <v>2024</v>
      </c>
      <c r="D1315" s="3" t="str">
        <f>TEXT(CleanedTable[[#This Row],[OrderDate]],"mmm yyyy")</f>
        <v>Jan 2024</v>
      </c>
      <c r="E1315" t="s">
        <v>22</v>
      </c>
      <c r="F1315" t="s">
        <v>26</v>
      </c>
      <c r="G1315" s="12">
        <v>7</v>
      </c>
      <c r="H1315" s="8">
        <v>55.76</v>
      </c>
      <c r="I1315" t="s">
        <v>33</v>
      </c>
      <c r="J1315" t="s">
        <v>35</v>
      </c>
      <c r="K1315" s="10">
        <v>0.1</v>
      </c>
      <c r="L1315" t="s">
        <v>38</v>
      </c>
      <c r="M1315">
        <v>351.28800000000001</v>
      </c>
      <c r="N1315">
        <v>234.19199999999998</v>
      </c>
      <c r="O1315" s="10">
        <v>78.116000000000042</v>
      </c>
      <c r="P1315" s="10">
        <v>0.22237024891257326</v>
      </c>
      <c r="Q1315" s="8">
        <v>351.28800000000001</v>
      </c>
      <c r="R1315" t="s">
        <v>43</v>
      </c>
      <c r="T1315" t="s">
        <v>2932</v>
      </c>
      <c r="U1315">
        <v>0</v>
      </c>
      <c r="V1315" t="str">
        <f>IF(CleanedTable[[#This Row],[Returned]] = 0,"NO","Yes")</f>
        <v>NO</v>
      </c>
      <c r="W1315" t="s">
        <v>1364</v>
      </c>
      <c r="X1315" t="s">
        <v>2772</v>
      </c>
      <c r="Y1315" s="10">
        <v>38.979999999999997</v>
      </c>
      <c r="Z1315" s="3">
        <v>45293</v>
      </c>
      <c r="AA1315" s="3">
        <v>45302</v>
      </c>
      <c r="AB1315" t="s">
        <v>2925</v>
      </c>
      <c r="AC1315">
        <v>9</v>
      </c>
    </row>
    <row r="1316" spans="1:29" x14ac:dyDescent="0.3">
      <c r="A1316" s="3">
        <v>45724</v>
      </c>
      <c r="B1316" s="3" t="str">
        <f>TEXT(CleanedTable[[#This Row],[OrderDate]],"mmm")</f>
        <v>Mar</v>
      </c>
      <c r="C1316" s="3" t="str">
        <f>TEXT(CleanedTable[[#This Row],[OrderDate]],"yyyy")</f>
        <v>2025</v>
      </c>
      <c r="D1316" s="3" t="str">
        <f>TEXT(CleanedTable[[#This Row],[OrderDate]],"mmm yyyy")</f>
        <v>Mar 2025</v>
      </c>
      <c r="E1316" t="s">
        <v>20</v>
      </c>
      <c r="F1316" t="s">
        <v>24</v>
      </c>
      <c r="G1316" s="12">
        <v>4</v>
      </c>
      <c r="H1316" s="8">
        <v>24.58</v>
      </c>
      <c r="I1316" t="s">
        <v>31</v>
      </c>
      <c r="J1316" t="s">
        <v>35</v>
      </c>
      <c r="K1316" s="10">
        <v>0.15</v>
      </c>
      <c r="L1316" t="s">
        <v>40</v>
      </c>
      <c r="M1316">
        <v>83.571999999999989</v>
      </c>
      <c r="N1316">
        <v>58.99199999999999</v>
      </c>
      <c r="O1316" s="10">
        <v>-15.29</v>
      </c>
      <c r="P1316" s="10">
        <v>-0.18295601397597283</v>
      </c>
      <c r="Q1316" s="8">
        <v>83.571999999999989</v>
      </c>
      <c r="R1316" t="s">
        <v>46</v>
      </c>
      <c r="S1316" t="s">
        <v>50</v>
      </c>
      <c r="T1316" t="s">
        <v>2931</v>
      </c>
      <c r="U1316">
        <v>0</v>
      </c>
      <c r="V1316" t="str">
        <f>IF(CleanedTable[[#This Row],[Returned]] = 0,"NO","Yes")</f>
        <v>NO</v>
      </c>
      <c r="W1316" t="s">
        <v>1365</v>
      </c>
      <c r="X1316" t="s">
        <v>2773</v>
      </c>
      <c r="Y1316" s="10">
        <v>39.869999999999997</v>
      </c>
      <c r="Z1316" s="3">
        <v>45724</v>
      </c>
      <c r="AA1316" s="3">
        <v>45733</v>
      </c>
      <c r="AB1316" t="s">
        <v>2923</v>
      </c>
      <c r="AC1316">
        <v>9</v>
      </c>
    </row>
    <row r="1317" spans="1:29" x14ac:dyDescent="0.3">
      <c r="A1317" s="3">
        <v>45110</v>
      </c>
      <c r="B1317" s="3" t="str">
        <f>TEXT(CleanedTable[[#This Row],[OrderDate]],"mmm")</f>
        <v>Jul</v>
      </c>
      <c r="C1317" s="3" t="str">
        <f>TEXT(CleanedTable[[#This Row],[OrderDate]],"yyyy")</f>
        <v>2023</v>
      </c>
      <c r="D1317" s="3" t="str">
        <f>TEXT(CleanedTable[[#This Row],[OrderDate]],"mmm yyyy")</f>
        <v>Jul 2023</v>
      </c>
      <c r="E1317" t="s">
        <v>23</v>
      </c>
      <c r="F1317" t="s">
        <v>26</v>
      </c>
      <c r="G1317" s="12">
        <v>2</v>
      </c>
      <c r="H1317" s="8">
        <v>504.82</v>
      </c>
      <c r="I1317" t="s">
        <v>34</v>
      </c>
      <c r="J1317" t="s">
        <v>36</v>
      </c>
      <c r="K1317" s="10">
        <v>0</v>
      </c>
      <c r="L1317" t="s">
        <v>40</v>
      </c>
      <c r="M1317">
        <v>1009.64</v>
      </c>
      <c r="N1317">
        <v>605.78399999999999</v>
      </c>
      <c r="O1317" s="10">
        <v>378.31599999999997</v>
      </c>
      <c r="P1317" s="10">
        <v>0.37470385483934865</v>
      </c>
      <c r="Q1317" s="8">
        <v>1009.64</v>
      </c>
      <c r="R1317" t="s">
        <v>46</v>
      </c>
      <c r="S1317" t="s">
        <v>48</v>
      </c>
      <c r="T1317" t="s">
        <v>2931</v>
      </c>
      <c r="U1317">
        <v>0</v>
      </c>
      <c r="V1317" t="str">
        <f>IF(CleanedTable[[#This Row],[Returned]] = 0,"NO","Yes")</f>
        <v>NO</v>
      </c>
      <c r="W1317" t="s">
        <v>1366</v>
      </c>
      <c r="X1317" t="s">
        <v>2774</v>
      </c>
      <c r="Y1317" s="10">
        <v>25.54</v>
      </c>
      <c r="Z1317" s="3">
        <v>45110</v>
      </c>
      <c r="AA1317" s="3">
        <v>45115</v>
      </c>
      <c r="AB1317" t="s">
        <v>2926</v>
      </c>
      <c r="AC1317">
        <v>5</v>
      </c>
    </row>
    <row r="1318" spans="1:29" x14ac:dyDescent="0.3">
      <c r="A1318" s="3">
        <v>45245</v>
      </c>
      <c r="B1318" s="3" t="str">
        <f>TEXT(CleanedTable[[#This Row],[OrderDate]],"mmm")</f>
        <v>Nov</v>
      </c>
      <c r="C1318" s="3" t="str">
        <f>TEXT(CleanedTable[[#This Row],[OrderDate]],"yyyy")</f>
        <v>2023</v>
      </c>
      <c r="D1318" s="3" t="str">
        <f>TEXT(CleanedTable[[#This Row],[OrderDate]],"mmm yyyy")</f>
        <v>Nov 2023</v>
      </c>
      <c r="E1318" t="s">
        <v>21</v>
      </c>
      <c r="F1318" t="s">
        <v>29</v>
      </c>
      <c r="G1318" s="12">
        <v>17</v>
      </c>
      <c r="H1318" s="8">
        <v>275.89</v>
      </c>
      <c r="I1318" t="s">
        <v>31</v>
      </c>
      <c r="J1318" t="s">
        <v>35</v>
      </c>
      <c r="K1318" s="10">
        <v>0.1</v>
      </c>
      <c r="L1318" t="s">
        <v>42</v>
      </c>
      <c r="M1318">
        <v>4221.1170000000002</v>
      </c>
      <c r="N1318">
        <v>2814.078</v>
      </c>
      <c r="O1318" s="10">
        <v>1391.6090000000002</v>
      </c>
      <c r="P1318" s="10">
        <v>0.32967790279208087</v>
      </c>
      <c r="Q1318" s="8">
        <v>4221.1170000000002</v>
      </c>
      <c r="R1318" t="s">
        <v>44</v>
      </c>
      <c r="S1318" t="s">
        <v>48</v>
      </c>
      <c r="T1318" t="s">
        <v>2931</v>
      </c>
      <c r="U1318">
        <v>0</v>
      </c>
      <c r="V1318" t="str">
        <f>IF(CleanedTable[[#This Row],[Returned]] = 0,"NO","Yes")</f>
        <v>NO</v>
      </c>
      <c r="W1318" t="s">
        <v>1367</v>
      </c>
      <c r="X1318" t="s">
        <v>2775</v>
      </c>
      <c r="Y1318" s="10">
        <v>15.43</v>
      </c>
      <c r="Z1318" s="3">
        <v>45245</v>
      </c>
      <c r="AA1318" s="3">
        <v>45252</v>
      </c>
      <c r="AB1318" t="s">
        <v>2924</v>
      </c>
      <c r="AC1318">
        <v>7</v>
      </c>
    </row>
    <row r="1319" spans="1:29" x14ac:dyDescent="0.3">
      <c r="A1319" s="3">
        <v>45332</v>
      </c>
      <c r="B1319" s="3" t="str">
        <f>TEXT(CleanedTable[[#This Row],[OrderDate]],"mmm")</f>
        <v>Feb</v>
      </c>
      <c r="C1319" s="3" t="str">
        <f>TEXT(CleanedTable[[#This Row],[OrderDate]],"yyyy")</f>
        <v>2024</v>
      </c>
      <c r="D1319" s="3" t="str">
        <f>TEXT(CleanedTable[[#This Row],[OrderDate]],"mmm yyyy")</f>
        <v>Feb 2024</v>
      </c>
      <c r="E1319" t="s">
        <v>23</v>
      </c>
      <c r="F1319" t="s">
        <v>26</v>
      </c>
      <c r="G1319" s="12">
        <v>9</v>
      </c>
      <c r="H1319" s="8">
        <v>130.57</v>
      </c>
      <c r="I1319" t="s">
        <v>33</v>
      </c>
      <c r="J1319" t="s">
        <v>35</v>
      </c>
      <c r="K1319" s="10">
        <v>0.1</v>
      </c>
      <c r="L1319" t="s">
        <v>37</v>
      </c>
      <c r="M1319">
        <v>1057.617</v>
      </c>
      <c r="N1319">
        <v>705.07799999999997</v>
      </c>
      <c r="O1319" s="10">
        <v>315.399</v>
      </c>
      <c r="P1319" s="10">
        <v>0.29821665120738416</v>
      </c>
      <c r="Q1319" s="8">
        <v>1057.617</v>
      </c>
      <c r="R1319" t="s">
        <v>47</v>
      </c>
      <c r="S1319" t="s">
        <v>50</v>
      </c>
      <c r="T1319" t="s">
        <v>2931</v>
      </c>
      <c r="U1319">
        <v>0</v>
      </c>
      <c r="V1319" t="str">
        <f>IF(CleanedTable[[#This Row],[Returned]] = 0,"NO","Yes")</f>
        <v>NO</v>
      </c>
      <c r="W1319" t="s">
        <v>1368</v>
      </c>
      <c r="X1319" t="s">
        <v>2776</v>
      </c>
      <c r="Y1319" s="10">
        <v>37.14</v>
      </c>
      <c r="Z1319" s="3">
        <v>45332</v>
      </c>
      <c r="AA1319" s="3">
        <v>45339</v>
      </c>
      <c r="AB1319" t="s">
        <v>2926</v>
      </c>
      <c r="AC1319">
        <v>7</v>
      </c>
    </row>
    <row r="1320" spans="1:29" x14ac:dyDescent="0.3">
      <c r="A1320" s="3">
        <v>45756</v>
      </c>
      <c r="B1320" s="3" t="str">
        <f>TEXT(CleanedTable[[#This Row],[OrderDate]],"mmm")</f>
        <v>Apr</v>
      </c>
      <c r="C1320" s="3" t="str">
        <f>TEXT(CleanedTable[[#This Row],[OrderDate]],"yyyy")</f>
        <v>2025</v>
      </c>
      <c r="D1320" s="3" t="str">
        <f>TEXT(CleanedTable[[#This Row],[OrderDate]],"mmm yyyy")</f>
        <v>Apr 2025</v>
      </c>
      <c r="E1320" t="s">
        <v>23</v>
      </c>
      <c r="F1320" t="s">
        <v>28</v>
      </c>
      <c r="G1320" s="12">
        <v>12</v>
      </c>
      <c r="H1320" s="8">
        <v>312.72000000000003</v>
      </c>
      <c r="I1320" t="s">
        <v>33</v>
      </c>
      <c r="J1320" t="s">
        <v>36</v>
      </c>
      <c r="K1320" s="10">
        <v>0</v>
      </c>
      <c r="L1320" t="s">
        <v>37</v>
      </c>
      <c r="M1320">
        <v>3752.6400000000003</v>
      </c>
      <c r="N1320">
        <v>2251.5839999999998</v>
      </c>
      <c r="O1320" s="10">
        <v>1482.5960000000005</v>
      </c>
      <c r="P1320" s="10">
        <v>0.39508079645263078</v>
      </c>
      <c r="Q1320" s="8">
        <v>3752.64</v>
      </c>
      <c r="R1320" t="s">
        <v>44</v>
      </c>
      <c r="T1320" t="s">
        <v>2932</v>
      </c>
      <c r="U1320">
        <v>0</v>
      </c>
      <c r="V1320" t="str">
        <f>IF(CleanedTable[[#This Row],[Returned]] = 0,"NO","Yes")</f>
        <v>NO</v>
      </c>
      <c r="W1320" t="s">
        <v>1369</v>
      </c>
      <c r="X1320" t="s">
        <v>2019</v>
      </c>
      <c r="Y1320" s="10">
        <v>18.46</v>
      </c>
      <c r="Z1320" s="3">
        <v>45756</v>
      </c>
      <c r="AA1320" s="3">
        <v>45766</v>
      </c>
      <c r="AB1320" t="s">
        <v>2926</v>
      </c>
      <c r="AC1320">
        <v>10</v>
      </c>
    </row>
    <row r="1321" spans="1:29" x14ac:dyDescent="0.3">
      <c r="A1321" s="3">
        <v>45178</v>
      </c>
      <c r="B1321" s="3" t="str">
        <f>TEXT(CleanedTable[[#This Row],[OrderDate]],"mmm")</f>
        <v>Sep</v>
      </c>
      <c r="C1321" s="3" t="str">
        <f>TEXT(CleanedTable[[#This Row],[OrderDate]],"yyyy")</f>
        <v>2023</v>
      </c>
      <c r="D1321" s="3" t="str">
        <f>TEXT(CleanedTable[[#This Row],[OrderDate]],"mmm yyyy")</f>
        <v>Sep 2023</v>
      </c>
      <c r="E1321" t="s">
        <v>23</v>
      </c>
      <c r="F1321" t="s">
        <v>29</v>
      </c>
      <c r="G1321" s="12">
        <v>18</v>
      </c>
      <c r="H1321" s="8">
        <v>222.66</v>
      </c>
      <c r="I1321" t="s">
        <v>33</v>
      </c>
      <c r="J1321" t="s">
        <v>35</v>
      </c>
      <c r="K1321" s="10">
        <v>0.05</v>
      </c>
      <c r="L1321" t="s">
        <v>38</v>
      </c>
      <c r="M1321">
        <v>3807.4859999999999</v>
      </c>
      <c r="N1321">
        <v>2404.7280000000001</v>
      </c>
      <c r="O1321" s="10">
        <v>1389.8479999999997</v>
      </c>
      <c r="P1321" s="10">
        <v>0.36503036386739168</v>
      </c>
      <c r="Q1321" s="8">
        <v>3807.4859999999999</v>
      </c>
      <c r="R1321" t="s">
        <v>44</v>
      </c>
      <c r="S1321" t="s">
        <v>49</v>
      </c>
      <c r="T1321" t="s">
        <v>2931</v>
      </c>
      <c r="U1321">
        <v>0</v>
      </c>
      <c r="V1321" t="str">
        <f>IF(CleanedTable[[#This Row],[Returned]] = 0,"NO","Yes")</f>
        <v>NO</v>
      </c>
      <c r="W1321" t="s">
        <v>1370</v>
      </c>
      <c r="X1321" t="s">
        <v>2777</v>
      </c>
      <c r="Y1321" s="10">
        <v>12.91</v>
      </c>
      <c r="Z1321" s="3">
        <v>45178</v>
      </c>
      <c r="AA1321" s="3">
        <v>45181</v>
      </c>
      <c r="AB1321" t="s">
        <v>2926</v>
      </c>
      <c r="AC1321">
        <v>3</v>
      </c>
    </row>
    <row r="1322" spans="1:29" x14ac:dyDescent="0.3">
      <c r="A1322" s="3">
        <v>45004</v>
      </c>
      <c r="B1322" s="3" t="str">
        <f>TEXT(CleanedTable[[#This Row],[OrderDate]],"mmm")</f>
        <v>Mar</v>
      </c>
      <c r="C1322" s="3" t="str">
        <f>TEXT(CleanedTable[[#This Row],[OrderDate]],"yyyy")</f>
        <v>2023</v>
      </c>
      <c r="D1322" s="3" t="str">
        <f>TEXT(CleanedTable[[#This Row],[OrderDate]],"mmm yyyy")</f>
        <v>Mar 2023</v>
      </c>
      <c r="E1322" t="s">
        <v>19</v>
      </c>
      <c r="F1322" t="s">
        <v>25</v>
      </c>
      <c r="G1322" s="12">
        <v>13</v>
      </c>
      <c r="H1322" s="8">
        <v>374.05</v>
      </c>
      <c r="I1322" t="s">
        <v>34</v>
      </c>
      <c r="J1322" t="s">
        <v>35</v>
      </c>
      <c r="K1322" s="10">
        <v>0.05</v>
      </c>
      <c r="L1322" t="s">
        <v>41</v>
      </c>
      <c r="M1322">
        <v>4619.5174999999999</v>
      </c>
      <c r="N1322">
        <v>2917.59</v>
      </c>
      <c r="O1322" s="10">
        <v>1675.6074999999998</v>
      </c>
      <c r="P1322" s="10">
        <v>0.36272348789673375</v>
      </c>
      <c r="Q1322" s="8">
        <v>4619.5174999999999</v>
      </c>
      <c r="R1322" t="s">
        <v>46</v>
      </c>
      <c r="S1322" t="s">
        <v>48</v>
      </c>
      <c r="T1322" t="s">
        <v>2931</v>
      </c>
      <c r="U1322">
        <v>0</v>
      </c>
      <c r="V1322" t="str">
        <f>IF(CleanedTable[[#This Row],[Returned]] = 0,"NO","Yes")</f>
        <v>NO</v>
      </c>
      <c r="W1322" t="s">
        <v>1371</v>
      </c>
      <c r="X1322" t="s">
        <v>2778</v>
      </c>
      <c r="Y1322" s="10">
        <v>26.32</v>
      </c>
      <c r="Z1322" s="3">
        <v>45004</v>
      </c>
      <c r="AA1322" s="3">
        <v>45011</v>
      </c>
      <c r="AB1322" t="s">
        <v>2922</v>
      </c>
      <c r="AC1322">
        <v>7</v>
      </c>
    </row>
    <row r="1323" spans="1:29" x14ac:dyDescent="0.3">
      <c r="A1323" s="3">
        <v>45657</v>
      </c>
      <c r="B1323" s="3" t="str">
        <f>TEXT(CleanedTable[[#This Row],[OrderDate]],"mmm")</f>
        <v>Dec</v>
      </c>
      <c r="C1323" s="3" t="str">
        <f>TEXT(CleanedTable[[#This Row],[OrderDate]],"yyyy")</f>
        <v>2024</v>
      </c>
      <c r="D1323" s="3" t="str">
        <f>TEXT(CleanedTable[[#This Row],[OrderDate]],"mmm yyyy")</f>
        <v>Dec 2024</v>
      </c>
      <c r="E1323" t="s">
        <v>22</v>
      </c>
      <c r="F1323" t="s">
        <v>30</v>
      </c>
      <c r="G1323" s="12">
        <v>11</v>
      </c>
      <c r="H1323" s="8">
        <v>331.29</v>
      </c>
      <c r="I1323" t="s">
        <v>31</v>
      </c>
      <c r="J1323" t="s">
        <v>35</v>
      </c>
      <c r="K1323" s="10">
        <v>0.1</v>
      </c>
      <c r="L1323" t="s">
        <v>38</v>
      </c>
      <c r="M1323">
        <v>3279.7710000000002</v>
      </c>
      <c r="N1323">
        <v>2186.5140000000001</v>
      </c>
      <c r="O1323" s="10">
        <v>1087.037</v>
      </c>
      <c r="P1323" s="10">
        <v>0.33143685946366375</v>
      </c>
      <c r="Q1323" s="8">
        <v>3279.7710000000002</v>
      </c>
      <c r="R1323" t="s">
        <v>45</v>
      </c>
      <c r="S1323" t="s">
        <v>50</v>
      </c>
      <c r="T1323" t="s">
        <v>2931</v>
      </c>
      <c r="U1323">
        <v>0</v>
      </c>
      <c r="V1323" t="str">
        <f>IF(CleanedTable[[#This Row],[Returned]] = 0,"NO","Yes")</f>
        <v>NO</v>
      </c>
      <c r="W1323" t="s">
        <v>1372</v>
      </c>
      <c r="X1323" t="s">
        <v>2454</v>
      </c>
      <c r="Y1323" s="10">
        <v>6.22</v>
      </c>
      <c r="Z1323" s="3">
        <v>45657</v>
      </c>
      <c r="AA1323" s="3">
        <v>45659</v>
      </c>
      <c r="AB1323" t="s">
        <v>2925</v>
      </c>
      <c r="AC1323">
        <v>2</v>
      </c>
    </row>
    <row r="1324" spans="1:29" x14ac:dyDescent="0.3">
      <c r="A1324" s="3">
        <v>45254</v>
      </c>
      <c r="B1324" s="3" t="str">
        <f>TEXT(CleanedTable[[#This Row],[OrderDate]],"mmm")</f>
        <v>Nov</v>
      </c>
      <c r="C1324" s="3" t="str">
        <f>TEXT(CleanedTable[[#This Row],[OrderDate]],"yyyy")</f>
        <v>2023</v>
      </c>
      <c r="D1324" s="3" t="str">
        <f>TEXT(CleanedTable[[#This Row],[OrderDate]],"mmm yyyy")</f>
        <v>Nov 2023</v>
      </c>
      <c r="E1324" t="s">
        <v>22</v>
      </c>
      <c r="F1324" t="s">
        <v>25</v>
      </c>
      <c r="G1324" s="12">
        <v>5</v>
      </c>
      <c r="H1324" s="8">
        <v>533.52</v>
      </c>
      <c r="I1324" t="s">
        <v>34</v>
      </c>
      <c r="J1324" t="s">
        <v>35</v>
      </c>
      <c r="K1324" s="10">
        <v>0</v>
      </c>
      <c r="L1324" t="s">
        <v>40</v>
      </c>
      <c r="M1324">
        <v>2667.6</v>
      </c>
      <c r="N1324">
        <v>1600.56</v>
      </c>
      <c r="O1324" s="10">
        <v>1057.96</v>
      </c>
      <c r="P1324" s="10">
        <v>0.39659619133303348</v>
      </c>
      <c r="Q1324" s="8">
        <v>2667.6</v>
      </c>
      <c r="R1324" t="s">
        <v>45</v>
      </c>
      <c r="S1324" t="s">
        <v>48</v>
      </c>
      <c r="T1324" t="s">
        <v>2931</v>
      </c>
      <c r="U1324">
        <v>1</v>
      </c>
      <c r="V1324" t="str">
        <f>IF(CleanedTable[[#This Row],[Returned]] = 0,"NO","Yes")</f>
        <v>Yes</v>
      </c>
      <c r="W1324" t="s">
        <v>1373</v>
      </c>
      <c r="X1324" t="s">
        <v>2779</v>
      </c>
      <c r="Y1324" s="10">
        <v>9.08</v>
      </c>
      <c r="Z1324" s="3">
        <v>45254</v>
      </c>
      <c r="AA1324" s="3">
        <v>45256</v>
      </c>
      <c r="AB1324" t="s">
        <v>2925</v>
      </c>
      <c r="AC1324">
        <v>2</v>
      </c>
    </row>
    <row r="1325" spans="1:29" x14ac:dyDescent="0.3">
      <c r="A1325" s="3">
        <v>45792</v>
      </c>
      <c r="B1325" s="3" t="str">
        <f>TEXT(CleanedTable[[#This Row],[OrderDate]],"mmm")</f>
        <v>May</v>
      </c>
      <c r="C1325" s="3" t="str">
        <f>TEXT(CleanedTable[[#This Row],[OrderDate]],"yyyy")</f>
        <v>2025</v>
      </c>
      <c r="D1325" s="3" t="str">
        <f>TEXT(CleanedTable[[#This Row],[OrderDate]],"mmm yyyy")</f>
        <v>May 2025</v>
      </c>
      <c r="E1325" t="s">
        <v>19</v>
      </c>
      <c r="F1325" t="s">
        <v>27</v>
      </c>
      <c r="G1325" s="12">
        <v>10</v>
      </c>
      <c r="H1325" s="8">
        <v>492.24</v>
      </c>
      <c r="I1325" t="s">
        <v>32</v>
      </c>
      <c r="J1325" t="s">
        <v>36</v>
      </c>
      <c r="K1325" s="10">
        <v>0</v>
      </c>
      <c r="L1325" t="s">
        <v>38</v>
      </c>
      <c r="M1325">
        <v>4922.3999999999996</v>
      </c>
      <c r="N1325">
        <v>2953.44</v>
      </c>
      <c r="O1325" s="10">
        <v>1930.0699999999995</v>
      </c>
      <c r="P1325" s="10">
        <v>0.39209938241508202</v>
      </c>
      <c r="Q1325" s="8">
        <v>4922.3999999999996</v>
      </c>
      <c r="R1325" t="s">
        <v>44</v>
      </c>
      <c r="S1325" t="s">
        <v>50</v>
      </c>
      <c r="T1325" t="s">
        <v>2931</v>
      </c>
      <c r="U1325">
        <v>0</v>
      </c>
      <c r="V1325" t="str">
        <f>IF(CleanedTable[[#This Row],[Returned]] = 0,"NO","Yes")</f>
        <v>NO</v>
      </c>
      <c r="W1325" t="s">
        <v>1374</v>
      </c>
      <c r="X1325" t="s">
        <v>2780</v>
      </c>
      <c r="Y1325" s="10">
        <v>38.89</v>
      </c>
      <c r="Z1325" s="3">
        <v>45792</v>
      </c>
      <c r="AA1325" s="3">
        <v>45799</v>
      </c>
      <c r="AB1325" t="s">
        <v>2922</v>
      </c>
      <c r="AC1325">
        <v>7</v>
      </c>
    </row>
    <row r="1326" spans="1:29" x14ac:dyDescent="0.3">
      <c r="A1326" s="3">
        <v>45753</v>
      </c>
      <c r="B1326" s="3" t="str">
        <f>TEXT(CleanedTable[[#This Row],[OrderDate]],"mmm")</f>
        <v>Apr</v>
      </c>
      <c r="C1326" s="3" t="str">
        <f>TEXT(CleanedTable[[#This Row],[OrderDate]],"yyyy")</f>
        <v>2025</v>
      </c>
      <c r="D1326" s="3" t="str">
        <f>TEXT(CleanedTable[[#This Row],[OrderDate]],"mmm yyyy")</f>
        <v>Apr 2025</v>
      </c>
      <c r="E1326" t="s">
        <v>20</v>
      </c>
      <c r="F1326" t="s">
        <v>29</v>
      </c>
      <c r="G1326" s="12">
        <v>9</v>
      </c>
      <c r="H1326" s="8">
        <v>543.57000000000005</v>
      </c>
      <c r="I1326" t="s">
        <v>34</v>
      </c>
      <c r="J1326" t="s">
        <v>36</v>
      </c>
      <c r="K1326" s="10">
        <v>0.15</v>
      </c>
      <c r="L1326" t="s">
        <v>41</v>
      </c>
      <c r="M1326">
        <v>4158.3104999999996</v>
      </c>
      <c r="N1326">
        <v>2935.2779999999998</v>
      </c>
      <c r="O1326" s="10">
        <v>1215.4924999999998</v>
      </c>
      <c r="P1326" s="10">
        <v>0.29230441064946927</v>
      </c>
      <c r="Q1326" s="8">
        <v>4158.3104999999996</v>
      </c>
      <c r="R1326" t="s">
        <v>46</v>
      </c>
      <c r="S1326" t="s">
        <v>49</v>
      </c>
      <c r="T1326" t="s">
        <v>2931</v>
      </c>
      <c r="U1326">
        <v>0</v>
      </c>
      <c r="V1326" t="str">
        <f>IF(CleanedTable[[#This Row],[Returned]] = 0,"NO","Yes")</f>
        <v>NO</v>
      </c>
      <c r="W1326" t="s">
        <v>1375</v>
      </c>
      <c r="X1326" t="s">
        <v>2781</v>
      </c>
      <c r="Y1326" s="10">
        <v>7.54</v>
      </c>
      <c r="Z1326" s="3">
        <v>45753</v>
      </c>
      <c r="AA1326" s="3">
        <v>45758</v>
      </c>
      <c r="AB1326" t="s">
        <v>2923</v>
      </c>
      <c r="AC1326">
        <v>5</v>
      </c>
    </row>
    <row r="1327" spans="1:29" x14ac:dyDescent="0.3">
      <c r="A1327" s="3">
        <v>45328</v>
      </c>
      <c r="B1327" s="3" t="str">
        <f>TEXT(CleanedTable[[#This Row],[OrderDate]],"mmm")</f>
        <v>Feb</v>
      </c>
      <c r="C1327" s="3" t="str">
        <f>TEXT(CleanedTable[[#This Row],[OrderDate]],"yyyy")</f>
        <v>2024</v>
      </c>
      <c r="D1327" s="3" t="str">
        <f>TEXT(CleanedTable[[#This Row],[OrderDate]],"mmm yyyy")</f>
        <v>Feb 2024</v>
      </c>
      <c r="E1327" t="s">
        <v>20</v>
      </c>
      <c r="F1327" t="s">
        <v>26</v>
      </c>
      <c r="G1327" s="12">
        <v>17</v>
      </c>
      <c r="H1327" s="8">
        <v>141.76</v>
      </c>
      <c r="I1327" t="s">
        <v>34</v>
      </c>
      <c r="J1327" t="s">
        <v>35</v>
      </c>
      <c r="K1327" s="10">
        <v>0.1</v>
      </c>
      <c r="L1327" t="s">
        <v>42</v>
      </c>
      <c r="M1327">
        <v>2168.9280000000003</v>
      </c>
      <c r="N1327">
        <v>1445.952</v>
      </c>
      <c r="O1327" s="10">
        <v>712.99600000000032</v>
      </c>
      <c r="P1327" s="10">
        <v>0.32873198188229402</v>
      </c>
      <c r="Q1327" s="8">
        <v>2168.9279999999999</v>
      </c>
      <c r="R1327" t="s">
        <v>47</v>
      </c>
      <c r="S1327" t="s">
        <v>50</v>
      </c>
      <c r="T1327" t="s">
        <v>2931</v>
      </c>
      <c r="U1327">
        <v>1</v>
      </c>
      <c r="V1327" t="str">
        <f>IF(CleanedTable[[#This Row],[Returned]] = 0,"NO","Yes")</f>
        <v>Yes</v>
      </c>
      <c r="W1327" t="s">
        <v>1376</v>
      </c>
      <c r="X1327" t="s">
        <v>2782</v>
      </c>
      <c r="Y1327" s="10">
        <v>9.98</v>
      </c>
      <c r="Z1327" s="3">
        <v>45328</v>
      </c>
      <c r="AA1327" s="3">
        <v>45336</v>
      </c>
      <c r="AB1327" t="s">
        <v>2923</v>
      </c>
      <c r="AC1327">
        <v>8</v>
      </c>
    </row>
    <row r="1328" spans="1:29" x14ac:dyDescent="0.3">
      <c r="A1328" s="3">
        <v>45791</v>
      </c>
      <c r="B1328" s="3" t="str">
        <f>TEXT(CleanedTable[[#This Row],[OrderDate]],"mmm")</f>
        <v>May</v>
      </c>
      <c r="C1328" s="3" t="str">
        <f>TEXT(CleanedTable[[#This Row],[OrderDate]],"yyyy")</f>
        <v>2025</v>
      </c>
      <c r="D1328" s="3" t="str">
        <f>TEXT(CleanedTable[[#This Row],[OrderDate]],"mmm yyyy")</f>
        <v>May 2025</v>
      </c>
      <c r="E1328" t="s">
        <v>21</v>
      </c>
      <c r="F1328" t="s">
        <v>24</v>
      </c>
      <c r="G1328" s="12">
        <v>12</v>
      </c>
      <c r="H1328" s="8">
        <v>502.7</v>
      </c>
      <c r="I1328" t="s">
        <v>34</v>
      </c>
      <c r="J1328" t="s">
        <v>35</v>
      </c>
      <c r="K1328" s="10">
        <v>0.1</v>
      </c>
      <c r="L1328" t="s">
        <v>38</v>
      </c>
      <c r="M1328">
        <v>5429.16</v>
      </c>
      <c r="N1328">
        <v>3619.44</v>
      </c>
      <c r="O1328" s="10">
        <v>1803.2299999999998</v>
      </c>
      <c r="P1328" s="10">
        <v>0.33213793662371338</v>
      </c>
      <c r="Q1328" s="8">
        <v>5429.16</v>
      </c>
      <c r="R1328" t="s">
        <v>45</v>
      </c>
      <c r="S1328" t="s">
        <v>48</v>
      </c>
      <c r="T1328" t="s">
        <v>2931</v>
      </c>
      <c r="U1328">
        <v>0</v>
      </c>
      <c r="V1328" t="str">
        <f>IF(CleanedTable[[#This Row],[Returned]] = 0,"NO","Yes")</f>
        <v>NO</v>
      </c>
      <c r="W1328" t="s">
        <v>1377</v>
      </c>
      <c r="X1328" t="s">
        <v>2783</v>
      </c>
      <c r="Y1328" s="10">
        <v>6.49</v>
      </c>
      <c r="Z1328" s="3">
        <v>45791</v>
      </c>
      <c r="AA1328" s="3">
        <v>45797</v>
      </c>
      <c r="AB1328" t="s">
        <v>2924</v>
      </c>
      <c r="AC1328">
        <v>6</v>
      </c>
    </row>
    <row r="1329" spans="1:29" x14ac:dyDescent="0.3">
      <c r="A1329" s="3">
        <v>44939</v>
      </c>
      <c r="B1329" s="3" t="str">
        <f>TEXT(CleanedTable[[#This Row],[OrderDate]],"mmm")</f>
        <v>Jan</v>
      </c>
      <c r="C1329" s="3" t="str">
        <f>TEXT(CleanedTable[[#This Row],[OrderDate]],"yyyy")</f>
        <v>2023</v>
      </c>
      <c r="D1329" s="3" t="str">
        <f>TEXT(CleanedTable[[#This Row],[OrderDate]],"mmm yyyy")</f>
        <v>Jan 2023</v>
      </c>
      <c r="E1329" t="s">
        <v>19</v>
      </c>
      <c r="F1329" t="s">
        <v>29</v>
      </c>
      <c r="G1329" s="12">
        <v>10</v>
      </c>
      <c r="H1329" s="8">
        <v>155.43</v>
      </c>
      <c r="I1329" t="s">
        <v>34</v>
      </c>
      <c r="J1329" t="s">
        <v>35</v>
      </c>
      <c r="K1329" s="10">
        <v>0.05</v>
      </c>
      <c r="L1329" t="s">
        <v>39</v>
      </c>
      <c r="M1329">
        <v>1476.585</v>
      </c>
      <c r="N1329">
        <v>932.57999999999993</v>
      </c>
      <c r="O1329" s="10">
        <v>517.5150000000001</v>
      </c>
      <c r="P1329" s="10">
        <v>0.35048100854336195</v>
      </c>
      <c r="Q1329" s="8">
        <v>1476.585</v>
      </c>
      <c r="R1329" t="s">
        <v>44</v>
      </c>
      <c r="S1329" t="s">
        <v>50</v>
      </c>
      <c r="T1329" t="s">
        <v>2931</v>
      </c>
      <c r="U1329">
        <v>0</v>
      </c>
      <c r="V1329" t="str">
        <f>IF(CleanedTable[[#This Row],[Returned]] = 0,"NO","Yes")</f>
        <v>NO</v>
      </c>
      <c r="W1329" t="s">
        <v>1378</v>
      </c>
      <c r="X1329" t="s">
        <v>2784</v>
      </c>
      <c r="Y1329" s="10">
        <v>26.49</v>
      </c>
      <c r="Z1329" s="3">
        <v>44939</v>
      </c>
      <c r="AA1329" s="3">
        <v>44944</v>
      </c>
      <c r="AB1329" t="s">
        <v>2922</v>
      </c>
      <c r="AC1329">
        <v>5</v>
      </c>
    </row>
    <row r="1330" spans="1:29" x14ac:dyDescent="0.3">
      <c r="A1330" s="3">
        <v>45341</v>
      </c>
      <c r="B1330" s="3" t="str">
        <f>TEXT(CleanedTable[[#This Row],[OrderDate]],"mmm")</f>
        <v>Feb</v>
      </c>
      <c r="C1330" s="3" t="str">
        <f>TEXT(CleanedTable[[#This Row],[OrderDate]],"yyyy")</f>
        <v>2024</v>
      </c>
      <c r="D1330" s="3" t="str">
        <f>TEXT(CleanedTable[[#This Row],[OrderDate]],"mmm yyyy")</f>
        <v>Feb 2024</v>
      </c>
      <c r="E1330" t="s">
        <v>21</v>
      </c>
      <c r="F1330" t="s">
        <v>29</v>
      </c>
      <c r="G1330" s="12">
        <v>18</v>
      </c>
      <c r="H1330" s="8">
        <v>203.73</v>
      </c>
      <c r="I1330" t="s">
        <v>31</v>
      </c>
      <c r="J1330" t="s">
        <v>35</v>
      </c>
      <c r="K1330" s="10">
        <v>0</v>
      </c>
      <c r="L1330" t="s">
        <v>40</v>
      </c>
      <c r="M1330">
        <v>3667.14</v>
      </c>
      <c r="N1330">
        <v>2200.2839999999997</v>
      </c>
      <c r="O1330" s="10">
        <v>1441.8760000000002</v>
      </c>
      <c r="P1330" s="10">
        <v>0.39318815207491403</v>
      </c>
      <c r="Q1330" s="8">
        <v>3667.14</v>
      </c>
      <c r="R1330" t="s">
        <v>44</v>
      </c>
      <c r="S1330" t="s">
        <v>49</v>
      </c>
      <c r="T1330" t="s">
        <v>2931</v>
      </c>
      <c r="U1330">
        <v>1</v>
      </c>
      <c r="V1330" t="str">
        <f>IF(CleanedTable[[#This Row],[Returned]] = 0,"NO","Yes")</f>
        <v>Yes</v>
      </c>
      <c r="W1330" t="s">
        <v>1379</v>
      </c>
      <c r="X1330" t="s">
        <v>2785</v>
      </c>
      <c r="Y1330" s="10">
        <v>24.98</v>
      </c>
      <c r="Z1330" s="3">
        <v>45341</v>
      </c>
      <c r="AA1330" s="3">
        <v>45350</v>
      </c>
      <c r="AB1330" t="s">
        <v>2924</v>
      </c>
      <c r="AC1330">
        <v>9</v>
      </c>
    </row>
    <row r="1331" spans="1:29" x14ac:dyDescent="0.3">
      <c r="A1331" s="3">
        <v>45206</v>
      </c>
      <c r="B1331" s="3" t="str">
        <f>TEXT(CleanedTable[[#This Row],[OrderDate]],"mmm")</f>
        <v>Oct</v>
      </c>
      <c r="C1331" s="3" t="str">
        <f>TEXT(CleanedTable[[#This Row],[OrderDate]],"yyyy")</f>
        <v>2023</v>
      </c>
      <c r="D1331" s="3" t="str">
        <f>TEXT(CleanedTable[[#This Row],[OrderDate]],"mmm yyyy")</f>
        <v>Oct 2023</v>
      </c>
      <c r="E1331" t="s">
        <v>20</v>
      </c>
      <c r="F1331" t="s">
        <v>25</v>
      </c>
      <c r="G1331" s="12">
        <v>3</v>
      </c>
      <c r="H1331" s="8">
        <v>464.11</v>
      </c>
      <c r="I1331" t="s">
        <v>31</v>
      </c>
      <c r="J1331" t="s">
        <v>35</v>
      </c>
      <c r="K1331" s="10">
        <v>0.15</v>
      </c>
      <c r="L1331" t="s">
        <v>38</v>
      </c>
      <c r="M1331">
        <v>1183.4804999999999</v>
      </c>
      <c r="N1331">
        <v>835.39800000000002</v>
      </c>
      <c r="O1331" s="10">
        <v>320.63249999999988</v>
      </c>
      <c r="P1331" s="10">
        <v>0.27092334854693417</v>
      </c>
      <c r="Q1331" s="8">
        <v>1183.4804999999999</v>
      </c>
      <c r="R1331" t="s">
        <v>44</v>
      </c>
      <c r="T1331" t="s">
        <v>2932</v>
      </c>
      <c r="U1331">
        <v>0</v>
      </c>
      <c r="V1331" t="str">
        <f>IF(CleanedTable[[#This Row],[Returned]] = 0,"NO","Yes")</f>
        <v>NO</v>
      </c>
      <c r="W1331" t="s">
        <v>1380</v>
      </c>
      <c r="X1331" t="s">
        <v>2786</v>
      </c>
      <c r="Y1331" s="10">
        <v>27.45</v>
      </c>
      <c r="Z1331" s="3">
        <v>45206</v>
      </c>
      <c r="AA1331" s="3">
        <v>45211</v>
      </c>
      <c r="AB1331" t="s">
        <v>2923</v>
      </c>
      <c r="AC1331">
        <v>5</v>
      </c>
    </row>
    <row r="1332" spans="1:29" x14ac:dyDescent="0.3">
      <c r="A1332" s="3">
        <v>45552</v>
      </c>
      <c r="B1332" s="3" t="str">
        <f>TEXT(CleanedTable[[#This Row],[OrderDate]],"mmm")</f>
        <v>Sep</v>
      </c>
      <c r="C1332" s="3" t="str">
        <f>TEXT(CleanedTable[[#This Row],[OrderDate]],"yyyy")</f>
        <v>2024</v>
      </c>
      <c r="D1332" s="3" t="str">
        <f>TEXT(CleanedTable[[#This Row],[OrderDate]],"mmm yyyy")</f>
        <v>Sep 2024</v>
      </c>
      <c r="E1332" t="s">
        <v>22</v>
      </c>
      <c r="F1332" t="s">
        <v>27</v>
      </c>
      <c r="G1332" s="12">
        <v>2</v>
      </c>
      <c r="H1332" s="8">
        <v>442.03</v>
      </c>
      <c r="I1332" t="s">
        <v>31</v>
      </c>
      <c r="J1332" t="s">
        <v>36</v>
      </c>
      <c r="K1332" s="10">
        <v>0.15</v>
      </c>
      <c r="L1332" t="s">
        <v>40</v>
      </c>
      <c r="M1332">
        <v>751.45099999999991</v>
      </c>
      <c r="N1332">
        <v>530.43599999999992</v>
      </c>
      <c r="O1332" s="10">
        <v>192.30499999999998</v>
      </c>
      <c r="P1332" s="10">
        <v>0.25591156309593038</v>
      </c>
      <c r="Q1332" s="8">
        <v>751.45099999999991</v>
      </c>
      <c r="R1332" t="s">
        <v>46</v>
      </c>
      <c r="S1332" t="s">
        <v>50</v>
      </c>
      <c r="T1332" t="s">
        <v>2931</v>
      </c>
      <c r="U1332">
        <v>0</v>
      </c>
      <c r="V1332" t="str">
        <f>IF(CleanedTable[[#This Row],[Returned]] = 0,"NO","Yes")</f>
        <v>NO</v>
      </c>
      <c r="W1332" t="s">
        <v>1381</v>
      </c>
      <c r="X1332" t="s">
        <v>2787</v>
      </c>
      <c r="Y1332" s="10">
        <v>28.71</v>
      </c>
      <c r="Z1332" s="3">
        <v>45552</v>
      </c>
      <c r="AA1332" s="3">
        <v>45554</v>
      </c>
      <c r="AB1332" t="s">
        <v>2925</v>
      </c>
      <c r="AC1332">
        <v>2</v>
      </c>
    </row>
    <row r="1333" spans="1:29" x14ac:dyDescent="0.3">
      <c r="A1333" s="3">
        <v>45053</v>
      </c>
      <c r="B1333" s="3" t="str">
        <f>TEXT(CleanedTable[[#This Row],[OrderDate]],"mmm")</f>
        <v>May</v>
      </c>
      <c r="C1333" s="3" t="str">
        <f>TEXT(CleanedTable[[#This Row],[OrderDate]],"yyyy")</f>
        <v>2023</v>
      </c>
      <c r="D1333" s="3" t="str">
        <f>TEXT(CleanedTable[[#This Row],[OrderDate]],"mmm yyyy")</f>
        <v>May 2023</v>
      </c>
      <c r="E1333" t="s">
        <v>21</v>
      </c>
      <c r="F1333" t="s">
        <v>25</v>
      </c>
      <c r="G1333" s="12">
        <v>7</v>
      </c>
      <c r="H1333" s="8">
        <v>82.91</v>
      </c>
      <c r="I1333" t="s">
        <v>32</v>
      </c>
      <c r="J1333" t="s">
        <v>36</v>
      </c>
      <c r="K1333" s="10">
        <v>0.05</v>
      </c>
      <c r="L1333" t="s">
        <v>37</v>
      </c>
      <c r="M1333">
        <v>551.35149999999999</v>
      </c>
      <c r="N1333">
        <v>348.22199999999998</v>
      </c>
      <c r="O1333" s="10">
        <v>186.09950000000001</v>
      </c>
      <c r="P1333" s="10">
        <v>0.33753331586111585</v>
      </c>
      <c r="Q1333" s="8">
        <v>551.35149999999999</v>
      </c>
      <c r="R1333" t="s">
        <v>46</v>
      </c>
      <c r="S1333" t="s">
        <v>50</v>
      </c>
      <c r="T1333" t="s">
        <v>2931</v>
      </c>
      <c r="U1333">
        <v>1</v>
      </c>
      <c r="V1333" t="str">
        <f>IF(CleanedTable[[#This Row],[Returned]] = 0,"NO","Yes")</f>
        <v>Yes</v>
      </c>
      <c r="W1333" t="s">
        <v>1382</v>
      </c>
      <c r="X1333" t="s">
        <v>2788</v>
      </c>
      <c r="Y1333" s="10">
        <v>17.03</v>
      </c>
      <c r="Z1333" s="3">
        <v>45053</v>
      </c>
      <c r="AA1333" s="3">
        <v>45063</v>
      </c>
      <c r="AB1333" t="s">
        <v>2924</v>
      </c>
      <c r="AC1333">
        <v>10</v>
      </c>
    </row>
    <row r="1334" spans="1:29" x14ac:dyDescent="0.3">
      <c r="A1334" s="3">
        <v>45272</v>
      </c>
      <c r="B1334" s="3" t="str">
        <f>TEXT(CleanedTable[[#This Row],[OrderDate]],"mmm")</f>
        <v>Dec</v>
      </c>
      <c r="C1334" s="3" t="str">
        <f>TEXT(CleanedTable[[#This Row],[OrderDate]],"yyyy")</f>
        <v>2023</v>
      </c>
      <c r="D1334" s="3" t="str">
        <f>TEXT(CleanedTable[[#This Row],[OrderDate]],"mmm yyyy")</f>
        <v>Dec 2023</v>
      </c>
      <c r="E1334" t="s">
        <v>21</v>
      </c>
      <c r="F1334" t="s">
        <v>25</v>
      </c>
      <c r="G1334" s="12">
        <v>13</v>
      </c>
      <c r="H1334" s="8">
        <v>468.16</v>
      </c>
      <c r="I1334" t="s">
        <v>31</v>
      </c>
      <c r="J1334" t="s">
        <v>36</v>
      </c>
      <c r="K1334" s="10">
        <v>0.15</v>
      </c>
      <c r="L1334" t="s">
        <v>38</v>
      </c>
      <c r="M1334">
        <v>5173.1679999999997</v>
      </c>
      <c r="N1334">
        <v>3651.6480000000001</v>
      </c>
      <c r="O1334" s="10">
        <v>1492.4099999999996</v>
      </c>
      <c r="P1334" s="10">
        <v>0.28849053423356824</v>
      </c>
      <c r="Q1334" s="8">
        <v>5173.1679999999997</v>
      </c>
      <c r="R1334" t="s">
        <v>47</v>
      </c>
      <c r="S1334" t="s">
        <v>49</v>
      </c>
      <c r="T1334" t="s">
        <v>2931</v>
      </c>
      <c r="U1334">
        <v>0</v>
      </c>
      <c r="V1334" t="str">
        <f>IF(CleanedTable[[#This Row],[Returned]] = 0,"NO","Yes")</f>
        <v>NO</v>
      </c>
      <c r="W1334" t="s">
        <v>1383</v>
      </c>
      <c r="X1334" t="s">
        <v>1710</v>
      </c>
      <c r="Y1334" s="10">
        <v>29.11</v>
      </c>
      <c r="Z1334" s="3">
        <v>45272</v>
      </c>
      <c r="AA1334" s="3">
        <v>45281</v>
      </c>
      <c r="AB1334" t="s">
        <v>2924</v>
      </c>
      <c r="AC1334">
        <v>9</v>
      </c>
    </row>
    <row r="1335" spans="1:29" x14ac:dyDescent="0.3">
      <c r="A1335" s="3">
        <v>45727</v>
      </c>
      <c r="B1335" s="3" t="str">
        <f>TEXT(CleanedTable[[#This Row],[OrderDate]],"mmm")</f>
        <v>Mar</v>
      </c>
      <c r="C1335" s="3" t="str">
        <f>TEXT(CleanedTable[[#This Row],[OrderDate]],"yyyy")</f>
        <v>2025</v>
      </c>
      <c r="D1335" s="3" t="str">
        <f>TEXT(CleanedTable[[#This Row],[OrderDate]],"mmm yyyy")</f>
        <v>Mar 2025</v>
      </c>
      <c r="E1335" t="s">
        <v>22</v>
      </c>
      <c r="F1335" t="s">
        <v>29</v>
      </c>
      <c r="G1335" s="12">
        <v>3</v>
      </c>
      <c r="H1335" s="8">
        <v>11.32</v>
      </c>
      <c r="I1335" t="s">
        <v>33</v>
      </c>
      <c r="J1335" t="s">
        <v>36</v>
      </c>
      <c r="K1335" s="10">
        <v>0.05</v>
      </c>
      <c r="L1335" t="s">
        <v>37</v>
      </c>
      <c r="M1335">
        <v>32.262</v>
      </c>
      <c r="N1335">
        <v>20.375999999999998</v>
      </c>
      <c r="O1335" s="10">
        <v>-4.5039999999999978</v>
      </c>
      <c r="P1335" s="10">
        <v>-0.13960696794991004</v>
      </c>
      <c r="Q1335" s="8">
        <v>32.262</v>
      </c>
      <c r="R1335" t="s">
        <v>43</v>
      </c>
      <c r="S1335" t="s">
        <v>50</v>
      </c>
      <c r="T1335" t="s">
        <v>2931</v>
      </c>
      <c r="U1335">
        <v>0</v>
      </c>
      <c r="V1335" t="str">
        <f>IF(CleanedTable[[#This Row],[Returned]] = 0,"NO","Yes")</f>
        <v>NO</v>
      </c>
      <c r="W1335" t="s">
        <v>1384</v>
      </c>
      <c r="X1335" t="s">
        <v>2552</v>
      </c>
      <c r="Y1335" s="10">
        <v>16.39</v>
      </c>
      <c r="Z1335" s="3">
        <v>45727</v>
      </c>
      <c r="AA1335" s="3">
        <v>45730</v>
      </c>
      <c r="AB1335" t="s">
        <v>2925</v>
      </c>
      <c r="AC1335">
        <v>3</v>
      </c>
    </row>
    <row r="1336" spans="1:29" x14ac:dyDescent="0.3">
      <c r="A1336" s="3">
        <v>45380</v>
      </c>
      <c r="B1336" s="3" t="str">
        <f>TEXT(CleanedTable[[#This Row],[OrderDate]],"mmm")</f>
        <v>Mar</v>
      </c>
      <c r="C1336" s="3" t="str">
        <f>TEXT(CleanedTable[[#This Row],[OrderDate]],"yyyy")</f>
        <v>2024</v>
      </c>
      <c r="D1336" s="3" t="str">
        <f>TEXT(CleanedTable[[#This Row],[OrderDate]],"mmm yyyy")</f>
        <v>Mar 2024</v>
      </c>
      <c r="E1336" t="s">
        <v>19</v>
      </c>
      <c r="F1336" t="s">
        <v>27</v>
      </c>
      <c r="G1336" s="12">
        <v>1</v>
      </c>
      <c r="H1336" s="8">
        <v>378.36</v>
      </c>
      <c r="I1336" t="s">
        <v>32</v>
      </c>
      <c r="J1336" t="s">
        <v>36</v>
      </c>
      <c r="K1336" s="10">
        <v>0.05</v>
      </c>
      <c r="L1336" t="s">
        <v>37</v>
      </c>
      <c r="M1336">
        <v>359.44200000000001</v>
      </c>
      <c r="N1336">
        <v>227.01599999999999</v>
      </c>
      <c r="O1336" s="10">
        <v>124.83600000000001</v>
      </c>
      <c r="P1336" s="10">
        <v>0.34730498940023707</v>
      </c>
      <c r="Q1336" s="8">
        <v>359.44200000000001</v>
      </c>
      <c r="R1336" t="s">
        <v>47</v>
      </c>
      <c r="T1336" t="s">
        <v>2932</v>
      </c>
      <c r="U1336">
        <v>0</v>
      </c>
      <c r="V1336" t="str">
        <f>IF(CleanedTable[[#This Row],[Returned]] = 0,"NO","Yes")</f>
        <v>NO</v>
      </c>
      <c r="W1336" t="s">
        <v>1385</v>
      </c>
      <c r="X1336" t="s">
        <v>2780</v>
      </c>
      <c r="Y1336" s="10">
        <v>7.59</v>
      </c>
      <c r="Z1336" s="3">
        <v>45380</v>
      </c>
      <c r="AA1336" s="3">
        <v>45389</v>
      </c>
      <c r="AB1336" t="s">
        <v>2922</v>
      </c>
      <c r="AC1336">
        <v>9</v>
      </c>
    </row>
    <row r="1337" spans="1:29" x14ac:dyDescent="0.3">
      <c r="A1337" s="3">
        <v>45501</v>
      </c>
      <c r="B1337" s="3" t="str">
        <f>TEXT(CleanedTable[[#This Row],[OrderDate]],"mmm")</f>
        <v>Jul</v>
      </c>
      <c r="C1337" s="3" t="str">
        <f>TEXT(CleanedTable[[#This Row],[OrderDate]],"yyyy")</f>
        <v>2024</v>
      </c>
      <c r="D1337" s="3" t="str">
        <f>TEXT(CleanedTable[[#This Row],[OrderDate]],"mmm yyyy")</f>
        <v>Jul 2024</v>
      </c>
      <c r="E1337" t="s">
        <v>23</v>
      </c>
      <c r="F1337" t="s">
        <v>29</v>
      </c>
      <c r="G1337" s="12">
        <v>6</v>
      </c>
      <c r="H1337" s="8">
        <v>61.06</v>
      </c>
      <c r="I1337" t="s">
        <v>34</v>
      </c>
      <c r="J1337" t="s">
        <v>35</v>
      </c>
      <c r="K1337" s="10">
        <v>0</v>
      </c>
      <c r="L1337" t="s">
        <v>42</v>
      </c>
      <c r="M1337">
        <v>366.36</v>
      </c>
      <c r="N1337">
        <v>219.81600000000003</v>
      </c>
      <c r="O1337" s="10">
        <v>97.453999999999979</v>
      </c>
      <c r="P1337" s="10">
        <v>0.2660061142046074</v>
      </c>
      <c r="Q1337" s="8">
        <v>366.36</v>
      </c>
      <c r="R1337" t="s">
        <v>46</v>
      </c>
      <c r="S1337" t="s">
        <v>49</v>
      </c>
      <c r="T1337" t="s">
        <v>2931</v>
      </c>
      <c r="U1337">
        <v>1</v>
      </c>
      <c r="V1337" t="str">
        <f>IF(CleanedTable[[#This Row],[Returned]] = 0,"NO","Yes")</f>
        <v>Yes</v>
      </c>
      <c r="W1337" t="s">
        <v>1386</v>
      </c>
      <c r="X1337" t="s">
        <v>2789</v>
      </c>
      <c r="Y1337" s="10">
        <v>49.09</v>
      </c>
      <c r="Z1337" s="3">
        <v>45501</v>
      </c>
      <c r="AA1337" s="3">
        <v>45509</v>
      </c>
      <c r="AB1337" t="s">
        <v>2926</v>
      </c>
      <c r="AC1337">
        <v>8</v>
      </c>
    </row>
    <row r="1338" spans="1:29" x14ac:dyDescent="0.3">
      <c r="A1338" s="3">
        <v>45484</v>
      </c>
      <c r="B1338" s="3" t="str">
        <f>TEXT(CleanedTable[[#This Row],[OrderDate]],"mmm")</f>
        <v>Jul</v>
      </c>
      <c r="C1338" s="3" t="str">
        <f>TEXT(CleanedTable[[#This Row],[OrderDate]],"yyyy")</f>
        <v>2024</v>
      </c>
      <c r="D1338" s="3" t="str">
        <f>TEXT(CleanedTable[[#This Row],[OrderDate]],"mmm yyyy")</f>
        <v>Jul 2024</v>
      </c>
      <c r="E1338" t="s">
        <v>20</v>
      </c>
      <c r="F1338" t="s">
        <v>29</v>
      </c>
      <c r="G1338" s="12">
        <v>14</v>
      </c>
      <c r="H1338" s="8">
        <v>98.06</v>
      </c>
      <c r="I1338" t="s">
        <v>32</v>
      </c>
      <c r="J1338" t="s">
        <v>35</v>
      </c>
      <c r="K1338" s="10">
        <v>0.1</v>
      </c>
      <c r="L1338" t="s">
        <v>38</v>
      </c>
      <c r="M1338">
        <v>1235.5560000000003</v>
      </c>
      <c r="N1338">
        <v>823.70399999999995</v>
      </c>
      <c r="O1338" s="10">
        <v>401.51200000000034</v>
      </c>
      <c r="P1338" s="10">
        <v>0.32496463130768677</v>
      </c>
      <c r="Q1338" s="8">
        <v>1235.556</v>
      </c>
      <c r="R1338" t="s">
        <v>46</v>
      </c>
      <c r="S1338" t="s">
        <v>49</v>
      </c>
      <c r="T1338" t="s">
        <v>2931</v>
      </c>
      <c r="U1338">
        <v>1</v>
      </c>
      <c r="V1338" t="str">
        <f>IF(CleanedTable[[#This Row],[Returned]] = 0,"NO","Yes")</f>
        <v>Yes</v>
      </c>
      <c r="W1338" t="s">
        <v>1387</v>
      </c>
      <c r="X1338" t="s">
        <v>2790</v>
      </c>
      <c r="Y1338" s="10">
        <v>10.34</v>
      </c>
      <c r="Z1338" s="3">
        <v>45484</v>
      </c>
      <c r="AA1338" s="3">
        <v>45494</v>
      </c>
      <c r="AB1338" t="s">
        <v>2923</v>
      </c>
      <c r="AC1338">
        <v>10</v>
      </c>
    </row>
    <row r="1339" spans="1:29" x14ac:dyDescent="0.3">
      <c r="A1339" s="3">
        <v>45478</v>
      </c>
      <c r="B1339" s="3" t="str">
        <f>TEXT(CleanedTable[[#This Row],[OrderDate]],"mmm")</f>
        <v>Jul</v>
      </c>
      <c r="C1339" s="3" t="str">
        <f>TEXT(CleanedTable[[#This Row],[OrderDate]],"yyyy")</f>
        <v>2024</v>
      </c>
      <c r="D1339" s="3" t="str">
        <f>TEXT(CleanedTable[[#This Row],[OrderDate]],"mmm yyyy")</f>
        <v>Jul 2024</v>
      </c>
      <c r="E1339" t="s">
        <v>23</v>
      </c>
      <c r="F1339" t="s">
        <v>24</v>
      </c>
      <c r="G1339" s="12">
        <v>16</v>
      </c>
      <c r="H1339" s="8">
        <v>123.86</v>
      </c>
      <c r="I1339" t="s">
        <v>32</v>
      </c>
      <c r="J1339" t="s">
        <v>35</v>
      </c>
      <c r="K1339" s="10">
        <v>0.15</v>
      </c>
      <c r="L1339" t="s">
        <v>38</v>
      </c>
      <c r="M1339">
        <v>1684.4959999999999</v>
      </c>
      <c r="N1339">
        <v>1189.056</v>
      </c>
      <c r="O1339" s="10">
        <v>477.41999999999985</v>
      </c>
      <c r="P1339" s="10">
        <v>0.28342008529554236</v>
      </c>
      <c r="Q1339" s="8">
        <v>1684.4960000000001</v>
      </c>
      <c r="R1339" t="s">
        <v>44</v>
      </c>
      <c r="T1339" t="s">
        <v>2932</v>
      </c>
      <c r="U1339">
        <v>1</v>
      </c>
      <c r="V1339" t="str">
        <f>IF(CleanedTable[[#This Row],[Returned]] = 0,"NO","Yes")</f>
        <v>Yes</v>
      </c>
      <c r="W1339" t="s">
        <v>1388</v>
      </c>
      <c r="X1339" t="s">
        <v>2791</v>
      </c>
      <c r="Y1339" s="10">
        <v>18.02</v>
      </c>
      <c r="Z1339" s="3">
        <v>45478</v>
      </c>
      <c r="AA1339" s="3">
        <v>45487</v>
      </c>
      <c r="AB1339" t="s">
        <v>2926</v>
      </c>
      <c r="AC1339">
        <v>9</v>
      </c>
    </row>
    <row r="1340" spans="1:29" x14ac:dyDescent="0.3">
      <c r="A1340" s="3">
        <v>45370</v>
      </c>
      <c r="B1340" s="3" t="str">
        <f>TEXT(CleanedTable[[#This Row],[OrderDate]],"mmm")</f>
        <v>Mar</v>
      </c>
      <c r="C1340" s="3" t="str">
        <f>TEXT(CleanedTable[[#This Row],[OrderDate]],"yyyy")</f>
        <v>2024</v>
      </c>
      <c r="D1340" s="3" t="str">
        <f>TEXT(CleanedTable[[#This Row],[OrderDate]],"mmm yyyy")</f>
        <v>Mar 2024</v>
      </c>
      <c r="E1340" t="s">
        <v>19</v>
      </c>
      <c r="F1340" t="s">
        <v>24</v>
      </c>
      <c r="G1340" s="12">
        <v>16</v>
      </c>
      <c r="H1340" s="8">
        <v>90.3</v>
      </c>
      <c r="I1340" t="s">
        <v>33</v>
      </c>
      <c r="J1340" t="s">
        <v>35</v>
      </c>
      <c r="K1340" s="10">
        <v>0.05</v>
      </c>
      <c r="L1340" t="s">
        <v>41</v>
      </c>
      <c r="M1340">
        <v>1372.56</v>
      </c>
      <c r="N1340">
        <v>866.88</v>
      </c>
      <c r="O1340" s="10">
        <v>480.42999999999995</v>
      </c>
      <c r="P1340" s="10">
        <v>0.35002477123040154</v>
      </c>
      <c r="Q1340" s="8">
        <v>1372.56</v>
      </c>
      <c r="R1340" t="s">
        <v>43</v>
      </c>
      <c r="S1340" t="s">
        <v>50</v>
      </c>
      <c r="T1340" t="s">
        <v>2931</v>
      </c>
      <c r="U1340">
        <v>0</v>
      </c>
      <c r="V1340" t="str">
        <f>IF(CleanedTable[[#This Row],[Returned]] = 0,"NO","Yes")</f>
        <v>NO</v>
      </c>
      <c r="W1340" t="s">
        <v>1389</v>
      </c>
      <c r="X1340" t="s">
        <v>2792</v>
      </c>
      <c r="Y1340" s="10">
        <v>25.25</v>
      </c>
      <c r="Z1340" s="3">
        <v>45370</v>
      </c>
      <c r="AA1340" s="3">
        <v>45375</v>
      </c>
      <c r="AB1340" t="s">
        <v>2922</v>
      </c>
      <c r="AC1340">
        <v>5</v>
      </c>
    </row>
    <row r="1341" spans="1:29" x14ac:dyDescent="0.3">
      <c r="A1341" s="3">
        <v>45285</v>
      </c>
      <c r="B1341" s="3" t="str">
        <f>TEXT(CleanedTable[[#This Row],[OrderDate]],"mmm")</f>
        <v>Dec</v>
      </c>
      <c r="C1341" s="3" t="str">
        <f>TEXT(CleanedTable[[#This Row],[OrderDate]],"yyyy")</f>
        <v>2023</v>
      </c>
      <c r="D1341" s="3" t="str">
        <f>TEXT(CleanedTable[[#This Row],[OrderDate]],"mmm yyyy")</f>
        <v>Dec 2023</v>
      </c>
      <c r="E1341" t="s">
        <v>22</v>
      </c>
      <c r="F1341" t="s">
        <v>29</v>
      </c>
      <c r="G1341" s="12">
        <v>18</v>
      </c>
      <c r="H1341" s="8">
        <v>470.91</v>
      </c>
      <c r="I1341" t="s">
        <v>33</v>
      </c>
      <c r="J1341" t="s">
        <v>35</v>
      </c>
      <c r="K1341" s="10">
        <v>0.1</v>
      </c>
      <c r="L1341" t="s">
        <v>37</v>
      </c>
      <c r="M1341">
        <v>7628.7420000000011</v>
      </c>
      <c r="N1341">
        <v>5085.8279999999995</v>
      </c>
      <c r="O1341" s="10">
        <v>2528.0440000000017</v>
      </c>
      <c r="P1341" s="10">
        <v>0.33138412598040429</v>
      </c>
      <c r="Q1341" s="8">
        <v>7628.7420000000011</v>
      </c>
      <c r="R1341" t="s">
        <v>44</v>
      </c>
      <c r="S1341" t="s">
        <v>48</v>
      </c>
      <c r="T1341" t="s">
        <v>2931</v>
      </c>
      <c r="U1341">
        <v>0</v>
      </c>
      <c r="V1341" t="str">
        <f>IF(CleanedTable[[#This Row],[Returned]] = 0,"NO","Yes")</f>
        <v>NO</v>
      </c>
      <c r="W1341" t="s">
        <v>1390</v>
      </c>
      <c r="X1341" t="s">
        <v>2793</v>
      </c>
      <c r="Y1341" s="10">
        <v>14.87</v>
      </c>
      <c r="Z1341" s="3">
        <v>45285</v>
      </c>
      <c r="AA1341" s="3">
        <v>45289</v>
      </c>
      <c r="AB1341" t="s">
        <v>2925</v>
      </c>
      <c r="AC1341">
        <v>4</v>
      </c>
    </row>
    <row r="1342" spans="1:29" x14ac:dyDescent="0.3">
      <c r="A1342" s="3">
        <v>45629</v>
      </c>
      <c r="B1342" s="3" t="str">
        <f>TEXT(CleanedTable[[#This Row],[OrderDate]],"mmm")</f>
        <v>Dec</v>
      </c>
      <c r="C1342" s="3" t="str">
        <f>TEXT(CleanedTable[[#This Row],[OrderDate]],"yyyy")</f>
        <v>2024</v>
      </c>
      <c r="D1342" s="3" t="str">
        <f>TEXT(CleanedTable[[#This Row],[OrderDate]],"mmm yyyy")</f>
        <v>Dec 2024</v>
      </c>
      <c r="E1342" t="s">
        <v>20</v>
      </c>
      <c r="F1342" t="s">
        <v>28</v>
      </c>
      <c r="G1342" s="12">
        <v>12</v>
      </c>
      <c r="H1342" s="8">
        <v>383.45</v>
      </c>
      <c r="I1342" t="s">
        <v>33</v>
      </c>
      <c r="J1342" t="s">
        <v>36</v>
      </c>
      <c r="K1342" s="10">
        <v>0</v>
      </c>
      <c r="L1342" t="s">
        <v>42</v>
      </c>
      <c r="M1342">
        <v>4601.3999999999996</v>
      </c>
      <c r="N1342">
        <v>2760.84</v>
      </c>
      <c r="O1342" s="10">
        <v>1828.9399999999996</v>
      </c>
      <c r="P1342" s="10">
        <v>0.39747468161863775</v>
      </c>
      <c r="Q1342" s="8">
        <v>4601.3999999999996</v>
      </c>
      <c r="R1342" t="s">
        <v>46</v>
      </c>
      <c r="S1342" t="s">
        <v>48</v>
      </c>
      <c r="T1342" t="s">
        <v>2931</v>
      </c>
      <c r="U1342">
        <v>0</v>
      </c>
      <c r="V1342" t="str">
        <f>IF(CleanedTable[[#This Row],[Returned]] = 0,"NO","Yes")</f>
        <v>NO</v>
      </c>
      <c r="W1342" t="s">
        <v>1391</v>
      </c>
      <c r="X1342" t="s">
        <v>2794</v>
      </c>
      <c r="Y1342" s="10">
        <v>11.62</v>
      </c>
      <c r="Z1342" s="3">
        <v>45629</v>
      </c>
      <c r="AA1342" s="3">
        <v>45631</v>
      </c>
      <c r="AB1342" t="s">
        <v>2923</v>
      </c>
      <c r="AC1342">
        <v>2</v>
      </c>
    </row>
    <row r="1343" spans="1:29" x14ac:dyDescent="0.3">
      <c r="A1343" s="3">
        <v>45177</v>
      </c>
      <c r="B1343" s="3" t="str">
        <f>TEXT(CleanedTable[[#This Row],[OrderDate]],"mmm")</f>
        <v>Sep</v>
      </c>
      <c r="C1343" s="3" t="str">
        <f>TEXT(CleanedTable[[#This Row],[OrderDate]],"yyyy")</f>
        <v>2023</v>
      </c>
      <c r="D1343" s="3" t="str">
        <f>TEXT(CleanedTable[[#This Row],[OrderDate]],"mmm yyyy")</f>
        <v>Sep 2023</v>
      </c>
      <c r="E1343" t="s">
        <v>19</v>
      </c>
      <c r="F1343" t="s">
        <v>29</v>
      </c>
      <c r="G1343" s="12">
        <v>20</v>
      </c>
      <c r="H1343" s="8">
        <v>293.94</v>
      </c>
      <c r="I1343" t="s">
        <v>31</v>
      </c>
      <c r="J1343" t="s">
        <v>36</v>
      </c>
      <c r="K1343" s="10">
        <v>0.15</v>
      </c>
      <c r="L1343" t="s">
        <v>38</v>
      </c>
      <c r="M1343">
        <v>4996.9800000000005</v>
      </c>
      <c r="N1343">
        <v>3527.28</v>
      </c>
      <c r="O1343" s="10">
        <v>1460.4100000000003</v>
      </c>
      <c r="P1343" s="10">
        <v>0.29225852414858577</v>
      </c>
      <c r="Q1343" s="8">
        <v>4996.9799999999996</v>
      </c>
      <c r="R1343" t="s">
        <v>45</v>
      </c>
      <c r="S1343" t="s">
        <v>49</v>
      </c>
      <c r="T1343" t="s">
        <v>2931</v>
      </c>
      <c r="U1343">
        <v>0</v>
      </c>
      <c r="V1343" t="str">
        <f>IF(CleanedTable[[#This Row],[Returned]] = 0,"NO","Yes")</f>
        <v>NO</v>
      </c>
      <c r="W1343" t="s">
        <v>1392</v>
      </c>
      <c r="X1343" t="s">
        <v>2795</v>
      </c>
      <c r="Y1343" s="10">
        <v>9.2899999999999991</v>
      </c>
      <c r="Z1343" s="3">
        <v>45177</v>
      </c>
      <c r="AA1343" s="3">
        <v>45184</v>
      </c>
      <c r="AB1343" t="s">
        <v>2922</v>
      </c>
      <c r="AC1343">
        <v>7</v>
      </c>
    </row>
    <row r="1344" spans="1:29" x14ac:dyDescent="0.3">
      <c r="A1344" s="3">
        <v>45296</v>
      </c>
      <c r="B1344" s="3" t="str">
        <f>TEXT(CleanedTable[[#This Row],[OrderDate]],"mmm")</f>
        <v>Jan</v>
      </c>
      <c r="C1344" s="3" t="str">
        <f>TEXT(CleanedTable[[#This Row],[OrderDate]],"yyyy")</f>
        <v>2024</v>
      </c>
      <c r="D1344" s="3" t="str">
        <f>TEXT(CleanedTable[[#This Row],[OrderDate]],"mmm yyyy")</f>
        <v>Jan 2024</v>
      </c>
      <c r="E1344" t="s">
        <v>19</v>
      </c>
      <c r="F1344" t="s">
        <v>26</v>
      </c>
      <c r="G1344" s="12">
        <v>2</v>
      </c>
      <c r="H1344" s="8">
        <v>454.01</v>
      </c>
      <c r="I1344" t="s">
        <v>31</v>
      </c>
      <c r="J1344" t="s">
        <v>35</v>
      </c>
      <c r="K1344" s="10">
        <v>0</v>
      </c>
      <c r="L1344" t="s">
        <v>41</v>
      </c>
      <c r="M1344">
        <v>908.02</v>
      </c>
      <c r="N1344">
        <v>544.81200000000001</v>
      </c>
      <c r="O1344" s="10">
        <v>353.428</v>
      </c>
      <c r="P1344" s="10">
        <v>0.38922931212968875</v>
      </c>
      <c r="Q1344" s="8">
        <v>908.02</v>
      </c>
      <c r="R1344" t="s">
        <v>43</v>
      </c>
      <c r="S1344" t="s">
        <v>50</v>
      </c>
      <c r="T1344" t="s">
        <v>2931</v>
      </c>
      <c r="U1344">
        <v>0</v>
      </c>
      <c r="V1344" t="str">
        <f>IF(CleanedTable[[#This Row],[Returned]] = 0,"NO","Yes")</f>
        <v>NO</v>
      </c>
      <c r="W1344" t="s">
        <v>1393</v>
      </c>
      <c r="X1344" t="s">
        <v>2796</v>
      </c>
      <c r="Y1344" s="10">
        <v>9.7799999999999994</v>
      </c>
      <c r="Z1344" s="3">
        <v>45296</v>
      </c>
      <c r="AA1344" s="3">
        <v>45298</v>
      </c>
      <c r="AB1344" t="s">
        <v>2922</v>
      </c>
      <c r="AC1344">
        <v>2</v>
      </c>
    </row>
    <row r="1345" spans="1:29" x14ac:dyDescent="0.3">
      <c r="A1345" s="3">
        <v>45141</v>
      </c>
      <c r="B1345" s="3" t="str">
        <f>TEXT(CleanedTable[[#This Row],[OrderDate]],"mmm")</f>
        <v>Aug</v>
      </c>
      <c r="C1345" s="3" t="str">
        <f>TEXT(CleanedTable[[#This Row],[OrderDate]],"yyyy")</f>
        <v>2023</v>
      </c>
      <c r="D1345" s="3" t="str">
        <f>TEXT(CleanedTable[[#This Row],[OrderDate]],"mmm yyyy")</f>
        <v>Aug 2023</v>
      </c>
      <c r="E1345" t="s">
        <v>20</v>
      </c>
      <c r="F1345" t="s">
        <v>27</v>
      </c>
      <c r="G1345" s="12">
        <v>5</v>
      </c>
      <c r="H1345" s="8">
        <v>163.55000000000001</v>
      </c>
      <c r="I1345" t="s">
        <v>34</v>
      </c>
      <c r="J1345" t="s">
        <v>36</v>
      </c>
      <c r="K1345" s="10">
        <v>0.05</v>
      </c>
      <c r="L1345" t="s">
        <v>39</v>
      </c>
      <c r="M1345">
        <v>776.86249999999995</v>
      </c>
      <c r="N1345">
        <v>490.65000000000003</v>
      </c>
      <c r="O1345" s="10">
        <v>257.31249999999994</v>
      </c>
      <c r="P1345" s="10">
        <v>0.33122013226278774</v>
      </c>
      <c r="Q1345" s="8">
        <v>776.86249999999995</v>
      </c>
      <c r="R1345" t="s">
        <v>47</v>
      </c>
      <c r="T1345" t="s">
        <v>2932</v>
      </c>
      <c r="U1345">
        <v>0</v>
      </c>
      <c r="V1345" t="str">
        <f>IF(CleanedTable[[#This Row],[Returned]] = 0,"NO","Yes")</f>
        <v>NO</v>
      </c>
      <c r="W1345" t="s">
        <v>1394</v>
      </c>
      <c r="X1345" t="s">
        <v>2797</v>
      </c>
      <c r="Y1345" s="10">
        <v>28.9</v>
      </c>
      <c r="Z1345" s="3">
        <v>45141</v>
      </c>
      <c r="AA1345" s="3">
        <v>45148</v>
      </c>
      <c r="AB1345" t="s">
        <v>2923</v>
      </c>
      <c r="AC1345">
        <v>7</v>
      </c>
    </row>
    <row r="1346" spans="1:29" x14ac:dyDescent="0.3">
      <c r="A1346" s="3">
        <v>45699</v>
      </c>
      <c r="B1346" s="3" t="str">
        <f>TEXT(CleanedTable[[#This Row],[OrderDate]],"mmm")</f>
        <v>Feb</v>
      </c>
      <c r="C1346" s="3" t="str">
        <f>TEXT(CleanedTable[[#This Row],[OrderDate]],"yyyy")</f>
        <v>2025</v>
      </c>
      <c r="D1346" s="3" t="str">
        <f>TEXT(CleanedTable[[#This Row],[OrderDate]],"mmm yyyy")</f>
        <v>Feb 2025</v>
      </c>
      <c r="E1346" t="s">
        <v>21</v>
      </c>
      <c r="F1346" t="s">
        <v>28</v>
      </c>
      <c r="G1346" s="12">
        <v>12</v>
      </c>
      <c r="H1346" s="8">
        <v>141.61000000000001</v>
      </c>
      <c r="I1346" t="s">
        <v>31</v>
      </c>
      <c r="J1346" t="s">
        <v>35</v>
      </c>
      <c r="K1346" s="10">
        <v>0</v>
      </c>
      <c r="L1346" t="s">
        <v>39</v>
      </c>
      <c r="M1346">
        <v>1699.3200000000002</v>
      </c>
      <c r="N1346">
        <v>1019.5920000000001</v>
      </c>
      <c r="O1346" s="10">
        <v>668.00800000000004</v>
      </c>
      <c r="P1346" s="10">
        <v>0.39310312360238209</v>
      </c>
      <c r="Q1346" s="8">
        <v>1699.32</v>
      </c>
      <c r="R1346" t="s">
        <v>45</v>
      </c>
      <c r="S1346" t="s">
        <v>50</v>
      </c>
      <c r="T1346" t="s">
        <v>2931</v>
      </c>
      <c r="U1346">
        <v>0</v>
      </c>
      <c r="V1346" t="str">
        <f>IF(CleanedTable[[#This Row],[Returned]] = 0,"NO","Yes")</f>
        <v>NO</v>
      </c>
      <c r="W1346" t="s">
        <v>1395</v>
      </c>
      <c r="X1346" t="s">
        <v>2798</v>
      </c>
      <c r="Y1346" s="10">
        <v>11.72</v>
      </c>
      <c r="Z1346" s="3">
        <v>45699</v>
      </c>
      <c r="AA1346" s="3">
        <v>45709</v>
      </c>
      <c r="AB1346" t="s">
        <v>2924</v>
      </c>
      <c r="AC1346">
        <v>10</v>
      </c>
    </row>
    <row r="1347" spans="1:29" x14ac:dyDescent="0.3">
      <c r="A1347" s="3">
        <v>45094</v>
      </c>
      <c r="B1347" s="3" t="str">
        <f>TEXT(CleanedTable[[#This Row],[OrderDate]],"mmm")</f>
        <v>Jun</v>
      </c>
      <c r="C1347" s="3" t="str">
        <f>TEXT(CleanedTable[[#This Row],[OrderDate]],"yyyy")</f>
        <v>2023</v>
      </c>
      <c r="D1347" s="3" t="str">
        <f>TEXT(CleanedTable[[#This Row],[OrderDate]],"mmm yyyy")</f>
        <v>Jun 2023</v>
      </c>
      <c r="E1347" t="s">
        <v>20</v>
      </c>
      <c r="F1347" t="s">
        <v>27</v>
      </c>
      <c r="G1347" s="12">
        <v>6</v>
      </c>
      <c r="H1347" s="8">
        <v>332.18</v>
      </c>
      <c r="I1347" t="s">
        <v>31</v>
      </c>
      <c r="J1347" t="s">
        <v>35</v>
      </c>
      <c r="K1347" s="10">
        <v>0.1</v>
      </c>
      <c r="L1347" t="s">
        <v>42</v>
      </c>
      <c r="M1347">
        <v>1793.7719999999999</v>
      </c>
      <c r="N1347">
        <v>1195.848</v>
      </c>
      <c r="O1347" s="10">
        <v>575.97399999999993</v>
      </c>
      <c r="P1347" s="10">
        <v>0.32109654961723116</v>
      </c>
      <c r="Q1347" s="8">
        <v>1793.7719999999999</v>
      </c>
      <c r="R1347" t="s">
        <v>43</v>
      </c>
      <c r="S1347" t="s">
        <v>50</v>
      </c>
      <c r="T1347" t="s">
        <v>2931</v>
      </c>
      <c r="U1347">
        <v>0</v>
      </c>
      <c r="V1347" t="str">
        <f>IF(CleanedTable[[#This Row],[Returned]] = 0,"NO","Yes")</f>
        <v>NO</v>
      </c>
      <c r="W1347" t="s">
        <v>1396</v>
      </c>
      <c r="X1347" t="s">
        <v>2799</v>
      </c>
      <c r="Y1347" s="10">
        <v>21.95</v>
      </c>
      <c r="Z1347" s="3">
        <v>45094</v>
      </c>
      <c r="AA1347" s="3">
        <v>45098</v>
      </c>
      <c r="AB1347" t="s">
        <v>2923</v>
      </c>
      <c r="AC1347">
        <v>4</v>
      </c>
    </row>
    <row r="1348" spans="1:29" x14ac:dyDescent="0.3">
      <c r="A1348" s="3">
        <v>45327</v>
      </c>
      <c r="B1348" s="3" t="str">
        <f>TEXT(CleanedTable[[#This Row],[OrderDate]],"mmm")</f>
        <v>Feb</v>
      </c>
      <c r="C1348" s="3" t="str">
        <f>TEXT(CleanedTable[[#This Row],[OrderDate]],"yyyy")</f>
        <v>2024</v>
      </c>
      <c r="D1348" s="3" t="str">
        <f>TEXT(CleanedTable[[#This Row],[OrderDate]],"mmm yyyy")</f>
        <v>Feb 2024</v>
      </c>
      <c r="E1348" t="s">
        <v>22</v>
      </c>
      <c r="F1348" t="s">
        <v>28</v>
      </c>
      <c r="G1348" s="12">
        <v>14</v>
      </c>
      <c r="H1348" s="8">
        <v>463.96</v>
      </c>
      <c r="I1348" t="s">
        <v>34</v>
      </c>
      <c r="J1348" t="s">
        <v>36</v>
      </c>
      <c r="K1348" s="10">
        <v>0.15</v>
      </c>
      <c r="L1348" t="s">
        <v>41</v>
      </c>
      <c r="M1348">
        <v>5521.1239999999998</v>
      </c>
      <c r="N1348">
        <v>3897.2639999999997</v>
      </c>
      <c r="O1348" s="10">
        <v>1594.67</v>
      </c>
      <c r="P1348" s="10">
        <v>0.28883068012962582</v>
      </c>
      <c r="Q1348" s="8">
        <v>5521.1239999999998</v>
      </c>
      <c r="R1348" t="s">
        <v>44</v>
      </c>
      <c r="T1348" t="s">
        <v>2932</v>
      </c>
      <c r="U1348">
        <v>0</v>
      </c>
      <c r="V1348" t="str">
        <f>IF(CleanedTable[[#This Row],[Returned]] = 0,"NO","Yes")</f>
        <v>NO</v>
      </c>
      <c r="W1348" t="s">
        <v>1397</v>
      </c>
      <c r="X1348" t="s">
        <v>2800</v>
      </c>
      <c r="Y1348" s="10">
        <v>29.19</v>
      </c>
      <c r="Z1348" s="3">
        <v>45327</v>
      </c>
      <c r="AA1348" s="3">
        <v>45336</v>
      </c>
      <c r="AB1348" t="s">
        <v>2925</v>
      </c>
      <c r="AC1348">
        <v>9</v>
      </c>
    </row>
    <row r="1349" spans="1:29" x14ac:dyDescent="0.3">
      <c r="A1349" s="3">
        <v>45368</v>
      </c>
      <c r="B1349" s="3" t="str">
        <f>TEXT(CleanedTable[[#This Row],[OrderDate]],"mmm")</f>
        <v>Mar</v>
      </c>
      <c r="C1349" s="3" t="str">
        <f>TEXT(CleanedTable[[#This Row],[OrderDate]],"yyyy")</f>
        <v>2024</v>
      </c>
      <c r="D1349" s="3" t="str">
        <f>TEXT(CleanedTable[[#This Row],[OrderDate]],"mmm yyyy")</f>
        <v>Mar 2024</v>
      </c>
      <c r="E1349" t="s">
        <v>20</v>
      </c>
      <c r="F1349" t="s">
        <v>26</v>
      </c>
      <c r="G1349" s="12">
        <v>10</v>
      </c>
      <c r="H1349" s="8">
        <v>68.27</v>
      </c>
      <c r="I1349" t="s">
        <v>32</v>
      </c>
      <c r="J1349" t="s">
        <v>35</v>
      </c>
      <c r="K1349" s="10">
        <v>0.15</v>
      </c>
      <c r="L1349" t="s">
        <v>41</v>
      </c>
      <c r="M1349">
        <v>580.29499999999996</v>
      </c>
      <c r="N1349">
        <v>409.61999999999995</v>
      </c>
      <c r="O1349" s="10">
        <v>146.34500000000003</v>
      </c>
      <c r="P1349" s="10">
        <v>0.25219069611146061</v>
      </c>
      <c r="Q1349" s="8">
        <v>580.29499999999996</v>
      </c>
      <c r="R1349" t="s">
        <v>45</v>
      </c>
      <c r="T1349" t="s">
        <v>2932</v>
      </c>
      <c r="U1349">
        <v>0</v>
      </c>
      <c r="V1349" t="str">
        <f>IF(CleanedTable[[#This Row],[Returned]] = 0,"NO","Yes")</f>
        <v>NO</v>
      </c>
      <c r="W1349" t="s">
        <v>1398</v>
      </c>
      <c r="X1349" t="s">
        <v>2446</v>
      </c>
      <c r="Y1349" s="10">
        <v>24.33</v>
      </c>
      <c r="Z1349" s="3">
        <v>45368</v>
      </c>
      <c r="AA1349" s="3">
        <v>45378</v>
      </c>
      <c r="AB1349" t="s">
        <v>2923</v>
      </c>
      <c r="AC1349">
        <v>10</v>
      </c>
    </row>
    <row r="1350" spans="1:29" x14ac:dyDescent="0.3">
      <c r="A1350" s="3">
        <v>45325</v>
      </c>
      <c r="B1350" s="3" t="str">
        <f>TEXT(CleanedTable[[#This Row],[OrderDate]],"mmm")</f>
        <v>Feb</v>
      </c>
      <c r="C1350" s="3" t="str">
        <f>TEXT(CleanedTable[[#This Row],[OrderDate]],"yyyy")</f>
        <v>2024</v>
      </c>
      <c r="D1350" s="3" t="str">
        <f>TEXT(CleanedTable[[#This Row],[OrderDate]],"mmm yyyy")</f>
        <v>Feb 2024</v>
      </c>
      <c r="E1350" t="s">
        <v>22</v>
      </c>
      <c r="F1350" t="s">
        <v>24</v>
      </c>
      <c r="G1350" s="12">
        <v>8</v>
      </c>
      <c r="H1350" s="8">
        <v>27.01</v>
      </c>
      <c r="I1350" t="s">
        <v>33</v>
      </c>
      <c r="J1350" t="s">
        <v>35</v>
      </c>
      <c r="K1350" s="10">
        <v>0.05</v>
      </c>
      <c r="L1350" t="s">
        <v>37</v>
      </c>
      <c r="M1350">
        <v>205.27600000000001</v>
      </c>
      <c r="N1350">
        <v>129.648</v>
      </c>
      <c r="O1350" s="10">
        <v>32.978000000000016</v>
      </c>
      <c r="P1350" s="10">
        <v>0.16065200023383158</v>
      </c>
      <c r="Q1350" s="8">
        <v>205.27600000000001</v>
      </c>
      <c r="R1350" t="s">
        <v>43</v>
      </c>
      <c r="S1350" t="s">
        <v>48</v>
      </c>
      <c r="T1350" t="s">
        <v>2931</v>
      </c>
      <c r="U1350">
        <v>1</v>
      </c>
      <c r="V1350" t="str">
        <f>IF(CleanedTable[[#This Row],[Returned]] = 0,"NO","Yes")</f>
        <v>Yes</v>
      </c>
      <c r="W1350" t="s">
        <v>1399</v>
      </c>
      <c r="X1350" t="s">
        <v>2801</v>
      </c>
      <c r="Y1350" s="10">
        <v>42.65</v>
      </c>
      <c r="Z1350" s="3">
        <v>45325</v>
      </c>
      <c r="AA1350" s="3">
        <v>45331</v>
      </c>
      <c r="AB1350" t="s">
        <v>2925</v>
      </c>
      <c r="AC1350">
        <v>6</v>
      </c>
    </row>
    <row r="1351" spans="1:29" x14ac:dyDescent="0.3">
      <c r="A1351" s="3">
        <v>45016</v>
      </c>
      <c r="B1351" s="3" t="str">
        <f>TEXT(CleanedTable[[#This Row],[OrderDate]],"mmm")</f>
        <v>Mar</v>
      </c>
      <c r="C1351" s="3" t="str">
        <f>TEXT(CleanedTable[[#This Row],[OrderDate]],"yyyy")</f>
        <v>2023</v>
      </c>
      <c r="D1351" s="3" t="str">
        <f>TEXT(CleanedTable[[#This Row],[OrderDate]],"mmm yyyy")</f>
        <v>Mar 2023</v>
      </c>
      <c r="E1351" t="s">
        <v>21</v>
      </c>
      <c r="F1351" t="s">
        <v>29</v>
      </c>
      <c r="G1351" s="12">
        <v>9</v>
      </c>
      <c r="H1351" s="8">
        <v>78.8</v>
      </c>
      <c r="I1351" t="s">
        <v>34</v>
      </c>
      <c r="J1351" t="s">
        <v>36</v>
      </c>
      <c r="K1351" s="10">
        <v>0.1</v>
      </c>
      <c r="L1351" t="s">
        <v>38</v>
      </c>
      <c r="M1351">
        <v>638.28</v>
      </c>
      <c r="N1351">
        <v>425.51999999999992</v>
      </c>
      <c r="O1351" s="10">
        <v>203.47000000000006</v>
      </c>
      <c r="P1351" s="10">
        <v>0.31877859246725587</v>
      </c>
      <c r="Q1351" s="8">
        <v>638.28</v>
      </c>
      <c r="R1351" t="s">
        <v>43</v>
      </c>
      <c r="S1351" t="s">
        <v>48</v>
      </c>
      <c r="T1351" t="s">
        <v>2931</v>
      </c>
      <c r="U1351">
        <v>0</v>
      </c>
      <c r="V1351" t="str">
        <f>IF(CleanedTable[[#This Row],[Returned]] = 0,"NO","Yes")</f>
        <v>NO</v>
      </c>
      <c r="W1351" t="s">
        <v>1400</v>
      </c>
      <c r="X1351" t="s">
        <v>2304</v>
      </c>
      <c r="Y1351" s="10">
        <v>9.2899999999999991</v>
      </c>
      <c r="Z1351" s="3">
        <v>45016</v>
      </c>
      <c r="AA1351" s="3">
        <v>45026</v>
      </c>
      <c r="AB1351" t="s">
        <v>2924</v>
      </c>
      <c r="AC1351">
        <v>10</v>
      </c>
    </row>
    <row r="1352" spans="1:29" x14ac:dyDescent="0.3">
      <c r="A1352" s="3">
        <v>45156</v>
      </c>
      <c r="B1352" s="3" t="str">
        <f>TEXT(CleanedTable[[#This Row],[OrderDate]],"mmm")</f>
        <v>Aug</v>
      </c>
      <c r="C1352" s="3" t="str">
        <f>TEXT(CleanedTable[[#This Row],[OrderDate]],"yyyy")</f>
        <v>2023</v>
      </c>
      <c r="D1352" s="3" t="str">
        <f>TEXT(CleanedTable[[#This Row],[OrderDate]],"mmm yyyy")</f>
        <v>Aug 2023</v>
      </c>
      <c r="E1352" t="s">
        <v>23</v>
      </c>
      <c r="F1352" t="s">
        <v>29</v>
      </c>
      <c r="G1352" s="12">
        <v>16</v>
      </c>
      <c r="H1352" s="8">
        <v>174.68</v>
      </c>
      <c r="I1352" t="s">
        <v>31</v>
      </c>
      <c r="J1352" t="s">
        <v>35</v>
      </c>
      <c r="K1352" s="10">
        <v>0.15</v>
      </c>
      <c r="L1352" t="s">
        <v>39</v>
      </c>
      <c r="M1352">
        <v>2375.6480000000001</v>
      </c>
      <c r="N1352">
        <v>1676.9280000000001</v>
      </c>
      <c r="O1352" s="10">
        <v>652.73</v>
      </c>
      <c r="P1352" s="10">
        <v>0.27475871846334138</v>
      </c>
      <c r="Q1352" s="8">
        <v>2375.6480000000001</v>
      </c>
      <c r="R1352" t="s">
        <v>45</v>
      </c>
      <c r="T1352" t="s">
        <v>2932</v>
      </c>
      <c r="U1352">
        <v>0</v>
      </c>
      <c r="V1352" t="str">
        <f>IF(CleanedTable[[#This Row],[Returned]] = 0,"NO","Yes")</f>
        <v>NO</v>
      </c>
      <c r="W1352" t="s">
        <v>1401</v>
      </c>
      <c r="X1352" t="s">
        <v>2639</v>
      </c>
      <c r="Y1352" s="10">
        <v>45.99</v>
      </c>
      <c r="Z1352" s="3">
        <v>45156</v>
      </c>
      <c r="AA1352" s="3">
        <v>45160</v>
      </c>
      <c r="AB1352" t="s">
        <v>2926</v>
      </c>
      <c r="AC1352">
        <v>4</v>
      </c>
    </row>
    <row r="1353" spans="1:29" x14ac:dyDescent="0.3">
      <c r="A1353" s="3">
        <v>45179</v>
      </c>
      <c r="B1353" s="3" t="str">
        <f>TEXT(CleanedTable[[#This Row],[OrderDate]],"mmm")</f>
        <v>Sep</v>
      </c>
      <c r="C1353" s="3" t="str">
        <f>TEXT(CleanedTable[[#This Row],[OrderDate]],"yyyy")</f>
        <v>2023</v>
      </c>
      <c r="D1353" s="3" t="str">
        <f>TEXT(CleanedTable[[#This Row],[OrderDate]],"mmm yyyy")</f>
        <v>Sep 2023</v>
      </c>
      <c r="E1353" t="s">
        <v>22</v>
      </c>
      <c r="F1353" t="s">
        <v>30</v>
      </c>
      <c r="G1353" s="12">
        <v>4</v>
      </c>
      <c r="H1353" s="8">
        <v>306.06</v>
      </c>
      <c r="I1353" t="s">
        <v>33</v>
      </c>
      <c r="J1353" t="s">
        <v>35</v>
      </c>
      <c r="K1353" s="10">
        <v>0.05</v>
      </c>
      <c r="L1353" t="s">
        <v>40</v>
      </c>
      <c r="M1353">
        <v>1163.028</v>
      </c>
      <c r="N1353">
        <v>734.54399999999998</v>
      </c>
      <c r="O1353" s="10">
        <v>395.73400000000004</v>
      </c>
      <c r="P1353" s="10">
        <v>0.3402617993719842</v>
      </c>
      <c r="Q1353" s="8">
        <v>1163.028</v>
      </c>
      <c r="R1353" t="s">
        <v>44</v>
      </c>
      <c r="S1353" t="s">
        <v>49</v>
      </c>
      <c r="T1353" t="s">
        <v>2931</v>
      </c>
      <c r="U1353">
        <v>1</v>
      </c>
      <c r="V1353" t="str">
        <f>IF(CleanedTable[[#This Row],[Returned]] = 0,"NO","Yes")</f>
        <v>Yes</v>
      </c>
      <c r="W1353" t="s">
        <v>1402</v>
      </c>
      <c r="X1353" t="s">
        <v>2174</v>
      </c>
      <c r="Y1353" s="10">
        <v>32.75</v>
      </c>
      <c r="Z1353" s="3">
        <v>45179</v>
      </c>
      <c r="AA1353" s="3">
        <v>45182</v>
      </c>
      <c r="AB1353" t="s">
        <v>2925</v>
      </c>
      <c r="AC1353">
        <v>3</v>
      </c>
    </row>
    <row r="1354" spans="1:29" x14ac:dyDescent="0.3">
      <c r="A1354" s="3">
        <v>45320</v>
      </c>
      <c r="B1354" s="3" t="str">
        <f>TEXT(CleanedTable[[#This Row],[OrderDate]],"mmm")</f>
        <v>Jan</v>
      </c>
      <c r="C1354" s="3" t="str">
        <f>TEXT(CleanedTable[[#This Row],[OrderDate]],"yyyy")</f>
        <v>2024</v>
      </c>
      <c r="D1354" s="3" t="str">
        <f>TEXT(CleanedTable[[#This Row],[OrderDate]],"mmm yyyy")</f>
        <v>Jan 2024</v>
      </c>
      <c r="E1354" t="s">
        <v>20</v>
      </c>
      <c r="F1354" t="s">
        <v>29</v>
      </c>
      <c r="G1354" s="12">
        <v>12</v>
      </c>
      <c r="H1354" s="8">
        <v>164.22</v>
      </c>
      <c r="I1354" t="s">
        <v>33</v>
      </c>
      <c r="J1354" t="s">
        <v>36</v>
      </c>
      <c r="K1354" s="10">
        <v>0</v>
      </c>
      <c r="L1354" t="s">
        <v>42</v>
      </c>
      <c r="M1354">
        <v>1970.6399999999999</v>
      </c>
      <c r="N1354">
        <v>1182.384</v>
      </c>
      <c r="O1354" s="10">
        <v>766.79599999999982</v>
      </c>
      <c r="P1354" s="10">
        <v>0.38911013680834644</v>
      </c>
      <c r="Q1354" s="8">
        <v>1970.64</v>
      </c>
      <c r="R1354" t="s">
        <v>45</v>
      </c>
      <c r="S1354" t="s">
        <v>48</v>
      </c>
      <c r="T1354" t="s">
        <v>2931</v>
      </c>
      <c r="U1354">
        <v>0</v>
      </c>
      <c r="V1354" t="str">
        <f>IF(CleanedTable[[#This Row],[Returned]] = 0,"NO","Yes")</f>
        <v>NO</v>
      </c>
      <c r="W1354" t="s">
        <v>1403</v>
      </c>
      <c r="X1354" t="s">
        <v>2792</v>
      </c>
      <c r="Y1354" s="10">
        <v>21.46</v>
      </c>
      <c r="Z1354" s="3">
        <v>45320</v>
      </c>
      <c r="AA1354" s="3">
        <v>45325</v>
      </c>
      <c r="AB1354" t="s">
        <v>2923</v>
      </c>
      <c r="AC1354">
        <v>5</v>
      </c>
    </row>
    <row r="1355" spans="1:29" x14ac:dyDescent="0.3">
      <c r="A1355" s="3">
        <v>45372</v>
      </c>
      <c r="B1355" s="3" t="str">
        <f>TEXT(CleanedTable[[#This Row],[OrderDate]],"mmm")</f>
        <v>Mar</v>
      </c>
      <c r="C1355" s="3" t="str">
        <f>TEXT(CleanedTable[[#This Row],[OrderDate]],"yyyy")</f>
        <v>2024</v>
      </c>
      <c r="D1355" s="3" t="str">
        <f>TEXT(CleanedTable[[#This Row],[OrderDate]],"mmm yyyy")</f>
        <v>Mar 2024</v>
      </c>
      <c r="E1355" t="s">
        <v>21</v>
      </c>
      <c r="F1355" t="s">
        <v>29</v>
      </c>
      <c r="G1355" s="12">
        <v>20</v>
      </c>
      <c r="H1355" s="8">
        <v>336.29</v>
      </c>
      <c r="I1355" t="s">
        <v>33</v>
      </c>
      <c r="J1355" t="s">
        <v>36</v>
      </c>
      <c r="K1355" s="10">
        <v>0</v>
      </c>
      <c r="L1355" t="s">
        <v>37</v>
      </c>
      <c r="M1355">
        <v>6725.8</v>
      </c>
      <c r="N1355">
        <v>4035.48</v>
      </c>
      <c r="O1355" s="10">
        <v>2665.3</v>
      </c>
      <c r="P1355" s="10">
        <v>0.39627999643165129</v>
      </c>
      <c r="Q1355" s="8">
        <v>6725.8</v>
      </c>
      <c r="R1355" t="s">
        <v>44</v>
      </c>
      <c r="S1355" t="s">
        <v>48</v>
      </c>
      <c r="T1355" t="s">
        <v>2931</v>
      </c>
      <c r="U1355">
        <v>0</v>
      </c>
      <c r="V1355" t="str">
        <f>IF(CleanedTable[[#This Row],[Returned]] = 0,"NO","Yes")</f>
        <v>NO</v>
      </c>
      <c r="W1355" t="s">
        <v>1404</v>
      </c>
      <c r="X1355" t="s">
        <v>2802</v>
      </c>
      <c r="Y1355" s="10">
        <v>25.02</v>
      </c>
      <c r="Z1355" s="3">
        <v>45372</v>
      </c>
      <c r="AA1355" s="3">
        <v>45381</v>
      </c>
      <c r="AB1355" t="s">
        <v>2924</v>
      </c>
      <c r="AC1355">
        <v>9</v>
      </c>
    </row>
    <row r="1356" spans="1:29" x14ac:dyDescent="0.3">
      <c r="A1356" s="3">
        <v>45507</v>
      </c>
      <c r="B1356" s="3" t="str">
        <f>TEXT(CleanedTable[[#This Row],[OrderDate]],"mmm")</f>
        <v>Aug</v>
      </c>
      <c r="C1356" s="3" t="str">
        <f>TEXT(CleanedTable[[#This Row],[OrderDate]],"yyyy")</f>
        <v>2024</v>
      </c>
      <c r="D1356" s="3" t="str">
        <f>TEXT(CleanedTable[[#This Row],[OrderDate]],"mmm yyyy")</f>
        <v>Aug 2024</v>
      </c>
      <c r="E1356" t="s">
        <v>23</v>
      </c>
      <c r="F1356" t="s">
        <v>29</v>
      </c>
      <c r="G1356" s="12">
        <v>7</v>
      </c>
      <c r="H1356" s="8">
        <v>180.25</v>
      </c>
      <c r="I1356" t="s">
        <v>34</v>
      </c>
      <c r="J1356" t="s">
        <v>36</v>
      </c>
      <c r="K1356" s="10">
        <v>0.1</v>
      </c>
      <c r="L1356" t="s">
        <v>41</v>
      </c>
      <c r="M1356">
        <v>1135.575</v>
      </c>
      <c r="N1356">
        <v>757.05</v>
      </c>
      <c r="O1356" s="10">
        <v>341.73500000000007</v>
      </c>
      <c r="P1356" s="10">
        <v>0.30093564934064243</v>
      </c>
      <c r="Q1356" s="8">
        <v>1135.575</v>
      </c>
      <c r="R1356" t="s">
        <v>44</v>
      </c>
      <c r="S1356" t="s">
        <v>50</v>
      </c>
      <c r="T1356" t="s">
        <v>2931</v>
      </c>
      <c r="U1356">
        <v>0</v>
      </c>
      <c r="V1356" t="str">
        <f>IF(CleanedTable[[#This Row],[Returned]] = 0,"NO","Yes")</f>
        <v>NO</v>
      </c>
      <c r="W1356" t="s">
        <v>1405</v>
      </c>
      <c r="X1356" t="s">
        <v>2803</v>
      </c>
      <c r="Y1356" s="10">
        <v>36.79</v>
      </c>
      <c r="Z1356" s="3">
        <v>45507</v>
      </c>
      <c r="AA1356" s="3">
        <v>45509</v>
      </c>
      <c r="AB1356" t="s">
        <v>2926</v>
      </c>
      <c r="AC1356">
        <v>2</v>
      </c>
    </row>
    <row r="1357" spans="1:29" x14ac:dyDescent="0.3">
      <c r="A1357" s="3">
        <v>45782</v>
      </c>
      <c r="B1357" s="3" t="str">
        <f>TEXT(CleanedTable[[#This Row],[OrderDate]],"mmm")</f>
        <v>May</v>
      </c>
      <c r="C1357" s="3" t="str">
        <f>TEXT(CleanedTable[[#This Row],[OrderDate]],"yyyy")</f>
        <v>2025</v>
      </c>
      <c r="D1357" s="3" t="str">
        <f>TEXT(CleanedTable[[#This Row],[OrderDate]],"mmm yyyy")</f>
        <v>May 2025</v>
      </c>
      <c r="E1357" t="s">
        <v>21</v>
      </c>
      <c r="F1357" t="s">
        <v>28</v>
      </c>
      <c r="G1357" s="12">
        <v>1</v>
      </c>
      <c r="H1357" s="8">
        <v>21.75</v>
      </c>
      <c r="I1357" t="s">
        <v>33</v>
      </c>
      <c r="J1357" t="s">
        <v>36</v>
      </c>
      <c r="K1357" s="10">
        <v>0</v>
      </c>
      <c r="L1357" t="s">
        <v>38</v>
      </c>
      <c r="M1357">
        <v>21.75</v>
      </c>
      <c r="N1357">
        <v>13.049999999999999</v>
      </c>
      <c r="O1357" s="10">
        <v>1.3500000000000014</v>
      </c>
      <c r="P1357" s="10">
        <v>6.2068965517241448E-2</v>
      </c>
      <c r="Q1357" s="8">
        <v>21.75</v>
      </c>
      <c r="R1357" t="s">
        <v>47</v>
      </c>
      <c r="S1357" t="s">
        <v>48</v>
      </c>
      <c r="T1357" t="s">
        <v>2931</v>
      </c>
      <c r="U1357">
        <v>0</v>
      </c>
      <c r="V1357" t="str">
        <f>IF(CleanedTable[[#This Row],[Returned]] = 0,"NO","Yes")</f>
        <v>NO</v>
      </c>
      <c r="W1357" t="s">
        <v>1406</v>
      </c>
      <c r="X1357" t="s">
        <v>2804</v>
      </c>
      <c r="Y1357" s="10">
        <v>7.35</v>
      </c>
      <c r="Z1357" s="3">
        <v>45782</v>
      </c>
      <c r="AA1357" s="3">
        <v>45791</v>
      </c>
      <c r="AB1357" t="s">
        <v>2924</v>
      </c>
      <c r="AC1357">
        <v>9</v>
      </c>
    </row>
    <row r="1358" spans="1:29" x14ac:dyDescent="0.3">
      <c r="A1358" s="3">
        <v>44965</v>
      </c>
      <c r="B1358" s="3" t="str">
        <f>TEXT(CleanedTable[[#This Row],[OrderDate]],"mmm")</f>
        <v>Feb</v>
      </c>
      <c r="C1358" s="3" t="str">
        <f>TEXT(CleanedTable[[#This Row],[OrderDate]],"yyyy")</f>
        <v>2023</v>
      </c>
      <c r="D1358" s="3" t="str">
        <f>TEXT(CleanedTable[[#This Row],[OrderDate]],"mmm yyyy")</f>
        <v>Feb 2023</v>
      </c>
      <c r="E1358" t="s">
        <v>23</v>
      </c>
      <c r="F1358" t="s">
        <v>29</v>
      </c>
      <c r="G1358" s="12">
        <v>13</v>
      </c>
      <c r="H1358" s="8">
        <v>149.16</v>
      </c>
      <c r="I1358" t="s">
        <v>33</v>
      </c>
      <c r="J1358" t="s">
        <v>36</v>
      </c>
      <c r="K1358" s="10">
        <v>0.1</v>
      </c>
      <c r="L1358" t="s">
        <v>37</v>
      </c>
      <c r="M1358">
        <v>1745.172</v>
      </c>
      <c r="N1358">
        <v>1163.4479999999999</v>
      </c>
      <c r="O1358" s="10">
        <v>560.82400000000018</v>
      </c>
      <c r="P1358" s="10">
        <v>0.32135743640168429</v>
      </c>
      <c r="Q1358" s="8">
        <v>1745.172</v>
      </c>
      <c r="R1358" t="s">
        <v>47</v>
      </c>
      <c r="T1358" t="s">
        <v>2932</v>
      </c>
      <c r="U1358">
        <v>1</v>
      </c>
      <c r="V1358" t="str">
        <f>IF(CleanedTable[[#This Row],[Returned]] = 0,"NO","Yes")</f>
        <v>Yes</v>
      </c>
      <c r="W1358" t="s">
        <v>1407</v>
      </c>
      <c r="X1358" t="s">
        <v>2113</v>
      </c>
      <c r="Y1358" s="10">
        <v>20.9</v>
      </c>
      <c r="Z1358" s="3">
        <v>44965</v>
      </c>
      <c r="AA1358" s="3">
        <v>44973</v>
      </c>
      <c r="AB1358" t="s">
        <v>2926</v>
      </c>
      <c r="AC1358">
        <v>8</v>
      </c>
    </row>
    <row r="1359" spans="1:29" x14ac:dyDescent="0.3">
      <c r="A1359" s="3">
        <v>45072</v>
      </c>
      <c r="B1359" s="3" t="str">
        <f>TEXT(CleanedTable[[#This Row],[OrderDate]],"mmm")</f>
        <v>May</v>
      </c>
      <c r="C1359" s="3" t="str">
        <f>TEXT(CleanedTable[[#This Row],[OrderDate]],"yyyy")</f>
        <v>2023</v>
      </c>
      <c r="D1359" s="3" t="str">
        <f>TEXT(CleanedTable[[#This Row],[OrderDate]],"mmm yyyy")</f>
        <v>May 2023</v>
      </c>
      <c r="E1359" t="s">
        <v>22</v>
      </c>
      <c r="F1359" t="s">
        <v>27</v>
      </c>
      <c r="G1359" s="12">
        <v>7</v>
      </c>
      <c r="H1359" s="8">
        <v>220.9</v>
      </c>
      <c r="I1359" t="s">
        <v>32</v>
      </c>
      <c r="J1359" t="s">
        <v>35</v>
      </c>
      <c r="K1359" s="10">
        <v>0.15</v>
      </c>
      <c r="L1359" t="s">
        <v>42</v>
      </c>
      <c r="M1359">
        <v>1314.355</v>
      </c>
      <c r="N1359">
        <v>927.78</v>
      </c>
      <c r="O1359" s="10">
        <v>371.32500000000005</v>
      </c>
      <c r="P1359" s="10">
        <v>0.28251499785065681</v>
      </c>
      <c r="Q1359" s="8">
        <v>1314.355</v>
      </c>
      <c r="R1359" t="s">
        <v>44</v>
      </c>
      <c r="S1359" t="s">
        <v>48</v>
      </c>
      <c r="T1359" t="s">
        <v>2931</v>
      </c>
      <c r="U1359">
        <v>0</v>
      </c>
      <c r="V1359" t="str">
        <f>IF(CleanedTable[[#This Row],[Returned]] = 0,"NO","Yes")</f>
        <v>NO</v>
      </c>
      <c r="W1359" t="s">
        <v>1408</v>
      </c>
      <c r="X1359" t="s">
        <v>2805</v>
      </c>
      <c r="Y1359" s="10">
        <v>15.25</v>
      </c>
      <c r="Z1359" s="3">
        <v>45072</v>
      </c>
      <c r="AA1359" s="3">
        <v>45082</v>
      </c>
      <c r="AB1359" t="s">
        <v>2925</v>
      </c>
      <c r="AC1359">
        <v>10</v>
      </c>
    </row>
    <row r="1360" spans="1:29" x14ac:dyDescent="0.3">
      <c r="A1360" s="3">
        <v>45488</v>
      </c>
      <c r="B1360" s="3" t="str">
        <f>TEXT(CleanedTable[[#This Row],[OrderDate]],"mmm")</f>
        <v>Jul</v>
      </c>
      <c r="C1360" s="3" t="str">
        <f>TEXT(CleanedTable[[#This Row],[OrderDate]],"yyyy")</f>
        <v>2024</v>
      </c>
      <c r="D1360" s="3" t="str">
        <f>TEXT(CleanedTable[[#This Row],[OrderDate]],"mmm yyyy")</f>
        <v>Jul 2024</v>
      </c>
      <c r="E1360" t="s">
        <v>19</v>
      </c>
      <c r="F1360" t="s">
        <v>27</v>
      </c>
      <c r="G1360" s="12">
        <v>1</v>
      </c>
      <c r="H1360" s="8">
        <v>364.27</v>
      </c>
      <c r="I1360" t="s">
        <v>32</v>
      </c>
      <c r="J1360" t="s">
        <v>36</v>
      </c>
      <c r="K1360" s="10">
        <v>0.1</v>
      </c>
      <c r="L1360" t="s">
        <v>38</v>
      </c>
      <c r="M1360">
        <v>327.84300000000002</v>
      </c>
      <c r="N1360">
        <v>218.56199999999998</v>
      </c>
      <c r="O1360" s="10">
        <v>100.37100000000004</v>
      </c>
      <c r="P1360" s="10">
        <v>0.30615569037618628</v>
      </c>
      <c r="Q1360" s="8">
        <v>327.84300000000002</v>
      </c>
      <c r="R1360" t="s">
        <v>46</v>
      </c>
      <c r="S1360" t="s">
        <v>50</v>
      </c>
      <c r="T1360" t="s">
        <v>2931</v>
      </c>
      <c r="U1360">
        <v>0</v>
      </c>
      <c r="V1360" t="str">
        <f>IF(CleanedTable[[#This Row],[Returned]] = 0,"NO","Yes")</f>
        <v>NO</v>
      </c>
      <c r="W1360" t="s">
        <v>1409</v>
      </c>
      <c r="X1360" t="s">
        <v>2806</v>
      </c>
      <c r="Y1360" s="10">
        <v>8.91</v>
      </c>
      <c r="Z1360" s="3">
        <v>45488</v>
      </c>
      <c r="AA1360" s="3">
        <v>45495</v>
      </c>
      <c r="AB1360" t="s">
        <v>2922</v>
      </c>
      <c r="AC1360">
        <v>7</v>
      </c>
    </row>
    <row r="1361" spans="1:29" x14ac:dyDescent="0.3">
      <c r="A1361" s="3">
        <v>45644</v>
      </c>
      <c r="B1361" s="3" t="str">
        <f>TEXT(CleanedTable[[#This Row],[OrderDate]],"mmm")</f>
        <v>Dec</v>
      </c>
      <c r="C1361" s="3" t="str">
        <f>TEXT(CleanedTable[[#This Row],[OrderDate]],"yyyy")</f>
        <v>2024</v>
      </c>
      <c r="D1361" s="3" t="str">
        <f>TEXT(CleanedTable[[#This Row],[OrderDate]],"mmm yyyy")</f>
        <v>Dec 2024</v>
      </c>
      <c r="E1361" t="s">
        <v>21</v>
      </c>
      <c r="F1361" t="s">
        <v>28</v>
      </c>
      <c r="G1361" s="12">
        <v>9</v>
      </c>
      <c r="H1361" s="8">
        <v>306.42</v>
      </c>
      <c r="I1361" t="s">
        <v>33</v>
      </c>
      <c r="J1361" t="s">
        <v>35</v>
      </c>
      <c r="K1361" s="10">
        <v>0</v>
      </c>
      <c r="L1361" t="s">
        <v>42</v>
      </c>
      <c r="M1361">
        <v>2757.78</v>
      </c>
      <c r="N1361">
        <v>1654.6680000000001</v>
      </c>
      <c r="O1361" s="10">
        <v>1087.3020000000001</v>
      </c>
      <c r="P1361" s="10">
        <v>0.39426712790722973</v>
      </c>
      <c r="Q1361" s="8">
        <v>2757.78</v>
      </c>
      <c r="R1361" t="s">
        <v>43</v>
      </c>
      <c r="T1361" t="s">
        <v>2932</v>
      </c>
      <c r="U1361">
        <v>0</v>
      </c>
      <c r="V1361" t="str">
        <f>IF(CleanedTable[[#This Row],[Returned]] = 0,"NO","Yes")</f>
        <v>NO</v>
      </c>
      <c r="W1361" t="s">
        <v>1410</v>
      </c>
      <c r="X1361" t="s">
        <v>2807</v>
      </c>
      <c r="Y1361" s="10">
        <v>15.81</v>
      </c>
      <c r="Z1361" s="3">
        <v>45644</v>
      </c>
      <c r="AA1361" s="3">
        <v>45653</v>
      </c>
      <c r="AB1361" t="s">
        <v>2924</v>
      </c>
      <c r="AC1361">
        <v>9</v>
      </c>
    </row>
    <row r="1362" spans="1:29" x14ac:dyDescent="0.3">
      <c r="A1362" s="3">
        <v>45564</v>
      </c>
      <c r="B1362" s="3" t="str">
        <f>TEXT(CleanedTable[[#This Row],[OrderDate]],"mmm")</f>
        <v>Sep</v>
      </c>
      <c r="C1362" s="3" t="str">
        <f>TEXT(CleanedTable[[#This Row],[OrderDate]],"yyyy")</f>
        <v>2024</v>
      </c>
      <c r="D1362" s="3" t="str">
        <f>TEXT(CleanedTable[[#This Row],[OrderDate]],"mmm yyyy")</f>
        <v>Sep 2024</v>
      </c>
      <c r="E1362" t="s">
        <v>21</v>
      </c>
      <c r="F1362" t="s">
        <v>29</v>
      </c>
      <c r="G1362" s="12">
        <v>18</v>
      </c>
      <c r="H1362" s="8">
        <v>589</v>
      </c>
      <c r="I1362" t="s">
        <v>31</v>
      </c>
      <c r="J1362" t="s">
        <v>35</v>
      </c>
      <c r="K1362" s="10">
        <v>0.1</v>
      </c>
      <c r="L1362" t="s">
        <v>41</v>
      </c>
      <c r="M1362">
        <v>9541.8000000000011</v>
      </c>
      <c r="N1362">
        <v>6361.2</v>
      </c>
      <c r="O1362" s="10">
        <v>3142.8200000000011</v>
      </c>
      <c r="P1362" s="10">
        <v>0.32937391267894955</v>
      </c>
      <c r="Q1362" s="8">
        <v>9541.8000000000011</v>
      </c>
      <c r="R1362" t="s">
        <v>47</v>
      </c>
      <c r="S1362" t="s">
        <v>50</v>
      </c>
      <c r="T1362" t="s">
        <v>2931</v>
      </c>
      <c r="U1362">
        <v>0</v>
      </c>
      <c r="V1362" t="str">
        <f>IF(CleanedTable[[#This Row],[Returned]] = 0,"NO","Yes")</f>
        <v>NO</v>
      </c>
      <c r="W1362" t="s">
        <v>1411</v>
      </c>
      <c r="X1362" t="s">
        <v>2808</v>
      </c>
      <c r="Y1362" s="10">
        <v>37.78</v>
      </c>
      <c r="Z1362" s="3">
        <v>45564</v>
      </c>
      <c r="AA1362" s="3">
        <v>45573</v>
      </c>
      <c r="AB1362" t="s">
        <v>2924</v>
      </c>
      <c r="AC1362">
        <v>9</v>
      </c>
    </row>
    <row r="1363" spans="1:29" x14ac:dyDescent="0.3">
      <c r="A1363" s="3">
        <v>45590</v>
      </c>
      <c r="B1363" s="3" t="str">
        <f>TEXT(CleanedTable[[#This Row],[OrderDate]],"mmm")</f>
        <v>Oct</v>
      </c>
      <c r="C1363" s="3" t="str">
        <f>TEXT(CleanedTable[[#This Row],[OrderDate]],"yyyy")</f>
        <v>2024</v>
      </c>
      <c r="D1363" s="3" t="str">
        <f>TEXT(CleanedTable[[#This Row],[OrderDate]],"mmm yyyy")</f>
        <v>Oct 2024</v>
      </c>
      <c r="E1363" t="s">
        <v>20</v>
      </c>
      <c r="F1363" t="s">
        <v>26</v>
      </c>
      <c r="G1363" s="12">
        <v>16</v>
      </c>
      <c r="H1363" s="8">
        <v>249.45</v>
      </c>
      <c r="I1363" t="s">
        <v>33</v>
      </c>
      <c r="J1363" t="s">
        <v>35</v>
      </c>
      <c r="K1363" s="10">
        <v>0.1</v>
      </c>
      <c r="L1363" t="s">
        <v>38</v>
      </c>
      <c r="M1363">
        <v>3592.08</v>
      </c>
      <c r="N1363">
        <v>2394.7199999999998</v>
      </c>
      <c r="O1363" s="10">
        <v>1176.44</v>
      </c>
      <c r="P1363" s="10">
        <v>0.32750940958998687</v>
      </c>
      <c r="Q1363" s="8">
        <v>3592.08</v>
      </c>
      <c r="R1363" t="s">
        <v>47</v>
      </c>
      <c r="S1363" t="s">
        <v>48</v>
      </c>
      <c r="T1363" t="s">
        <v>2931</v>
      </c>
      <c r="U1363">
        <v>0</v>
      </c>
      <c r="V1363" t="str">
        <f>IF(CleanedTable[[#This Row],[Returned]] = 0,"NO","Yes")</f>
        <v>NO</v>
      </c>
      <c r="W1363" t="s">
        <v>1412</v>
      </c>
      <c r="X1363" t="s">
        <v>2809</v>
      </c>
      <c r="Y1363" s="10">
        <v>20.92</v>
      </c>
      <c r="Z1363" s="3">
        <v>45590</v>
      </c>
      <c r="AA1363" s="3">
        <v>45597</v>
      </c>
      <c r="AB1363" t="s">
        <v>2923</v>
      </c>
      <c r="AC1363">
        <v>7</v>
      </c>
    </row>
    <row r="1364" spans="1:29" x14ac:dyDescent="0.3">
      <c r="A1364" s="3">
        <v>45663</v>
      </c>
      <c r="B1364" s="3" t="str">
        <f>TEXT(CleanedTable[[#This Row],[OrderDate]],"mmm")</f>
        <v>Jan</v>
      </c>
      <c r="C1364" s="3" t="str">
        <f>TEXT(CleanedTable[[#This Row],[OrderDate]],"yyyy")</f>
        <v>2025</v>
      </c>
      <c r="D1364" s="3" t="str">
        <f>TEXT(CleanedTable[[#This Row],[OrderDate]],"mmm yyyy")</f>
        <v>Jan 2025</v>
      </c>
      <c r="E1364" t="s">
        <v>21</v>
      </c>
      <c r="F1364" t="s">
        <v>28</v>
      </c>
      <c r="G1364" s="12">
        <v>20</v>
      </c>
      <c r="H1364" s="8">
        <v>440.32</v>
      </c>
      <c r="I1364" t="s">
        <v>33</v>
      </c>
      <c r="J1364" t="s">
        <v>36</v>
      </c>
      <c r="K1364" s="10">
        <v>0.05</v>
      </c>
      <c r="L1364" t="s">
        <v>38</v>
      </c>
      <c r="M1364">
        <v>8366.08</v>
      </c>
      <c r="N1364">
        <v>5283.84</v>
      </c>
      <c r="O1364" s="10">
        <v>3076.0699999999997</v>
      </c>
      <c r="P1364" s="10">
        <v>0.3676835507190942</v>
      </c>
      <c r="Q1364" s="8">
        <v>8366.08</v>
      </c>
      <c r="R1364" t="s">
        <v>46</v>
      </c>
      <c r="S1364" t="s">
        <v>49</v>
      </c>
      <c r="T1364" t="s">
        <v>2931</v>
      </c>
      <c r="U1364">
        <v>1</v>
      </c>
      <c r="V1364" t="str">
        <f>IF(CleanedTable[[#This Row],[Returned]] = 0,"NO","Yes")</f>
        <v>Yes</v>
      </c>
      <c r="W1364" t="s">
        <v>1413</v>
      </c>
      <c r="X1364" t="s">
        <v>2810</v>
      </c>
      <c r="Y1364" s="10">
        <v>6.17</v>
      </c>
      <c r="Z1364" s="3">
        <v>45663</v>
      </c>
      <c r="AA1364" s="3">
        <v>45673</v>
      </c>
      <c r="AB1364" t="s">
        <v>2924</v>
      </c>
      <c r="AC1364">
        <v>10</v>
      </c>
    </row>
    <row r="1365" spans="1:29" x14ac:dyDescent="0.3">
      <c r="A1365" s="3">
        <v>45249</v>
      </c>
      <c r="B1365" s="3" t="str">
        <f>TEXT(CleanedTable[[#This Row],[OrderDate]],"mmm")</f>
        <v>Nov</v>
      </c>
      <c r="C1365" s="3" t="str">
        <f>TEXT(CleanedTable[[#This Row],[OrderDate]],"yyyy")</f>
        <v>2023</v>
      </c>
      <c r="D1365" s="3" t="str">
        <f>TEXT(CleanedTable[[#This Row],[OrderDate]],"mmm yyyy")</f>
        <v>Nov 2023</v>
      </c>
      <c r="E1365" t="s">
        <v>22</v>
      </c>
      <c r="F1365" t="s">
        <v>29</v>
      </c>
      <c r="G1365" s="12">
        <v>3</v>
      </c>
      <c r="H1365" s="8">
        <v>101.34</v>
      </c>
      <c r="I1365" t="s">
        <v>32</v>
      </c>
      <c r="J1365" t="s">
        <v>35</v>
      </c>
      <c r="K1365" s="10">
        <v>0</v>
      </c>
      <c r="L1365" t="s">
        <v>40</v>
      </c>
      <c r="M1365">
        <v>304.02</v>
      </c>
      <c r="N1365">
        <v>182.41200000000001</v>
      </c>
      <c r="O1365" s="10">
        <v>98.45799999999997</v>
      </c>
      <c r="P1365" s="10">
        <v>0.32385369383593177</v>
      </c>
      <c r="Q1365" s="8">
        <v>304.02</v>
      </c>
      <c r="R1365" t="s">
        <v>46</v>
      </c>
      <c r="T1365" t="s">
        <v>2932</v>
      </c>
      <c r="U1365">
        <v>0</v>
      </c>
      <c r="V1365" t="str">
        <f>IF(CleanedTable[[#This Row],[Returned]] = 0,"NO","Yes")</f>
        <v>NO</v>
      </c>
      <c r="W1365" t="s">
        <v>1414</v>
      </c>
      <c r="X1365" t="s">
        <v>2811</v>
      </c>
      <c r="Y1365" s="10">
        <v>23.15</v>
      </c>
      <c r="Z1365" s="3">
        <v>45249</v>
      </c>
      <c r="AA1365" s="3">
        <v>45251</v>
      </c>
      <c r="AB1365" t="s">
        <v>2925</v>
      </c>
      <c r="AC1365">
        <v>2</v>
      </c>
    </row>
    <row r="1366" spans="1:29" x14ac:dyDescent="0.3">
      <c r="A1366" s="3">
        <v>45393</v>
      </c>
      <c r="B1366" s="3" t="str">
        <f>TEXT(CleanedTable[[#This Row],[OrderDate]],"mmm")</f>
        <v>Apr</v>
      </c>
      <c r="C1366" s="3" t="str">
        <f>TEXT(CleanedTable[[#This Row],[OrderDate]],"yyyy")</f>
        <v>2024</v>
      </c>
      <c r="D1366" s="3" t="str">
        <f>TEXT(CleanedTable[[#This Row],[OrderDate]],"mmm yyyy")</f>
        <v>Apr 2024</v>
      </c>
      <c r="E1366" t="s">
        <v>20</v>
      </c>
      <c r="F1366" t="s">
        <v>25</v>
      </c>
      <c r="G1366" s="12">
        <v>17</v>
      </c>
      <c r="H1366" s="8">
        <v>311.61</v>
      </c>
      <c r="I1366" t="s">
        <v>32</v>
      </c>
      <c r="J1366" t="s">
        <v>36</v>
      </c>
      <c r="K1366" s="10">
        <v>0.05</v>
      </c>
      <c r="L1366" t="s">
        <v>37</v>
      </c>
      <c r="M1366">
        <v>5032.5014999999994</v>
      </c>
      <c r="N1366">
        <v>3178.422</v>
      </c>
      <c r="O1366" s="10">
        <v>1824.1794999999993</v>
      </c>
      <c r="P1366" s="10">
        <v>0.3624796733791335</v>
      </c>
      <c r="Q1366" s="8">
        <v>5032.5014999999994</v>
      </c>
      <c r="R1366" t="s">
        <v>43</v>
      </c>
      <c r="T1366" t="s">
        <v>2932</v>
      </c>
      <c r="U1366">
        <v>1</v>
      </c>
      <c r="V1366" t="str">
        <f>IF(CleanedTable[[#This Row],[Returned]] = 0,"NO","Yes")</f>
        <v>Yes</v>
      </c>
      <c r="W1366" t="s">
        <v>1415</v>
      </c>
      <c r="X1366" t="s">
        <v>2812</v>
      </c>
      <c r="Y1366" s="10">
        <v>29.9</v>
      </c>
      <c r="Z1366" s="3">
        <v>45393</v>
      </c>
      <c r="AA1366" s="3">
        <v>45399</v>
      </c>
      <c r="AB1366" t="s">
        <v>2923</v>
      </c>
      <c r="AC1366">
        <v>6</v>
      </c>
    </row>
    <row r="1367" spans="1:29" x14ac:dyDescent="0.3">
      <c r="A1367" s="3">
        <v>45381</v>
      </c>
      <c r="B1367" s="3" t="str">
        <f>TEXT(CleanedTable[[#This Row],[OrderDate]],"mmm")</f>
        <v>Mar</v>
      </c>
      <c r="C1367" s="3" t="str">
        <f>TEXT(CleanedTable[[#This Row],[OrderDate]],"yyyy")</f>
        <v>2024</v>
      </c>
      <c r="D1367" s="3" t="str">
        <f>TEXT(CleanedTable[[#This Row],[OrderDate]],"mmm yyyy")</f>
        <v>Mar 2024</v>
      </c>
      <c r="E1367" t="s">
        <v>20</v>
      </c>
      <c r="F1367" t="s">
        <v>28</v>
      </c>
      <c r="G1367" s="12">
        <v>2</v>
      </c>
      <c r="H1367" s="8">
        <v>441.18</v>
      </c>
      <c r="I1367" t="s">
        <v>31</v>
      </c>
      <c r="J1367" t="s">
        <v>36</v>
      </c>
      <c r="K1367" s="10">
        <v>0.15</v>
      </c>
      <c r="L1367" t="s">
        <v>42</v>
      </c>
      <c r="M1367">
        <v>750.00599999999997</v>
      </c>
      <c r="N1367">
        <v>529.41599999999994</v>
      </c>
      <c r="O1367" s="10">
        <v>197.52000000000004</v>
      </c>
      <c r="P1367" s="10">
        <v>0.26335789313685498</v>
      </c>
      <c r="Q1367" s="8">
        <v>750.00599999999997</v>
      </c>
      <c r="R1367" t="s">
        <v>47</v>
      </c>
      <c r="T1367" t="s">
        <v>2932</v>
      </c>
      <c r="U1367">
        <v>1</v>
      </c>
      <c r="V1367" t="str">
        <f>IF(CleanedTable[[#This Row],[Returned]] = 0,"NO","Yes")</f>
        <v>Yes</v>
      </c>
      <c r="W1367" t="s">
        <v>1416</v>
      </c>
      <c r="X1367" t="s">
        <v>2813</v>
      </c>
      <c r="Y1367" s="10">
        <v>23.07</v>
      </c>
      <c r="Z1367" s="3">
        <v>45381</v>
      </c>
      <c r="AA1367" s="3">
        <v>45388</v>
      </c>
      <c r="AB1367" t="s">
        <v>2923</v>
      </c>
      <c r="AC1367">
        <v>7</v>
      </c>
    </row>
    <row r="1368" spans="1:29" x14ac:dyDescent="0.3">
      <c r="A1368" s="3">
        <v>45621</v>
      </c>
      <c r="B1368" s="3" t="str">
        <f>TEXT(CleanedTable[[#This Row],[OrderDate]],"mmm")</f>
        <v>Nov</v>
      </c>
      <c r="C1368" s="3" t="str">
        <f>TEXT(CleanedTable[[#This Row],[OrderDate]],"yyyy")</f>
        <v>2024</v>
      </c>
      <c r="D1368" s="3" t="str">
        <f>TEXT(CleanedTable[[#This Row],[OrderDate]],"mmm yyyy")</f>
        <v>Nov 2024</v>
      </c>
      <c r="E1368" t="s">
        <v>21</v>
      </c>
      <c r="F1368" t="s">
        <v>27</v>
      </c>
      <c r="G1368" s="12">
        <v>20</v>
      </c>
      <c r="H1368" s="8">
        <v>286.66000000000003</v>
      </c>
      <c r="I1368" t="s">
        <v>34</v>
      </c>
      <c r="J1368" t="s">
        <v>36</v>
      </c>
      <c r="K1368" s="10">
        <v>0.1</v>
      </c>
      <c r="L1368" t="s">
        <v>40</v>
      </c>
      <c r="M1368">
        <v>5159.880000000001</v>
      </c>
      <c r="N1368">
        <v>3439.92</v>
      </c>
      <c r="O1368" s="10">
        <v>1704.420000000001</v>
      </c>
      <c r="P1368" s="10">
        <v>0.33032163538686959</v>
      </c>
      <c r="Q1368" s="8">
        <v>5159.880000000001</v>
      </c>
      <c r="R1368" t="s">
        <v>46</v>
      </c>
      <c r="S1368" t="s">
        <v>50</v>
      </c>
      <c r="T1368" t="s">
        <v>2931</v>
      </c>
      <c r="U1368">
        <v>0</v>
      </c>
      <c r="V1368" t="str">
        <f>IF(CleanedTable[[#This Row],[Returned]] = 0,"NO","Yes")</f>
        <v>NO</v>
      </c>
      <c r="W1368" t="s">
        <v>1417</v>
      </c>
      <c r="X1368" t="s">
        <v>1769</v>
      </c>
      <c r="Y1368" s="10">
        <v>15.54</v>
      </c>
      <c r="Z1368" s="3">
        <v>45621</v>
      </c>
      <c r="AA1368" s="3">
        <v>45625</v>
      </c>
      <c r="AB1368" t="s">
        <v>2924</v>
      </c>
      <c r="AC1368">
        <v>4</v>
      </c>
    </row>
    <row r="1369" spans="1:29" x14ac:dyDescent="0.3">
      <c r="A1369" s="3">
        <v>45663</v>
      </c>
      <c r="B1369" s="3" t="str">
        <f>TEXT(CleanedTable[[#This Row],[OrderDate]],"mmm")</f>
        <v>Jan</v>
      </c>
      <c r="C1369" s="3" t="str">
        <f>TEXT(CleanedTable[[#This Row],[OrderDate]],"yyyy")</f>
        <v>2025</v>
      </c>
      <c r="D1369" s="3" t="str">
        <f>TEXT(CleanedTable[[#This Row],[OrderDate]],"mmm yyyy")</f>
        <v>Jan 2025</v>
      </c>
      <c r="E1369" t="s">
        <v>21</v>
      </c>
      <c r="F1369" t="s">
        <v>30</v>
      </c>
      <c r="G1369" s="12">
        <v>13</v>
      </c>
      <c r="H1369" s="8">
        <v>483.63</v>
      </c>
      <c r="I1369" t="s">
        <v>32</v>
      </c>
      <c r="J1369" t="s">
        <v>36</v>
      </c>
      <c r="K1369" s="10">
        <v>0.05</v>
      </c>
      <c r="L1369" t="s">
        <v>40</v>
      </c>
      <c r="M1369">
        <v>5972.8304999999991</v>
      </c>
      <c r="N1369">
        <v>3772.3139999999999</v>
      </c>
      <c r="O1369" s="10">
        <v>2182.2964999999995</v>
      </c>
      <c r="P1369" s="10">
        <v>0.36537057262883982</v>
      </c>
      <c r="Q1369" s="8">
        <v>5972.8304999999991</v>
      </c>
      <c r="R1369" t="s">
        <v>47</v>
      </c>
      <c r="S1369" t="s">
        <v>48</v>
      </c>
      <c r="T1369" t="s">
        <v>2931</v>
      </c>
      <c r="U1369">
        <v>0</v>
      </c>
      <c r="V1369" t="str">
        <f>IF(CleanedTable[[#This Row],[Returned]] = 0,"NO","Yes")</f>
        <v>NO</v>
      </c>
      <c r="W1369" t="s">
        <v>1418</v>
      </c>
      <c r="X1369" t="s">
        <v>2814</v>
      </c>
      <c r="Y1369" s="10">
        <v>18.22</v>
      </c>
      <c r="Z1369" s="3">
        <v>45663</v>
      </c>
      <c r="AA1369" s="3">
        <v>45672</v>
      </c>
      <c r="AB1369" t="s">
        <v>2924</v>
      </c>
      <c r="AC1369">
        <v>9</v>
      </c>
    </row>
    <row r="1370" spans="1:29" x14ac:dyDescent="0.3">
      <c r="A1370" s="3">
        <v>45031</v>
      </c>
      <c r="B1370" s="3" t="str">
        <f>TEXT(CleanedTable[[#This Row],[OrderDate]],"mmm")</f>
        <v>Apr</v>
      </c>
      <c r="C1370" s="3" t="str">
        <f>TEXT(CleanedTable[[#This Row],[OrderDate]],"yyyy")</f>
        <v>2023</v>
      </c>
      <c r="D1370" s="3" t="str">
        <f>TEXT(CleanedTable[[#This Row],[OrderDate]],"mmm yyyy")</f>
        <v>Apr 2023</v>
      </c>
      <c r="E1370" t="s">
        <v>23</v>
      </c>
      <c r="F1370" t="s">
        <v>29</v>
      </c>
      <c r="G1370" s="12">
        <v>8</v>
      </c>
      <c r="H1370" s="8">
        <v>304.14999999999998</v>
      </c>
      <c r="I1370" t="s">
        <v>31</v>
      </c>
      <c r="J1370" t="s">
        <v>35</v>
      </c>
      <c r="K1370" s="10">
        <v>0.05</v>
      </c>
      <c r="L1370" t="s">
        <v>40</v>
      </c>
      <c r="M1370">
        <v>2311.5399999999995</v>
      </c>
      <c r="N1370">
        <v>1459.9199999999998</v>
      </c>
      <c r="O1370" s="10">
        <v>809.88999999999965</v>
      </c>
      <c r="P1370" s="10">
        <v>0.35036815283317607</v>
      </c>
      <c r="Q1370" s="8">
        <v>2311.54</v>
      </c>
      <c r="R1370" t="s">
        <v>46</v>
      </c>
      <c r="T1370" t="s">
        <v>2932</v>
      </c>
      <c r="U1370">
        <v>0</v>
      </c>
      <c r="V1370" t="str">
        <f>IF(CleanedTable[[#This Row],[Returned]] = 0,"NO","Yes")</f>
        <v>NO</v>
      </c>
      <c r="W1370" t="s">
        <v>1419</v>
      </c>
      <c r="X1370" t="s">
        <v>2815</v>
      </c>
      <c r="Y1370" s="10">
        <v>41.73</v>
      </c>
      <c r="Z1370" s="3">
        <v>45031</v>
      </c>
      <c r="AA1370" s="3">
        <v>45034</v>
      </c>
      <c r="AB1370" t="s">
        <v>2926</v>
      </c>
      <c r="AC1370">
        <v>3</v>
      </c>
    </row>
    <row r="1371" spans="1:29" x14ac:dyDescent="0.3">
      <c r="A1371" s="3">
        <v>45329</v>
      </c>
      <c r="B1371" s="3" t="str">
        <f>TEXT(CleanedTable[[#This Row],[OrderDate]],"mmm")</f>
        <v>Feb</v>
      </c>
      <c r="C1371" s="3" t="str">
        <f>TEXT(CleanedTable[[#This Row],[OrderDate]],"yyyy")</f>
        <v>2024</v>
      </c>
      <c r="D1371" s="3" t="str">
        <f>TEXT(CleanedTable[[#This Row],[OrderDate]],"mmm yyyy")</f>
        <v>Feb 2024</v>
      </c>
      <c r="E1371" t="s">
        <v>19</v>
      </c>
      <c r="F1371" t="s">
        <v>30</v>
      </c>
      <c r="G1371" s="12">
        <v>10</v>
      </c>
      <c r="H1371" s="8">
        <v>452.21</v>
      </c>
      <c r="I1371" t="s">
        <v>32</v>
      </c>
      <c r="J1371" t="s">
        <v>36</v>
      </c>
      <c r="K1371" s="10">
        <v>0.1</v>
      </c>
      <c r="L1371" t="s">
        <v>37</v>
      </c>
      <c r="M1371">
        <v>4069.8899999999994</v>
      </c>
      <c r="N1371">
        <v>2713.2599999999998</v>
      </c>
      <c r="O1371" s="10">
        <v>1340.7599999999998</v>
      </c>
      <c r="P1371" s="10">
        <v>0.32943396504573835</v>
      </c>
      <c r="Q1371" s="8">
        <v>4069.889999999999</v>
      </c>
      <c r="R1371" t="s">
        <v>47</v>
      </c>
      <c r="S1371" t="s">
        <v>50</v>
      </c>
      <c r="T1371" t="s">
        <v>2931</v>
      </c>
      <c r="U1371">
        <v>0</v>
      </c>
      <c r="V1371" t="str">
        <f>IF(CleanedTable[[#This Row],[Returned]] = 0,"NO","Yes")</f>
        <v>NO</v>
      </c>
      <c r="W1371" t="s">
        <v>1420</v>
      </c>
      <c r="X1371" t="s">
        <v>2816</v>
      </c>
      <c r="Y1371" s="10">
        <v>15.87</v>
      </c>
      <c r="Z1371" s="3">
        <v>45329</v>
      </c>
      <c r="AA1371" s="3">
        <v>45339</v>
      </c>
      <c r="AB1371" t="s">
        <v>2922</v>
      </c>
      <c r="AC1371">
        <v>10</v>
      </c>
    </row>
    <row r="1372" spans="1:29" x14ac:dyDescent="0.3">
      <c r="A1372" s="3">
        <v>45079</v>
      </c>
      <c r="B1372" s="3" t="str">
        <f>TEXT(CleanedTable[[#This Row],[OrderDate]],"mmm")</f>
        <v>Jun</v>
      </c>
      <c r="C1372" s="3" t="str">
        <f>TEXT(CleanedTable[[#This Row],[OrderDate]],"yyyy")</f>
        <v>2023</v>
      </c>
      <c r="D1372" s="3" t="str">
        <f>TEXT(CleanedTable[[#This Row],[OrderDate]],"mmm yyyy")</f>
        <v>Jun 2023</v>
      </c>
      <c r="E1372" t="s">
        <v>19</v>
      </c>
      <c r="F1372" t="s">
        <v>30</v>
      </c>
      <c r="G1372" s="12">
        <v>4</v>
      </c>
      <c r="H1372" s="8">
        <v>248.16</v>
      </c>
      <c r="I1372" t="s">
        <v>31</v>
      </c>
      <c r="J1372" t="s">
        <v>36</v>
      </c>
      <c r="K1372" s="10">
        <v>0.1</v>
      </c>
      <c r="L1372" t="s">
        <v>41</v>
      </c>
      <c r="M1372">
        <v>893.37599999999998</v>
      </c>
      <c r="N1372">
        <v>595.58399999999995</v>
      </c>
      <c r="O1372" s="10">
        <v>252.68200000000002</v>
      </c>
      <c r="P1372" s="10">
        <v>0.28283947632351891</v>
      </c>
      <c r="Q1372" s="8">
        <v>893.37599999999998</v>
      </c>
      <c r="R1372" t="s">
        <v>45</v>
      </c>
      <c r="T1372" t="s">
        <v>2932</v>
      </c>
      <c r="U1372">
        <v>1</v>
      </c>
      <c r="V1372" t="str">
        <f>IF(CleanedTable[[#This Row],[Returned]] = 0,"NO","Yes")</f>
        <v>Yes</v>
      </c>
      <c r="W1372" t="s">
        <v>1421</v>
      </c>
      <c r="X1372" t="s">
        <v>2817</v>
      </c>
      <c r="Y1372" s="10">
        <v>45.11</v>
      </c>
      <c r="Z1372" s="3">
        <v>45079</v>
      </c>
      <c r="AA1372" s="3">
        <v>45082</v>
      </c>
      <c r="AB1372" t="s">
        <v>2922</v>
      </c>
      <c r="AC1372">
        <v>3</v>
      </c>
    </row>
    <row r="1373" spans="1:29" x14ac:dyDescent="0.3">
      <c r="A1373" s="3">
        <v>45162</v>
      </c>
      <c r="B1373" s="3" t="str">
        <f>TEXT(CleanedTable[[#This Row],[OrderDate]],"mmm")</f>
        <v>Aug</v>
      </c>
      <c r="C1373" s="3" t="str">
        <f>TEXT(CleanedTable[[#This Row],[OrderDate]],"yyyy")</f>
        <v>2023</v>
      </c>
      <c r="D1373" s="3" t="str">
        <f>TEXT(CleanedTable[[#This Row],[OrderDate]],"mmm yyyy")</f>
        <v>Aug 2023</v>
      </c>
      <c r="E1373" t="s">
        <v>19</v>
      </c>
      <c r="F1373" t="s">
        <v>24</v>
      </c>
      <c r="G1373" s="12">
        <v>4</v>
      </c>
      <c r="H1373" s="8">
        <v>520</v>
      </c>
      <c r="I1373" t="s">
        <v>32</v>
      </c>
      <c r="J1373" t="s">
        <v>36</v>
      </c>
      <c r="K1373" s="10">
        <v>0</v>
      </c>
      <c r="L1373" t="s">
        <v>37</v>
      </c>
      <c r="M1373">
        <v>2080</v>
      </c>
      <c r="N1373">
        <v>1248</v>
      </c>
      <c r="O1373" s="10">
        <v>813.75</v>
      </c>
      <c r="P1373" s="10">
        <v>0.39122596153846156</v>
      </c>
      <c r="Q1373" s="8">
        <v>2080</v>
      </c>
      <c r="R1373" t="s">
        <v>45</v>
      </c>
      <c r="S1373" t="s">
        <v>50</v>
      </c>
      <c r="T1373" t="s">
        <v>2931</v>
      </c>
      <c r="U1373">
        <v>0</v>
      </c>
      <c r="V1373" t="str">
        <f>IF(CleanedTable[[#This Row],[Returned]] = 0,"NO","Yes")</f>
        <v>NO</v>
      </c>
      <c r="W1373" t="s">
        <v>1422</v>
      </c>
      <c r="X1373" t="s">
        <v>2818</v>
      </c>
      <c r="Y1373" s="10">
        <v>18.25</v>
      </c>
      <c r="Z1373" s="3">
        <v>45162</v>
      </c>
      <c r="AA1373" s="3">
        <v>45171</v>
      </c>
      <c r="AB1373" t="s">
        <v>2922</v>
      </c>
      <c r="AC1373">
        <v>9</v>
      </c>
    </row>
    <row r="1374" spans="1:29" x14ac:dyDescent="0.3">
      <c r="A1374" s="3">
        <v>45632</v>
      </c>
      <c r="B1374" s="3" t="str">
        <f>TEXT(CleanedTable[[#This Row],[OrderDate]],"mmm")</f>
        <v>Dec</v>
      </c>
      <c r="C1374" s="3" t="str">
        <f>TEXT(CleanedTable[[#This Row],[OrderDate]],"yyyy")</f>
        <v>2024</v>
      </c>
      <c r="D1374" s="3" t="str">
        <f>TEXT(CleanedTable[[#This Row],[OrderDate]],"mmm yyyy")</f>
        <v>Dec 2024</v>
      </c>
      <c r="E1374" t="s">
        <v>20</v>
      </c>
      <c r="F1374" t="s">
        <v>27</v>
      </c>
      <c r="G1374" s="12">
        <v>11</v>
      </c>
      <c r="H1374" s="8">
        <v>571.07000000000005</v>
      </c>
      <c r="I1374" t="s">
        <v>32</v>
      </c>
      <c r="J1374" t="s">
        <v>36</v>
      </c>
      <c r="K1374" s="10">
        <v>0</v>
      </c>
      <c r="L1374" t="s">
        <v>39</v>
      </c>
      <c r="M1374">
        <v>6281.77</v>
      </c>
      <c r="N1374">
        <v>3769.0619999999999</v>
      </c>
      <c r="O1374" s="10">
        <v>2500.1080000000006</v>
      </c>
      <c r="P1374" s="10">
        <v>0.39799419590338397</v>
      </c>
      <c r="Q1374" s="8">
        <v>6281.77</v>
      </c>
      <c r="R1374" t="s">
        <v>44</v>
      </c>
      <c r="S1374" t="s">
        <v>49</v>
      </c>
      <c r="T1374" t="s">
        <v>2931</v>
      </c>
      <c r="U1374">
        <v>0</v>
      </c>
      <c r="V1374" t="str">
        <f>IF(CleanedTable[[#This Row],[Returned]] = 0,"NO","Yes")</f>
        <v>NO</v>
      </c>
      <c r="W1374" t="s">
        <v>1423</v>
      </c>
      <c r="X1374" t="s">
        <v>2819</v>
      </c>
      <c r="Y1374" s="10">
        <v>12.6</v>
      </c>
      <c r="Z1374" s="3">
        <v>45632</v>
      </c>
      <c r="AA1374" s="3">
        <v>45637</v>
      </c>
      <c r="AB1374" t="s">
        <v>2923</v>
      </c>
      <c r="AC1374">
        <v>5</v>
      </c>
    </row>
    <row r="1375" spans="1:29" x14ac:dyDescent="0.3">
      <c r="A1375" s="3">
        <v>45268</v>
      </c>
      <c r="B1375" s="3" t="str">
        <f>TEXT(CleanedTable[[#This Row],[OrderDate]],"mmm")</f>
        <v>Dec</v>
      </c>
      <c r="C1375" s="3" t="str">
        <f>TEXT(CleanedTable[[#This Row],[OrderDate]],"yyyy")</f>
        <v>2023</v>
      </c>
      <c r="D1375" s="3" t="str">
        <f>TEXT(CleanedTable[[#This Row],[OrderDate]],"mmm yyyy")</f>
        <v>Dec 2023</v>
      </c>
      <c r="E1375" t="s">
        <v>19</v>
      </c>
      <c r="F1375" t="s">
        <v>29</v>
      </c>
      <c r="G1375" s="12">
        <v>11</v>
      </c>
      <c r="H1375" s="8">
        <v>65.569999999999993</v>
      </c>
      <c r="I1375" t="s">
        <v>34</v>
      </c>
      <c r="J1375" t="s">
        <v>36</v>
      </c>
      <c r="K1375" s="10">
        <v>0.1</v>
      </c>
      <c r="L1375" t="s">
        <v>41</v>
      </c>
      <c r="M1375">
        <v>649.14300000000003</v>
      </c>
      <c r="N1375">
        <v>432.76199999999989</v>
      </c>
      <c r="O1375" s="10">
        <v>185.95100000000014</v>
      </c>
      <c r="P1375" s="10">
        <v>0.28645614294539129</v>
      </c>
      <c r="Q1375" s="8">
        <v>649.14300000000003</v>
      </c>
      <c r="R1375" t="s">
        <v>46</v>
      </c>
      <c r="S1375" t="s">
        <v>49</v>
      </c>
      <c r="T1375" t="s">
        <v>2931</v>
      </c>
      <c r="U1375">
        <v>1</v>
      </c>
      <c r="V1375" t="str">
        <f>IF(CleanedTable[[#This Row],[Returned]] = 0,"NO","Yes")</f>
        <v>Yes</v>
      </c>
      <c r="W1375" t="s">
        <v>1424</v>
      </c>
      <c r="X1375" t="s">
        <v>2820</v>
      </c>
      <c r="Y1375" s="10">
        <v>30.43</v>
      </c>
      <c r="Z1375" s="3">
        <v>45268</v>
      </c>
      <c r="AA1375" s="3">
        <v>45274</v>
      </c>
      <c r="AB1375" t="s">
        <v>2922</v>
      </c>
      <c r="AC1375">
        <v>6</v>
      </c>
    </row>
    <row r="1376" spans="1:29" x14ac:dyDescent="0.3">
      <c r="A1376" s="3">
        <v>45058</v>
      </c>
      <c r="B1376" s="3" t="str">
        <f>TEXT(CleanedTable[[#This Row],[OrderDate]],"mmm")</f>
        <v>May</v>
      </c>
      <c r="C1376" s="3" t="str">
        <f>TEXT(CleanedTable[[#This Row],[OrderDate]],"yyyy")</f>
        <v>2023</v>
      </c>
      <c r="D1376" s="3" t="str">
        <f>TEXT(CleanedTable[[#This Row],[OrderDate]],"mmm yyyy")</f>
        <v>May 2023</v>
      </c>
      <c r="E1376" t="s">
        <v>20</v>
      </c>
      <c r="F1376" t="s">
        <v>29</v>
      </c>
      <c r="G1376" s="12">
        <v>4</v>
      </c>
      <c r="H1376" s="8">
        <v>397.02</v>
      </c>
      <c r="I1376" t="s">
        <v>32</v>
      </c>
      <c r="J1376" t="s">
        <v>35</v>
      </c>
      <c r="K1376" s="10">
        <v>0</v>
      </c>
      <c r="L1376" t="s">
        <v>39</v>
      </c>
      <c r="M1376">
        <v>1588.08</v>
      </c>
      <c r="N1376">
        <v>952.84799999999996</v>
      </c>
      <c r="O1376" s="10">
        <v>611.98199999999997</v>
      </c>
      <c r="P1376" s="10">
        <v>0.38535967961311773</v>
      </c>
      <c r="Q1376" s="8">
        <v>1588.08</v>
      </c>
      <c r="R1376" t="s">
        <v>47</v>
      </c>
      <c r="S1376" t="s">
        <v>48</v>
      </c>
      <c r="T1376" t="s">
        <v>2931</v>
      </c>
      <c r="U1376">
        <v>0</v>
      </c>
      <c r="V1376" t="str">
        <f>IF(CleanedTable[[#This Row],[Returned]] = 0,"NO","Yes")</f>
        <v>NO</v>
      </c>
      <c r="W1376" t="s">
        <v>1425</v>
      </c>
      <c r="X1376" t="s">
        <v>2821</v>
      </c>
      <c r="Y1376" s="10">
        <v>23.25</v>
      </c>
      <c r="Z1376" s="3">
        <v>45058</v>
      </c>
      <c r="AA1376" s="3">
        <v>45066</v>
      </c>
      <c r="AB1376" t="s">
        <v>2923</v>
      </c>
      <c r="AC1376">
        <v>8</v>
      </c>
    </row>
    <row r="1377" spans="1:29" x14ac:dyDescent="0.3">
      <c r="A1377" s="3">
        <v>45771</v>
      </c>
      <c r="B1377" s="3" t="str">
        <f>TEXT(CleanedTable[[#This Row],[OrderDate]],"mmm")</f>
        <v>Apr</v>
      </c>
      <c r="C1377" s="3" t="str">
        <f>TEXT(CleanedTable[[#This Row],[OrderDate]],"yyyy")</f>
        <v>2025</v>
      </c>
      <c r="D1377" s="3" t="str">
        <f>TEXT(CleanedTable[[#This Row],[OrderDate]],"mmm yyyy")</f>
        <v>Apr 2025</v>
      </c>
      <c r="E1377" t="s">
        <v>23</v>
      </c>
      <c r="F1377" t="s">
        <v>24</v>
      </c>
      <c r="G1377" s="12">
        <v>10</v>
      </c>
      <c r="H1377" s="8">
        <v>169.35</v>
      </c>
      <c r="I1377" t="s">
        <v>31</v>
      </c>
      <c r="J1377" t="s">
        <v>36</v>
      </c>
      <c r="K1377" s="10">
        <v>0.05</v>
      </c>
      <c r="L1377" t="s">
        <v>38</v>
      </c>
      <c r="M1377">
        <v>1608.8249999999998</v>
      </c>
      <c r="N1377">
        <v>1016.1</v>
      </c>
      <c r="O1377" s="10">
        <v>547.81499999999983</v>
      </c>
      <c r="P1377" s="10">
        <v>0.34050627010395779</v>
      </c>
      <c r="Q1377" s="8">
        <v>1608.825</v>
      </c>
      <c r="R1377" t="s">
        <v>45</v>
      </c>
      <c r="S1377" t="s">
        <v>50</v>
      </c>
      <c r="T1377" t="s">
        <v>2931</v>
      </c>
      <c r="U1377">
        <v>0</v>
      </c>
      <c r="V1377" t="str">
        <f>IF(CleanedTable[[#This Row],[Returned]] = 0,"NO","Yes")</f>
        <v>NO</v>
      </c>
      <c r="W1377" t="s">
        <v>1426</v>
      </c>
      <c r="X1377" t="s">
        <v>2822</v>
      </c>
      <c r="Y1377" s="10">
        <v>44.91</v>
      </c>
      <c r="Z1377" s="3">
        <v>45771</v>
      </c>
      <c r="AA1377" s="3">
        <v>45774</v>
      </c>
      <c r="AB1377" t="s">
        <v>2926</v>
      </c>
      <c r="AC1377">
        <v>3</v>
      </c>
    </row>
    <row r="1378" spans="1:29" x14ac:dyDescent="0.3">
      <c r="A1378" s="3">
        <v>45039</v>
      </c>
      <c r="B1378" s="3" t="str">
        <f>TEXT(CleanedTable[[#This Row],[OrderDate]],"mmm")</f>
        <v>Apr</v>
      </c>
      <c r="C1378" s="3" t="str">
        <f>TEXT(CleanedTable[[#This Row],[OrderDate]],"yyyy")</f>
        <v>2023</v>
      </c>
      <c r="D1378" s="3" t="str">
        <f>TEXT(CleanedTable[[#This Row],[OrderDate]],"mmm yyyy")</f>
        <v>Apr 2023</v>
      </c>
      <c r="E1378" t="s">
        <v>22</v>
      </c>
      <c r="F1378" t="s">
        <v>29</v>
      </c>
      <c r="G1378" s="12">
        <v>9</v>
      </c>
      <c r="H1378" s="8">
        <v>340.44</v>
      </c>
      <c r="I1378" t="s">
        <v>34</v>
      </c>
      <c r="J1378" t="s">
        <v>36</v>
      </c>
      <c r="K1378" s="10">
        <v>0.05</v>
      </c>
      <c r="L1378" t="s">
        <v>40</v>
      </c>
      <c r="M1378">
        <v>2910.7619999999997</v>
      </c>
      <c r="N1378">
        <v>1838.3759999999997</v>
      </c>
      <c r="O1378" s="10">
        <v>1035.7059999999999</v>
      </c>
      <c r="P1378" s="10">
        <v>0.35581954141218003</v>
      </c>
      <c r="Q1378" s="8">
        <v>2910.7620000000002</v>
      </c>
      <c r="R1378" t="s">
        <v>46</v>
      </c>
      <c r="S1378" t="s">
        <v>48</v>
      </c>
      <c r="T1378" t="s">
        <v>2931</v>
      </c>
      <c r="U1378">
        <v>1</v>
      </c>
      <c r="V1378" t="str">
        <f>IF(CleanedTable[[#This Row],[Returned]] = 0,"NO","Yes")</f>
        <v>Yes</v>
      </c>
      <c r="W1378" t="s">
        <v>1427</v>
      </c>
      <c r="X1378" t="s">
        <v>2823</v>
      </c>
      <c r="Y1378" s="10">
        <v>36.68</v>
      </c>
      <c r="Z1378" s="3">
        <v>45039</v>
      </c>
      <c r="AA1378" s="3">
        <v>45049</v>
      </c>
      <c r="AB1378" t="s">
        <v>2925</v>
      </c>
      <c r="AC1378">
        <v>10</v>
      </c>
    </row>
    <row r="1379" spans="1:29" x14ac:dyDescent="0.3">
      <c r="A1379" s="3">
        <v>44944</v>
      </c>
      <c r="B1379" s="3" t="str">
        <f>TEXT(CleanedTable[[#This Row],[OrderDate]],"mmm")</f>
        <v>Jan</v>
      </c>
      <c r="C1379" s="3" t="str">
        <f>TEXT(CleanedTable[[#This Row],[OrderDate]],"yyyy")</f>
        <v>2023</v>
      </c>
      <c r="D1379" s="3" t="str">
        <f>TEXT(CleanedTable[[#This Row],[OrderDate]],"mmm yyyy")</f>
        <v>Jan 2023</v>
      </c>
      <c r="E1379" t="s">
        <v>21</v>
      </c>
      <c r="F1379" t="s">
        <v>28</v>
      </c>
      <c r="G1379" s="12">
        <v>1</v>
      </c>
      <c r="H1379" s="8">
        <v>120.2</v>
      </c>
      <c r="I1379" t="s">
        <v>34</v>
      </c>
      <c r="J1379" t="s">
        <v>36</v>
      </c>
      <c r="K1379" s="10">
        <v>0.05</v>
      </c>
      <c r="L1379" t="s">
        <v>40</v>
      </c>
      <c r="M1379">
        <v>114.19</v>
      </c>
      <c r="N1379">
        <v>72.12</v>
      </c>
      <c r="O1379" s="10">
        <v>-2.9200000000000088</v>
      </c>
      <c r="P1379" s="10">
        <v>-2.5571416060951126E-2</v>
      </c>
      <c r="Q1379" s="8">
        <v>114.19</v>
      </c>
      <c r="R1379" t="s">
        <v>43</v>
      </c>
      <c r="S1379" t="s">
        <v>50</v>
      </c>
      <c r="T1379" t="s">
        <v>2931</v>
      </c>
      <c r="U1379">
        <v>0</v>
      </c>
      <c r="V1379" t="str">
        <f>IF(CleanedTable[[#This Row],[Returned]] = 0,"NO","Yes")</f>
        <v>NO</v>
      </c>
      <c r="W1379" t="s">
        <v>1428</v>
      </c>
      <c r="X1379" t="s">
        <v>2765</v>
      </c>
      <c r="Y1379" s="10">
        <v>44.99</v>
      </c>
      <c r="Z1379" s="3">
        <v>44944</v>
      </c>
      <c r="AA1379" s="3">
        <v>44947</v>
      </c>
      <c r="AB1379" t="s">
        <v>2924</v>
      </c>
      <c r="AC1379">
        <v>3</v>
      </c>
    </row>
    <row r="1380" spans="1:29" x14ac:dyDescent="0.3">
      <c r="A1380" s="3">
        <v>45788</v>
      </c>
      <c r="B1380" s="3" t="str">
        <f>TEXT(CleanedTable[[#This Row],[OrderDate]],"mmm")</f>
        <v>May</v>
      </c>
      <c r="C1380" s="3" t="str">
        <f>TEXT(CleanedTable[[#This Row],[OrderDate]],"yyyy")</f>
        <v>2025</v>
      </c>
      <c r="D1380" s="3" t="str">
        <f>TEXT(CleanedTable[[#This Row],[OrderDate]],"mmm yyyy")</f>
        <v>May 2025</v>
      </c>
      <c r="E1380" t="s">
        <v>21</v>
      </c>
      <c r="F1380" t="s">
        <v>25</v>
      </c>
      <c r="G1380" s="12">
        <v>13</v>
      </c>
      <c r="H1380" s="8">
        <v>169.39</v>
      </c>
      <c r="I1380" t="s">
        <v>31</v>
      </c>
      <c r="J1380" t="s">
        <v>35</v>
      </c>
      <c r="K1380" s="10">
        <v>0.15</v>
      </c>
      <c r="L1380" t="s">
        <v>41</v>
      </c>
      <c r="M1380">
        <v>1871.7594999999997</v>
      </c>
      <c r="N1380">
        <v>1321.2419999999997</v>
      </c>
      <c r="O1380" s="10">
        <v>543.70749999999998</v>
      </c>
      <c r="P1380" s="10">
        <v>0.2904793591270674</v>
      </c>
      <c r="Q1380" s="8">
        <v>1871.7594999999999</v>
      </c>
      <c r="R1380" t="s">
        <v>45</v>
      </c>
      <c r="T1380" t="s">
        <v>2932</v>
      </c>
      <c r="U1380">
        <v>0</v>
      </c>
      <c r="V1380" t="str">
        <f>IF(CleanedTable[[#This Row],[Returned]] = 0,"NO","Yes")</f>
        <v>NO</v>
      </c>
      <c r="W1380" t="s">
        <v>1429</v>
      </c>
      <c r="X1380" t="s">
        <v>2824</v>
      </c>
      <c r="Y1380" s="10">
        <v>6.81</v>
      </c>
      <c r="Z1380" s="3">
        <v>45788</v>
      </c>
      <c r="AA1380" s="3">
        <v>45798</v>
      </c>
      <c r="AB1380" t="s">
        <v>2924</v>
      </c>
      <c r="AC1380">
        <v>10</v>
      </c>
    </row>
    <row r="1381" spans="1:29" x14ac:dyDescent="0.3">
      <c r="A1381" s="3">
        <v>45649</v>
      </c>
      <c r="B1381" s="3" t="str">
        <f>TEXT(CleanedTable[[#This Row],[OrderDate]],"mmm")</f>
        <v>Dec</v>
      </c>
      <c r="C1381" s="3" t="str">
        <f>TEXT(CleanedTable[[#This Row],[OrderDate]],"yyyy")</f>
        <v>2024</v>
      </c>
      <c r="D1381" s="3" t="str">
        <f>TEXT(CleanedTable[[#This Row],[OrderDate]],"mmm yyyy")</f>
        <v>Dec 2024</v>
      </c>
      <c r="E1381" t="s">
        <v>23</v>
      </c>
      <c r="F1381" t="s">
        <v>29</v>
      </c>
      <c r="G1381" s="12">
        <v>10</v>
      </c>
      <c r="H1381" s="8">
        <v>170.72</v>
      </c>
      <c r="I1381" t="s">
        <v>32</v>
      </c>
      <c r="J1381" t="s">
        <v>35</v>
      </c>
      <c r="K1381" s="10">
        <v>0.05</v>
      </c>
      <c r="L1381" t="s">
        <v>39</v>
      </c>
      <c r="M1381">
        <v>1621.84</v>
      </c>
      <c r="N1381">
        <v>1024.32</v>
      </c>
      <c r="O1381" s="10">
        <v>568.34</v>
      </c>
      <c r="P1381" s="10">
        <v>0.35042914220884924</v>
      </c>
      <c r="Q1381" s="8">
        <v>1621.84</v>
      </c>
      <c r="R1381" t="s">
        <v>43</v>
      </c>
      <c r="S1381" t="s">
        <v>48</v>
      </c>
      <c r="T1381" t="s">
        <v>2931</v>
      </c>
      <c r="U1381">
        <v>0</v>
      </c>
      <c r="V1381" t="str">
        <f>IF(CleanedTable[[#This Row],[Returned]] = 0,"NO","Yes")</f>
        <v>NO</v>
      </c>
      <c r="W1381" t="s">
        <v>1430</v>
      </c>
      <c r="X1381" t="s">
        <v>2825</v>
      </c>
      <c r="Y1381" s="10">
        <v>29.18</v>
      </c>
      <c r="Z1381" s="3">
        <v>45649</v>
      </c>
      <c r="AA1381" s="3">
        <v>45659</v>
      </c>
      <c r="AB1381" t="s">
        <v>2926</v>
      </c>
      <c r="AC1381">
        <v>10</v>
      </c>
    </row>
    <row r="1382" spans="1:29" x14ac:dyDescent="0.3">
      <c r="A1382" s="3">
        <v>45158</v>
      </c>
      <c r="B1382" s="3" t="str">
        <f>TEXT(CleanedTable[[#This Row],[OrderDate]],"mmm")</f>
        <v>Aug</v>
      </c>
      <c r="C1382" s="3" t="str">
        <f>TEXT(CleanedTable[[#This Row],[OrderDate]],"yyyy")</f>
        <v>2023</v>
      </c>
      <c r="D1382" s="3" t="str">
        <f>TEXT(CleanedTable[[#This Row],[OrderDate]],"mmm yyyy")</f>
        <v>Aug 2023</v>
      </c>
      <c r="E1382" t="s">
        <v>23</v>
      </c>
      <c r="F1382" t="s">
        <v>26</v>
      </c>
      <c r="G1382" s="12">
        <v>9</v>
      </c>
      <c r="H1382" s="8">
        <v>323.77</v>
      </c>
      <c r="I1382" t="s">
        <v>32</v>
      </c>
      <c r="J1382" t="s">
        <v>35</v>
      </c>
      <c r="K1382" s="10">
        <v>0.15</v>
      </c>
      <c r="L1382" t="s">
        <v>40</v>
      </c>
      <c r="M1382">
        <v>2476.8404999999998</v>
      </c>
      <c r="N1382">
        <v>1748.3579999999997</v>
      </c>
      <c r="O1382" s="10">
        <v>722.12250000000006</v>
      </c>
      <c r="P1382" s="10">
        <v>0.29154985958926305</v>
      </c>
      <c r="Q1382" s="8">
        <v>2476.8404999999998</v>
      </c>
      <c r="R1382" t="s">
        <v>46</v>
      </c>
      <c r="T1382" t="s">
        <v>2932</v>
      </c>
      <c r="U1382">
        <v>0</v>
      </c>
      <c r="V1382" t="str">
        <f>IF(CleanedTable[[#This Row],[Returned]] = 0,"NO","Yes")</f>
        <v>NO</v>
      </c>
      <c r="W1382" t="s">
        <v>1431</v>
      </c>
      <c r="X1382" t="s">
        <v>2826</v>
      </c>
      <c r="Y1382" s="10">
        <v>6.36</v>
      </c>
      <c r="Z1382" s="3">
        <v>45158</v>
      </c>
      <c r="AA1382" s="3">
        <v>45166</v>
      </c>
      <c r="AB1382" t="s">
        <v>2926</v>
      </c>
      <c r="AC1382">
        <v>8</v>
      </c>
    </row>
    <row r="1383" spans="1:29" x14ac:dyDescent="0.3">
      <c r="A1383" s="3">
        <v>45734</v>
      </c>
      <c r="B1383" s="3" t="str">
        <f>TEXT(CleanedTable[[#This Row],[OrderDate]],"mmm")</f>
        <v>Mar</v>
      </c>
      <c r="C1383" s="3" t="str">
        <f>TEXT(CleanedTable[[#This Row],[OrderDate]],"yyyy")</f>
        <v>2025</v>
      </c>
      <c r="D1383" s="3" t="str">
        <f>TEXT(CleanedTable[[#This Row],[OrderDate]],"mmm yyyy")</f>
        <v>Mar 2025</v>
      </c>
      <c r="E1383" t="s">
        <v>22</v>
      </c>
      <c r="F1383" t="s">
        <v>27</v>
      </c>
      <c r="G1383" s="12">
        <v>4</v>
      </c>
      <c r="H1383" s="8">
        <v>481.86</v>
      </c>
      <c r="I1383" t="s">
        <v>31</v>
      </c>
      <c r="J1383" t="s">
        <v>35</v>
      </c>
      <c r="K1383" s="10">
        <v>0</v>
      </c>
      <c r="L1383" t="s">
        <v>42</v>
      </c>
      <c r="M1383">
        <v>1927.44</v>
      </c>
      <c r="N1383">
        <v>1156.4639999999999</v>
      </c>
      <c r="O1383" s="10">
        <v>749.05600000000015</v>
      </c>
      <c r="P1383" s="10">
        <v>0.38862740215000213</v>
      </c>
      <c r="Q1383" s="8">
        <v>1927.44</v>
      </c>
      <c r="R1383" t="s">
        <v>43</v>
      </c>
      <c r="S1383" t="s">
        <v>48</v>
      </c>
      <c r="T1383" t="s">
        <v>2931</v>
      </c>
      <c r="U1383">
        <v>0</v>
      </c>
      <c r="V1383" t="str">
        <f>IF(CleanedTable[[#This Row],[Returned]] = 0,"NO","Yes")</f>
        <v>NO</v>
      </c>
      <c r="W1383" t="s">
        <v>1432</v>
      </c>
      <c r="X1383" t="s">
        <v>2827</v>
      </c>
      <c r="Y1383" s="10">
        <v>21.92</v>
      </c>
      <c r="Z1383" s="3">
        <v>45734</v>
      </c>
      <c r="AA1383" s="3">
        <v>45739</v>
      </c>
      <c r="AB1383" t="s">
        <v>2925</v>
      </c>
      <c r="AC1383">
        <v>5</v>
      </c>
    </row>
    <row r="1384" spans="1:29" x14ac:dyDescent="0.3">
      <c r="A1384" s="3">
        <v>45307</v>
      </c>
      <c r="B1384" s="3" t="str">
        <f>TEXT(CleanedTable[[#This Row],[OrderDate]],"mmm")</f>
        <v>Jan</v>
      </c>
      <c r="C1384" s="3" t="str">
        <f>TEXT(CleanedTable[[#This Row],[OrderDate]],"yyyy")</f>
        <v>2024</v>
      </c>
      <c r="D1384" s="3" t="str">
        <f>TEXT(CleanedTable[[#This Row],[OrderDate]],"mmm yyyy")</f>
        <v>Jan 2024</v>
      </c>
      <c r="E1384" t="s">
        <v>22</v>
      </c>
      <c r="F1384" t="s">
        <v>25</v>
      </c>
      <c r="G1384" s="12">
        <v>4</v>
      </c>
      <c r="H1384" s="8">
        <v>78.05</v>
      </c>
      <c r="I1384" t="s">
        <v>32</v>
      </c>
      <c r="J1384" t="s">
        <v>36</v>
      </c>
      <c r="K1384" s="10">
        <v>0</v>
      </c>
      <c r="L1384" t="s">
        <v>40</v>
      </c>
      <c r="M1384">
        <v>312.2</v>
      </c>
      <c r="N1384">
        <v>187.32</v>
      </c>
      <c r="O1384" s="10">
        <v>110.85</v>
      </c>
      <c r="P1384" s="10">
        <v>0.35506085842408713</v>
      </c>
      <c r="Q1384" s="8">
        <v>312.2</v>
      </c>
      <c r="R1384" t="s">
        <v>45</v>
      </c>
      <c r="T1384" t="s">
        <v>2932</v>
      </c>
      <c r="U1384">
        <v>0</v>
      </c>
      <c r="V1384" t="str">
        <f>IF(CleanedTable[[#This Row],[Returned]] = 0,"NO","Yes")</f>
        <v>NO</v>
      </c>
      <c r="W1384" t="s">
        <v>1433</v>
      </c>
      <c r="X1384" t="s">
        <v>2828</v>
      </c>
      <c r="Y1384" s="10">
        <v>14.03</v>
      </c>
      <c r="Z1384" s="3">
        <v>45307</v>
      </c>
      <c r="AA1384" s="3">
        <v>45315</v>
      </c>
      <c r="AB1384" t="s">
        <v>2925</v>
      </c>
      <c r="AC1384">
        <v>8</v>
      </c>
    </row>
    <row r="1385" spans="1:29" x14ac:dyDescent="0.3">
      <c r="A1385" s="3">
        <v>45441</v>
      </c>
      <c r="B1385" s="3" t="str">
        <f>TEXT(CleanedTable[[#This Row],[OrderDate]],"mmm")</f>
        <v>May</v>
      </c>
      <c r="C1385" s="3" t="str">
        <f>TEXT(CleanedTable[[#This Row],[OrderDate]],"yyyy")</f>
        <v>2024</v>
      </c>
      <c r="D1385" s="3" t="str">
        <f>TEXT(CleanedTable[[#This Row],[OrderDate]],"mmm yyyy")</f>
        <v>May 2024</v>
      </c>
      <c r="E1385" t="s">
        <v>19</v>
      </c>
      <c r="F1385" t="s">
        <v>29</v>
      </c>
      <c r="G1385" s="12">
        <v>6</v>
      </c>
      <c r="H1385" s="8">
        <v>57.4</v>
      </c>
      <c r="I1385" t="s">
        <v>33</v>
      </c>
      <c r="J1385" t="s">
        <v>35</v>
      </c>
      <c r="K1385" s="10">
        <v>0.1</v>
      </c>
      <c r="L1385" t="s">
        <v>37</v>
      </c>
      <c r="M1385">
        <v>309.95999999999998</v>
      </c>
      <c r="N1385">
        <v>206.64</v>
      </c>
      <c r="O1385" s="10">
        <v>76.899999999999991</v>
      </c>
      <c r="P1385" s="10">
        <v>0.24809652858433345</v>
      </c>
      <c r="Q1385" s="8">
        <v>309.95999999999998</v>
      </c>
      <c r="R1385" t="s">
        <v>46</v>
      </c>
      <c r="S1385" t="s">
        <v>48</v>
      </c>
      <c r="T1385" t="s">
        <v>2931</v>
      </c>
      <c r="U1385">
        <v>0</v>
      </c>
      <c r="V1385" t="str">
        <f>IF(CleanedTable[[#This Row],[Returned]] = 0,"NO","Yes")</f>
        <v>NO</v>
      </c>
      <c r="W1385" t="s">
        <v>1434</v>
      </c>
      <c r="X1385" t="s">
        <v>2829</v>
      </c>
      <c r="Y1385" s="10">
        <v>26.42</v>
      </c>
      <c r="Z1385" s="3">
        <v>45441</v>
      </c>
      <c r="AA1385" s="3">
        <v>45451</v>
      </c>
      <c r="AB1385" t="s">
        <v>2922</v>
      </c>
      <c r="AC1385">
        <v>10</v>
      </c>
    </row>
    <row r="1386" spans="1:29" x14ac:dyDescent="0.3">
      <c r="A1386" s="3">
        <v>45741</v>
      </c>
      <c r="B1386" s="3" t="str">
        <f>TEXT(CleanedTable[[#This Row],[OrderDate]],"mmm")</f>
        <v>Mar</v>
      </c>
      <c r="C1386" s="3" t="str">
        <f>TEXT(CleanedTable[[#This Row],[OrderDate]],"yyyy")</f>
        <v>2025</v>
      </c>
      <c r="D1386" s="3" t="str">
        <f>TEXT(CleanedTable[[#This Row],[OrderDate]],"mmm yyyy")</f>
        <v>Mar 2025</v>
      </c>
      <c r="E1386" t="s">
        <v>20</v>
      </c>
      <c r="F1386" t="s">
        <v>24</v>
      </c>
      <c r="G1386" s="12">
        <v>9</v>
      </c>
      <c r="H1386" s="8">
        <v>454.98</v>
      </c>
      <c r="I1386" t="s">
        <v>31</v>
      </c>
      <c r="J1386" t="s">
        <v>35</v>
      </c>
      <c r="K1386" s="10">
        <v>0.15</v>
      </c>
      <c r="L1386" t="s">
        <v>37</v>
      </c>
      <c r="M1386">
        <v>3480.5970000000002</v>
      </c>
      <c r="N1386">
        <v>2456.8919999999998</v>
      </c>
      <c r="O1386" s="10">
        <v>982.94500000000039</v>
      </c>
      <c r="P1386" s="10">
        <v>0.28240701236023602</v>
      </c>
      <c r="Q1386" s="8">
        <v>3480.5970000000002</v>
      </c>
      <c r="R1386" t="s">
        <v>45</v>
      </c>
      <c r="T1386" t="s">
        <v>2932</v>
      </c>
      <c r="U1386">
        <v>0</v>
      </c>
      <c r="V1386" t="str">
        <f>IF(CleanedTable[[#This Row],[Returned]] = 0,"NO","Yes")</f>
        <v>NO</v>
      </c>
      <c r="W1386" t="s">
        <v>1435</v>
      </c>
      <c r="X1386" t="s">
        <v>2830</v>
      </c>
      <c r="Y1386" s="10">
        <v>40.76</v>
      </c>
      <c r="Z1386" s="3">
        <v>45741</v>
      </c>
      <c r="AA1386" s="3">
        <v>45743</v>
      </c>
      <c r="AB1386" t="s">
        <v>2923</v>
      </c>
      <c r="AC1386">
        <v>2</v>
      </c>
    </row>
    <row r="1387" spans="1:29" x14ac:dyDescent="0.3">
      <c r="A1387" s="3">
        <v>45738</v>
      </c>
      <c r="B1387" s="3" t="str">
        <f>TEXT(CleanedTable[[#This Row],[OrderDate]],"mmm")</f>
        <v>Mar</v>
      </c>
      <c r="C1387" s="3" t="str">
        <f>TEXT(CleanedTable[[#This Row],[OrderDate]],"yyyy")</f>
        <v>2025</v>
      </c>
      <c r="D1387" s="3" t="str">
        <f>TEXT(CleanedTable[[#This Row],[OrderDate]],"mmm yyyy")</f>
        <v>Mar 2025</v>
      </c>
      <c r="E1387" t="s">
        <v>22</v>
      </c>
      <c r="F1387" t="s">
        <v>26</v>
      </c>
      <c r="G1387" s="12">
        <v>11</v>
      </c>
      <c r="H1387" s="8">
        <v>365.75</v>
      </c>
      <c r="I1387" t="s">
        <v>34</v>
      </c>
      <c r="J1387" t="s">
        <v>35</v>
      </c>
      <c r="K1387" s="10">
        <v>0.05</v>
      </c>
      <c r="L1387" t="s">
        <v>42</v>
      </c>
      <c r="M1387">
        <v>3822.0874999999996</v>
      </c>
      <c r="N1387">
        <v>2413.9499999999998</v>
      </c>
      <c r="O1387" s="10">
        <v>1399.7674999999999</v>
      </c>
      <c r="P1387" s="10">
        <v>0.36623114986247701</v>
      </c>
      <c r="Q1387" s="8">
        <v>3822.0875000000001</v>
      </c>
      <c r="R1387" t="s">
        <v>46</v>
      </c>
      <c r="S1387" t="s">
        <v>48</v>
      </c>
      <c r="T1387" t="s">
        <v>2931</v>
      </c>
      <c r="U1387">
        <v>1</v>
      </c>
      <c r="V1387" t="str">
        <f>IF(CleanedTable[[#This Row],[Returned]] = 0,"NO","Yes")</f>
        <v>Yes</v>
      </c>
      <c r="W1387" t="s">
        <v>1436</v>
      </c>
      <c r="X1387" t="s">
        <v>2831</v>
      </c>
      <c r="Y1387" s="10">
        <v>8.3699999999999992</v>
      </c>
      <c r="Z1387" s="3">
        <v>45738</v>
      </c>
      <c r="AA1387" s="3">
        <v>45743</v>
      </c>
      <c r="AB1387" t="s">
        <v>2925</v>
      </c>
      <c r="AC1387">
        <v>5</v>
      </c>
    </row>
    <row r="1388" spans="1:29" x14ac:dyDescent="0.3">
      <c r="A1388" s="3">
        <v>45521</v>
      </c>
      <c r="B1388" s="3" t="str">
        <f>TEXT(CleanedTable[[#This Row],[OrderDate]],"mmm")</f>
        <v>Aug</v>
      </c>
      <c r="C1388" s="3" t="str">
        <f>TEXT(CleanedTable[[#This Row],[OrderDate]],"yyyy")</f>
        <v>2024</v>
      </c>
      <c r="D1388" s="3" t="str">
        <f>TEXT(CleanedTable[[#This Row],[OrderDate]],"mmm yyyy")</f>
        <v>Aug 2024</v>
      </c>
      <c r="E1388" t="s">
        <v>19</v>
      </c>
      <c r="F1388" t="s">
        <v>25</v>
      </c>
      <c r="G1388" s="12">
        <v>7</v>
      </c>
      <c r="H1388" s="8">
        <v>106.88</v>
      </c>
      <c r="I1388" t="s">
        <v>33</v>
      </c>
      <c r="J1388" t="s">
        <v>36</v>
      </c>
      <c r="K1388" s="10">
        <v>0.05</v>
      </c>
      <c r="L1388" t="s">
        <v>41</v>
      </c>
      <c r="M1388">
        <v>710.75199999999995</v>
      </c>
      <c r="N1388">
        <v>448.89600000000002</v>
      </c>
      <c r="O1388" s="10">
        <v>235.73599999999993</v>
      </c>
      <c r="P1388" s="10">
        <v>0.33167124397820891</v>
      </c>
      <c r="Q1388" s="8">
        <v>710.75199999999995</v>
      </c>
      <c r="R1388" t="s">
        <v>47</v>
      </c>
      <c r="S1388" t="s">
        <v>50</v>
      </c>
      <c r="T1388" t="s">
        <v>2931</v>
      </c>
      <c r="U1388">
        <v>1</v>
      </c>
      <c r="V1388" t="str">
        <f>IF(CleanedTable[[#This Row],[Returned]] = 0,"NO","Yes")</f>
        <v>Yes</v>
      </c>
      <c r="W1388" t="s">
        <v>1437</v>
      </c>
      <c r="X1388" t="s">
        <v>2832</v>
      </c>
      <c r="Y1388" s="10">
        <v>26.12</v>
      </c>
      <c r="Z1388" s="3">
        <v>45521</v>
      </c>
      <c r="AA1388" s="3">
        <v>45528</v>
      </c>
      <c r="AB1388" t="s">
        <v>2922</v>
      </c>
      <c r="AC1388">
        <v>7</v>
      </c>
    </row>
    <row r="1389" spans="1:29" x14ac:dyDescent="0.3">
      <c r="A1389" s="3">
        <v>45445</v>
      </c>
      <c r="B1389" s="3" t="str">
        <f>TEXT(CleanedTable[[#This Row],[OrderDate]],"mmm")</f>
        <v>Jun</v>
      </c>
      <c r="C1389" s="3" t="str">
        <f>TEXT(CleanedTable[[#This Row],[OrderDate]],"yyyy")</f>
        <v>2024</v>
      </c>
      <c r="D1389" s="3" t="str">
        <f>TEXT(CleanedTable[[#This Row],[OrderDate]],"mmm yyyy")</f>
        <v>Jun 2024</v>
      </c>
      <c r="E1389" t="s">
        <v>20</v>
      </c>
      <c r="F1389" t="s">
        <v>30</v>
      </c>
      <c r="G1389" s="12">
        <v>2</v>
      </c>
      <c r="H1389" s="8">
        <v>250.98</v>
      </c>
      <c r="I1389" t="s">
        <v>31</v>
      </c>
      <c r="J1389" t="s">
        <v>35</v>
      </c>
      <c r="K1389" s="10">
        <v>0.1</v>
      </c>
      <c r="L1389" t="s">
        <v>37</v>
      </c>
      <c r="M1389">
        <v>451.76400000000001</v>
      </c>
      <c r="N1389">
        <v>301.17599999999999</v>
      </c>
      <c r="O1389" s="10">
        <v>131.78800000000001</v>
      </c>
      <c r="P1389" s="10">
        <v>0.29171868497711195</v>
      </c>
      <c r="Q1389" s="8">
        <v>451.76400000000001</v>
      </c>
      <c r="R1389" t="s">
        <v>43</v>
      </c>
      <c r="S1389" t="s">
        <v>50</v>
      </c>
      <c r="T1389" t="s">
        <v>2931</v>
      </c>
      <c r="U1389">
        <v>0</v>
      </c>
      <c r="V1389" t="str">
        <f>IF(CleanedTable[[#This Row],[Returned]] = 0,"NO","Yes")</f>
        <v>NO</v>
      </c>
      <c r="W1389" t="s">
        <v>1438</v>
      </c>
      <c r="X1389" t="s">
        <v>2833</v>
      </c>
      <c r="Y1389" s="10">
        <v>18.8</v>
      </c>
      <c r="Z1389" s="3">
        <v>45445</v>
      </c>
      <c r="AA1389" s="3">
        <v>45455</v>
      </c>
      <c r="AB1389" t="s">
        <v>2923</v>
      </c>
      <c r="AC1389">
        <v>10</v>
      </c>
    </row>
    <row r="1390" spans="1:29" x14ac:dyDescent="0.3">
      <c r="A1390" s="3">
        <v>45016</v>
      </c>
      <c r="B1390" s="3" t="str">
        <f>TEXT(CleanedTable[[#This Row],[OrderDate]],"mmm")</f>
        <v>Mar</v>
      </c>
      <c r="C1390" s="3" t="str">
        <f>TEXT(CleanedTable[[#This Row],[OrderDate]],"yyyy")</f>
        <v>2023</v>
      </c>
      <c r="D1390" s="3" t="str">
        <f>TEXT(CleanedTable[[#This Row],[OrderDate]],"mmm yyyy")</f>
        <v>Mar 2023</v>
      </c>
      <c r="E1390" t="s">
        <v>20</v>
      </c>
      <c r="F1390" t="s">
        <v>28</v>
      </c>
      <c r="G1390" s="12">
        <v>8</v>
      </c>
      <c r="H1390" s="8">
        <v>591.29</v>
      </c>
      <c r="I1390" t="s">
        <v>33</v>
      </c>
      <c r="J1390" t="s">
        <v>36</v>
      </c>
      <c r="K1390" s="10">
        <v>0.1</v>
      </c>
      <c r="L1390" t="s">
        <v>41</v>
      </c>
      <c r="M1390">
        <v>4257.2879999999996</v>
      </c>
      <c r="N1390">
        <v>2838.1919999999996</v>
      </c>
      <c r="O1390" s="10">
        <v>1373.9559999999999</v>
      </c>
      <c r="P1390" s="10">
        <v>0.32273033912669286</v>
      </c>
      <c r="Q1390" s="8">
        <v>4257.2879999999996</v>
      </c>
      <c r="R1390" t="s">
        <v>45</v>
      </c>
      <c r="T1390" t="s">
        <v>2932</v>
      </c>
      <c r="U1390">
        <v>1</v>
      </c>
      <c r="V1390" t="str">
        <f>IF(CleanedTable[[#This Row],[Returned]] = 0,"NO","Yes")</f>
        <v>Yes</v>
      </c>
      <c r="W1390" t="s">
        <v>1439</v>
      </c>
      <c r="X1390" t="s">
        <v>2834</v>
      </c>
      <c r="Y1390" s="10">
        <v>45.14</v>
      </c>
      <c r="Z1390" s="3">
        <v>45016</v>
      </c>
      <c r="AA1390" s="3">
        <v>45026</v>
      </c>
      <c r="AB1390" t="s">
        <v>2923</v>
      </c>
      <c r="AC1390">
        <v>10</v>
      </c>
    </row>
    <row r="1391" spans="1:29" x14ac:dyDescent="0.3">
      <c r="A1391" s="3">
        <v>45431</v>
      </c>
      <c r="B1391" s="3" t="str">
        <f>TEXT(CleanedTable[[#This Row],[OrderDate]],"mmm")</f>
        <v>May</v>
      </c>
      <c r="C1391" s="3" t="str">
        <f>TEXT(CleanedTable[[#This Row],[OrderDate]],"yyyy")</f>
        <v>2024</v>
      </c>
      <c r="D1391" s="3" t="str">
        <f>TEXT(CleanedTable[[#This Row],[OrderDate]],"mmm yyyy")</f>
        <v>May 2024</v>
      </c>
      <c r="E1391" t="s">
        <v>23</v>
      </c>
      <c r="F1391" t="s">
        <v>28</v>
      </c>
      <c r="G1391" s="12">
        <v>18</v>
      </c>
      <c r="H1391" s="8">
        <v>369.79</v>
      </c>
      <c r="I1391" t="s">
        <v>32</v>
      </c>
      <c r="J1391" t="s">
        <v>35</v>
      </c>
      <c r="K1391" s="10">
        <v>0.05</v>
      </c>
      <c r="L1391" t="s">
        <v>37</v>
      </c>
      <c r="M1391">
        <v>6323.4089999999997</v>
      </c>
      <c r="N1391">
        <v>3993.732</v>
      </c>
      <c r="O1391" s="10">
        <v>2313.2769999999996</v>
      </c>
      <c r="P1391" s="10">
        <v>0.3658275148737018</v>
      </c>
      <c r="Q1391" s="8">
        <v>6323.4089999999997</v>
      </c>
      <c r="R1391" t="s">
        <v>47</v>
      </c>
      <c r="S1391" t="s">
        <v>48</v>
      </c>
      <c r="T1391" t="s">
        <v>2931</v>
      </c>
      <c r="U1391">
        <v>1</v>
      </c>
      <c r="V1391" t="str">
        <f>IF(CleanedTable[[#This Row],[Returned]] = 0,"NO","Yes")</f>
        <v>Yes</v>
      </c>
      <c r="W1391" t="s">
        <v>1440</v>
      </c>
      <c r="X1391" t="s">
        <v>2835</v>
      </c>
      <c r="Y1391" s="10">
        <v>16.399999999999999</v>
      </c>
      <c r="Z1391" s="3">
        <v>45431</v>
      </c>
      <c r="AA1391" s="3">
        <v>45435</v>
      </c>
      <c r="AB1391" t="s">
        <v>2926</v>
      </c>
      <c r="AC1391">
        <v>4</v>
      </c>
    </row>
    <row r="1392" spans="1:29" x14ac:dyDescent="0.3">
      <c r="A1392" s="3">
        <v>44987</v>
      </c>
      <c r="B1392" s="3" t="str">
        <f>TEXT(CleanedTable[[#This Row],[OrderDate]],"mmm")</f>
        <v>Mar</v>
      </c>
      <c r="C1392" s="3" t="str">
        <f>TEXT(CleanedTable[[#This Row],[OrderDate]],"yyyy")</f>
        <v>2023</v>
      </c>
      <c r="D1392" s="3" t="str">
        <f>TEXT(CleanedTable[[#This Row],[OrderDate]],"mmm yyyy")</f>
        <v>Mar 2023</v>
      </c>
      <c r="E1392" t="s">
        <v>23</v>
      </c>
      <c r="F1392" t="s">
        <v>26</v>
      </c>
      <c r="G1392" s="12">
        <v>15</v>
      </c>
      <c r="H1392" s="8">
        <v>166.24</v>
      </c>
      <c r="I1392" t="s">
        <v>34</v>
      </c>
      <c r="J1392" t="s">
        <v>35</v>
      </c>
      <c r="K1392" s="10">
        <v>0.1</v>
      </c>
      <c r="L1392" t="s">
        <v>41</v>
      </c>
      <c r="M1392">
        <v>2244.2400000000002</v>
      </c>
      <c r="N1392">
        <v>1496.16</v>
      </c>
      <c r="O1392" s="10">
        <v>738.22000000000014</v>
      </c>
      <c r="P1392" s="10">
        <v>0.3289398638291805</v>
      </c>
      <c r="Q1392" s="8">
        <v>2244.2399999999998</v>
      </c>
      <c r="R1392" t="s">
        <v>46</v>
      </c>
      <c r="S1392" t="s">
        <v>49</v>
      </c>
      <c r="T1392" t="s">
        <v>2931</v>
      </c>
      <c r="U1392">
        <v>0</v>
      </c>
      <c r="V1392" t="str">
        <f>IF(CleanedTable[[#This Row],[Returned]] = 0,"NO","Yes")</f>
        <v>NO</v>
      </c>
      <c r="W1392" t="s">
        <v>1441</v>
      </c>
      <c r="X1392" t="s">
        <v>2836</v>
      </c>
      <c r="Y1392" s="10">
        <v>9.86</v>
      </c>
      <c r="Z1392" s="3">
        <v>44987</v>
      </c>
      <c r="AA1392" s="3">
        <v>44990</v>
      </c>
      <c r="AB1392" t="s">
        <v>2926</v>
      </c>
      <c r="AC1392">
        <v>3</v>
      </c>
    </row>
    <row r="1393" spans="1:29" x14ac:dyDescent="0.3">
      <c r="A1393" s="3">
        <v>44998</v>
      </c>
      <c r="B1393" s="3" t="str">
        <f>TEXT(CleanedTable[[#This Row],[OrderDate]],"mmm")</f>
        <v>Mar</v>
      </c>
      <c r="C1393" s="3" t="str">
        <f>TEXT(CleanedTable[[#This Row],[OrderDate]],"yyyy")</f>
        <v>2023</v>
      </c>
      <c r="D1393" s="3" t="str">
        <f>TEXT(CleanedTable[[#This Row],[OrderDate]],"mmm yyyy")</f>
        <v>Mar 2023</v>
      </c>
      <c r="E1393" t="s">
        <v>21</v>
      </c>
      <c r="F1393" t="s">
        <v>30</v>
      </c>
      <c r="G1393" s="12">
        <v>12</v>
      </c>
      <c r="H1393" s="8">
        <v>260.76</v>
      </c>
      <c r="I1393" t="s">
        <v>33</v>
      </c>
      <c r="J1393" t="s">
        <v>35</v>
      </c>
      <c r="K1393" s="10">
        <v>0.15</v>
      </c>
      <c r="L1393" t="s">
        <v>40</v>
      </c>
      <c r="M1393">
        <v>2659.752</v>
      </c>
      <c r="N1393">
        <v>1877.4719999999998</v>
      </c>
      <c r="O1393" s="10">
        <v>761.36000000000024</v>
      </c>
      <c r="P1393" s="10">
        <v>0.28625225208966859</v>
      </c>
      <c r="Q1393" s="8">
        <v>2659.752</v>
      </c>
      <c r="R1393" t="s">
        <v>43</v>
      </c>
      <c r="T1393" t="s">
        <v>2932</v>
      </c>
      <c r="U1393">
        <v>0</v>
      </c>
      <c r="V1393" t="str">
        <f>IF(CleanedTable[[#This Row],[Returned]] = 0,"NO","Yes")</f>
        <v>NO</v>
      </c>
      <c r="W1393" t="s">
        <v>1442</v>
      </c>
      <c r="X1393" t="s">
        <v>2837</v>
      </c>
      <c r="Y1393" s="10">
        <v>20.92</v>
      </c>
      <c r="Z1393" s="3">
        <v>44998</v>
      </c>
      <c r="AA1393" s="3">
        <v>45007</v>
      </c>
      <c r="AB1393" t="s">
        <v>2924</v>
      </c>
      <c r="AC1393">
        <v>9</v>
      </c>
    </row>
    <row r="1394" spans="1:29" x14ac:dyDescent="0.3">
      <c r="A1394" s="3">
        <v>45763</v>
      </c>
      <c r="B1394" s="3" t="str">
        <f>TEXT(CleanedTable[[#This Row],[OrderDate]],"mmm")</f>
        <v>Apr</v>
      </c>
      <c r="C1394" s="3" t="str">
        <f>TEXT(CleanedTable[[#This Row],[OrderDate]],"yyyy")</f>
        <v>2025</v>
      </c>
      <c r="D1394" s="3" t="str">
        <f>TEXT(CleanedTable[[#This Row],[OrderDate]],"mmm yyyy")</f>
        <v>Apr 2025</v>
      </c>
      <c r="E1394" t="s">
        <v>23</v>
      </c>
      <c r="F1394" t="s">
        <v>24</v>
      </c>
      <c r="G1394" s="12">
        <v>10</v>
      </c>
      <c r="H1394" s="8">
        <v>348.63</v>
      </c>
      <c r="I1394" t="s">
        <v>34</v>
      </c>
      <c r="J1394" t="s">
        <v>35</v>
      </c>
      <c r="K1394" s="10">
        <v>0.05</v>
      </c>
      <c r="L1394" t="s">
        <v>41</v>
      </c>
      <c r="M1394">
        <v>3311.9850000000001</v>
      </c>
      <c r="N1394">
        <v>2091.7799999999997</v>
      </c>
      <c r="O1394" s="10">
        <v>1177.4150000000004</v>
      </c>
      <c r="P1394" s="10">
        <v>0.35550130812790526</v>
      </c>
      <c r="Q1394" s="8">
        <v>3311.9850000000001</v>
      </c>
      <c r="R1394" t="s">
        <v>45</v>
      </c>
      <c r="T1394" t="s">
        <v>2932</v>
      </c>
      <c r="U1394">
        <v>1</v>
      </c>
      <c r="V1394" t="str">
        <f>IF(CleanedTable[[#This Row],[Returned]] = 0,"NO","Yes")</f>
        <v>Yes</v>
      </c>
      <c r="W1394" t="s">
        <v>1443</v>
      </c>
      <c r="X1394" t="s">
        <v>2838</v>
      </c>
      <c r="Y1394" s="10">
        <v>42.79</v>
      </c>
      <c r="Z1394" s="3">
        <v>45763</v>
      </c>
      <c r="AA1394" s="3">
        <v>45765</v>
      </c>
      <c r="AB1394" t="s">
        <v>2926</v>
      </c>
      <c r="AC1394">
        <v>2</v>
      </c>
    </row>
    <row r="1395" spans="1:29" x14ac:dyDescent="0.3">
      <c r="A1395" s="3">
        <v>45448</v>
      </c>
      <c r="B1395" s="3" t="str">
        <f>TEXT(CleanedTable[[#This Row],[OrderDate]],"mmm")</f>
        <v>Jun</v>
      </c>
      <c r="C1395" s="3" t="str">
        <f>TEXT(CleanedTable[[#This Row],[OrderDate]],"yyyy")</f>
        <v>2024</v>
      </c>
      <c r="D1395" s="3" t="str">
        <f>TEXT(CleanedTable[[#This Row],[OrderDate]],"mmm yyyy")</f>
        <v>Jun 2024</v>
      </c>
      <c r="E1395" t="s">
        <v>21</v>
      </c>
      <c r="F1395" t="s">
        <v>27</v>
      </c>
      <c r="G1395" s="12">
        <v>5</v>
      </c>
      <c r="H1395" s="8">
        <v>473.28</v>
      </c>
      <c r="I1395" t="s">
        <v>32</v>
      </c>
      <c r="J1395" t="s">
        <v>36</v>
      </c>
      <c r="K1395" s="10">
        <v>0</v>
      </c>
      <c r="L1395" t="s">
        <v>41</v>
      </c>
      <c r="M1395">
        <v>2366.3999999999996</v>
      </c>
      <c r="N1395">
        <v>1419.8399999999997</v>
      </c>
      <c r="O1395" s="10">
        <v>915.86999999999989</v>
      </c>
      <c r="P1395" s="10">
        <v>0.38703093306288033</v>
      </c>
      <c r="Q1395" s="8">
        <v>2366.4</v>
      </c>
      <c r="R1395" t="s">
        <v>45</v>
      </c>
      <c r="S1395" t="s">
        <v>49</v>
      </c>
      <c r="T1395" t="s">
        <v>2931</v>
      </c>
      <c r="U1395">
        <v>1</v>
      </c>
      <c r="V1395" t="str">
        <f>IF(CleanedTable[[#This Row],[Returned]] = 0,"NO","Yes")</f>
        <v>Yes</v>
      </c>
      <c r="W1395" t="s">
        <v>1444</v>
      </c>
      <c r="X1395" t="s">
        <v>2839</v>
      </c>
      <c r="Y1395" s="10">
        <v>30.69</v>
      </c>
      <c r="Z1395" s="3">
        <v>45448</v>
      </c>
      <c r="AA1395" s="3">
        <v>45458</v>
      </c>
      <c r="AB1395" t="s">
        <v>2924</v>
      </c>
      <c r="AC1395">
        <v>10</v>
      </c>
    </row>
    <row r="1396" spans="1:29" x14ac:dyDescent="0.3">
      <c r="A1396" s="3">
        <v>45536</v>
      </c>
      <c r="B1396" s="3" t="str">
        <f>TEXT(CleanedTable[[#This Row],[OrderDate]],"mmm")</f>
        <v>Sep</v>
      </c>
      <c r="C1396" s="3" t="str">
        <f>TEXT(CleanedTable[[#This Row],[OrderDate]],"yyyy")</f>
        <v>2024</v>
      </c>
      <c r="D1396" s="3" t="str">
        <f>TEXT(CleanedTable[[#This Row],[OrderDate]],"mmm yyyy")</f>
        <v>Sep 2024</v>
      </c>
      <c r="E1396" t="s">
        <v>21</v>
      </c>
      <c r="F1396" t="s">
        <v>27</v>
      </c>
      <c r="G1396" s="12">
        <v>16</v>
      </c>
      <c r="H1396" s="8">
        <v>401.83</v>
      </c>
      <c r="I1396" t="s">
        <v>31</v>
      </c>
      <c r="J1396" t="s">
        <v>36</v>
      </c>
      <c r="K1396" s="10">
        <v>0</v>
      </c>
      <c r="L1396" t="s">
        <v>37</v>
      </c>
      <c r="M1396">
        <v>6429.28</v>
      </c>
      <c r="N1396">
        <v>3857.5679999999998</v>
      </c>
      <c r="O1396" s="10">
        <v>2550.172</v>
      </c>
      <c r="P1396" s="10">
        <v>0.39664970261055671</v>
      </c>
      <c r="Q1396" s="8">
        <v>6429.28</v>
      </c>
      <c r="R1396" t="s">
        <v>47</v>
      </c>
      <c r="S1396" t="s">
        <v>48</v>
      </c>
      <c r="T1396" t="s">
        <v>2931</v>
      </c>
      <c r="U1396">
        <v>0</v>
      </c>
      <c r="V1396" t="str">
        <f>IF(CleanedTable[[#This Row],[Returned]] = 0,"NO","Yes")</f>
        <v>NO</v>
      </c>
      <c r="W1396" t="s">
        <v>1445</v>
      </c>
      <c r="X1396" t="s">
        <v>2164</v>
      </c>
      <c r="Y1396" s="10">
        <v>21.54</v>
      </c>
      <c r="Z1396" s="3">
        <v>45536</v>
      </c>
      <c r="AA1396" s="3">
        <v>45540</v>
      </c>
      <c r="AB1396" t="s">
        <v>2924</v>
      </c>
      <c r="AC1396">
        <v>4</v>
      </c>
    </row>
    <row r="1397" spans="1:29" x14ac:dyDescent="0.3">
      <c r="A1397" s="3">
        <v>45556</v>
      </c>
      <c r="B1397" s="3" t="str">
        <f>TEXT(CleanedTable[[#This Row],[OrderDate]],"mmm")</f>
        <v>Sep</v>
      </c>
      <c r="C1397" s="3" t="str">
        <f>TEXT(CleanedTable[[#This Row],[OrderDate]],"yyyy")</f>
        <v>2024</v>
      </c>
      <c r="D1397" s="3" t="str">
        <f>TEXT(CleanedTable[[#This Row],[OrderDate]],"mmm yyyy")</f>
        <v>Sep 2024</v>
      </c>
      <c r="E1397" t="s">
        <v>21</v>
      </c>
      <c r="F1397" t="s">
        <v>25</v>
      </c>
      <c r="G1397" s="12">
        <v>10</v>
      </c>
      <c r="H1397" s="8">
        <v>269.29000000000002</v>
      </c>
      <c r="I1397" t="s">
        <v>33</v>
      </c>
      <c r="J1397" t="s">
        <v>36</v>
      </c>
      <c r="K1397" s="10">
        <v>0</v>
      </c>
      <c r="L1397" t="s">
        <v>37</v>
      </c>
      <c r="M1397">
        <v>2692.9</v>
      </c>
      <c r="N1397">
        <v>1615.7400000000002</v>
      </c>
      <c r="O1397" s="10">
        <v>1063.07</v>
      </c>
      <c r="P1397" s="10">
        <v>0.3947677225296149</v>
      </c>
      <c r="Q1397" s="8">
        <v>2692.9</v>
      </c>
      <c r="R1397" t="s">
        <v>46</v>
      </c>
      <c r="S1397" t="s">
        <v>49</v>
      </c>
      <c r="T1397" t="s">
        <v>2931</v>
      </c>
      <c r="U1397">
        <v>0</v>
      </c>
      <c r="V1397" t="str">
        <f>IF(CleanedTable[[#This Row],[Returned]] = 0,"NO","Yes")</f>
        <v>NO</v>
      </c>
      <c r="W1397" t="s">
        <v>1446</v>
      </c>
      <c r="X1397" t="s">
        <v>2721</v>
      </c>
      <c r="Y1397" s="10">
        <v>14.09</v>
      </c>
      <c r="Z1397" s="3">
        <v>45556</v>
      </c>
      <c r="AA1397" s="3">
        <v>45565</v>
      </c>
      <c r="AB1397" t="s">
        <v>2924</v>
      </c>
      <c r="AC1397">
        <v>9</v>
      </c>
    </row>
    <row r="1398" spans="1:29" x14ac:dyDescent="0.3">
      <c r="A1398" s="3">
        <v>45668</v>
      </c>
      <c r="B1398" s="3" t="str">
        <f>TEXT(CleanedTable[[#This Row],[OrderDate]],"mmm")</f>
        <v>Jan</v>
      </c>
      <c r="C1398" s="3" t="str">
        <f>TEXT(CleanedTable[[#This Row],[OrderDate]],"yyyy")</f>
        <v>2025</v>
      </c>
      <c r="D1398" s="3" t="str">
        <f>TEXT(CleanedTable[[#This Row],[OrderDate]],"mmm yyyy")</f>
        <v>Jan 2025</v>
      </c>
      <c r="E1398" t="s">
        <v>21</v>
      </c>
      <c r="F1398" t="s">
        <v>26</v>
      </c>
      <c r="G1398" s="12">
        <v>4</v>
      </c>
      <c r="H1398" s="8">
        <v>323.02</v>
      </c>
      <c r="I1398" t="s">
        <v>33</v>
      </c>
      <c r="J1398" t="s">
        <v>36</v>
      </c>
      <c r="K1398" s="10">
        <v>0.05</v>
      </c>
      <c r="L1398" t="s">
        <v>41</v>
      </c>
      <c r="M1398">
        <v>1227.4759999999999</v>
      </c>
      <c r="N1398">
        <v>775.24799999999993</v>
      </c>
      <c r="O1398" s="10">
        <v>432.69799999999998</v>
      </c>
      <c r="P1398" s="10">
        <v>0.35251035458127083</v>
      </c>
      <c r="Q1398" s="8">
        <v>1227.4760000000001</v>
      </c>
      <c r="R1398" t="s">
        <v>47</v>
      </c>
      <c r="T1398" t="s">
        <v>2932</v>
      </c>
      <c r="U1398">
        <v>0</v>
      </c>
      <c r="V1398" t="str">
        <f>IF(CleanedTable[[#This Row],[Returned]] = 0,"NO","Yes")</f>
        <v>NO</v>
      </c>
      <c r="W1398" t="s">
        <v>1447</v>
      </c>
      <c r="X1398" t="s">
        <v>2840</v>
      </c>
      <c r="Y1398" s="10">
        <v>19.53</v>
      </c>
      <c r="Z1398" s="3">
        <v>45668</v>
      </c>
      <c r="AA1398" s="3">
        <v>45673</v>
      </c>
      <c r="AB1398" t="s">
        <v>2924</v>
      </c>
      <c r="AC1398">
        <v>5</v>
      </c>
    </row>
    <row r="1399" spans="1:29" x14ac:dyDescent="0.3">
      <c r="A1399" s="3">
        <v>44930</v>
      </c>
      <c r="B1399" s="3" t="str">
        <f>TEXT(CleanedTable[[#This Row],[OrderDate]],"mmm")</f>
        <v>Jan</v>
      </c>
      <c r="C1399" s="3" t="str">
        <f>TEXT(CleanedTable[[#This Row],[OrderDate]],"yyyy")</f>
        <v>2023</v>
      </c>
      <c r="D1399" s="3" t="str">
        <f>TEXT(CleanedTable[[#This Row],[OrderDate]],"mmm yyyy")</f>
        <v>Jan 2023</v>
      </c>
      <c r="E1399" t="s">
        <v>23</v>
      </c>
      <c r="F1399" t="s">
        <v>28</v>
      </c>
      <c r="G1399" s="12">
        <v>15</v>
      </c>
      <c r="H1399" s="8">
        <v>439.89</v>
      </c>
      <c r="I1399" t="s">
        <v>34</v>
      </c>
      <c r="J1399" t="s">
        <v>36</v>
      </c>
      <c r="K1399" s="10">
        <v>0.15</v>
      </c>
      <c r="L1399" t="s">
        <v>41</v>
      </c>
      <c r="M1399">
        <v>5608.5974999999989</v>
      </c>
      <c r="N1399">
        <v>3959.0099999999993</v>
      </c>
      <c r="O1399" s="10">
        <v>1599.8774999999996</v>
      </c>
      <c r="P1399" s="10">
        <v>0.28525446869738824</v>
      </c>
      <c r="Q1399" s="8">
        <v>5608.5974999999989</v>
      </c>
      <c r="R1399" t="s">
        <v>43</v>
      </c>
      <c r="S1399" t="s">
        <v>48</v>
      </c>
      <c r="T1399" t="s">
        <v>2931</v>
      </c>
      <c r="U1399">
        <v>0</v>
      </c>
      <c r="V1399" t="str">
        <f>IF(CleanedTable[[#This Row],[Returned]] = 0,"NO","Yes")</f>
        <v>NO</v>
      </c>
      <c r="W1399" t="s">
        <v>1448</v>
      </c>
      <c r="X1399" t="s">
        <v>2841</v>
      </c>
      <c r="Y1399" s="10">
        <v>49.71</v>
      </c>
      <c r="Z1399" s="3">
        <v>44930</v>
      </c>
      <c r="AA1399" s="3">
        <v>44934</v>
      </c>
      <c r="AB1399" t="s">
        <v>2926</v>
      </c>
      <c r="AC1399">
        <v>4</v>
      </c>
    </row>
    <row r="1400" spans="1:29" x14ac:dyDescent="0.3">
      <c r="A1400" s="3">
        <v>45048</v>
      </c>
      <c r="B1400" s="3" t="str">
        <f>TEXT(CleanedTable[[#This Row],[OrderDate]],"mmm")</f>
        <v>May</v>
      </c>
      <c r="C1400" s="3" t="str">
        <f>TEXT(CleanedTable[[#This Row],[OrderDate]],"yyyy")</f>
        <v>2023</v>
      </c>
      <c r="D1400" s="3" t="str">
        <f>TEXT(CleanedTable[[#This Row],[OrderDate]],"mmm yyyy")</f>
        <v>May 2023</v>
      </c>
      <c r="E1400" t="s">
        <v>23</v>
      </c>
      <c r="F1400" t="s">
        <v>28</v>
      </c>
      <c r="G1400" s="12">
        <v>16</v>
      </c>
      <c r="H1400" s="8">
        <v>483.09</v>
      </c>
      <c r="I1400" t="s">
        <v>33</v>
      </c>
      <c r="J1400" t="s">
        <v>35</v>
      </c>
      <c r="K1400" s="10">
        <v>0.05</v>
      </c>
      <c r="L1400" t="s">
        <v>38</v>
      </c>
      <c r="M1400">
        <v>7342.9679999999989</v>
      </c>
      <c r="N1400">
        <v>4637.6639999999998</v>
      </c>
      <c r="O1400" s="10">
        <v>2667.6439999999993</v>
      </c>
      <c r="P1400" s="10">
        <v>0.36329233628690738</v>
      </c>
      <c r="Q1400" s="8">
        <v>7342.9679999999989</v>
      </c>
      <c r="R1400" t="s">
        <v>46</v>
      </c>
      <c r="T1400" t="s">
        <v>2932</v>
      </c>
      <c r="U1400">
        <v>1</v>
      </c>
      <c r="V1400" t="str">
        <f>IF(CleanedTable[[#This Row],[Returned]] = 0,"NO","Yes")</f>
        <v>Yes</v>
      </c>
      <c r="W1400" t="s">
        <v>1449</v>
      </c>
      <c r="X1400" t="s">
        <v>2735</v>
      </c>
      <c r="Y1400" s="10">
        <v>37.659999999999997</v>
      </c>
      <c r="Z1400" s="3">
        <v>45048</v>
      </c>
      <c r="AA1400" s="3">
        <v>45051</v>
      </c>
      <c r="AB1400" t="s">
        <v>2926</v>
      </c>
      <c r="AC1400">
        <v>3</v>
      </c>
    </row>
    <row r="1401" spans="1:29" x14ac:dyDescent="0.3">
      <c r="A1401" s="3">
        <v>45116</v>
      </c>
      <c r="B1401" s="3" t="str">
        <f>TEXT(CleanedTable[[#This Row],[OrderDate]],"mmm")</f>
        <v>Jul</v>
      </c>
      <c r="C1401" s="3" t="str">
        <f>TEXT(CleanedTable[[#This Row],[OrderDate]],"yyyy")</f>
        <v>2023</v>
      </c>
      <c r="D1401" s="3" t="str">
        <f>TEXT(CleanedTable[[#This Row],[OrderDate]],"mmm yyyy")</f>
        <v>Jul 2023</v>
      </c>
      <c r="E1401" t="s">
        <v>19</v>
      </c>
      <c r="F1401" t="s">
        <v>25</v>
      </c>
      <c r="G1401" s="12">
        <v>13</v>
      </c>
      <c r="H1401" s="8">
        <v>27.39</v>
      </c>
      <c r="I1401" t="s">
        <v>31</v>
      </c>
      <c r="J1401" t="s">
        <v>36</v>
      </c>
      <c r="K1401" s="10">
        <v>0.15</v>
      </c>
      <c r="L1401" t="s">
        <v>39</v>
      </c>
      <c r="M1401">
        <v>302.65949999999998</v>
      </c>
      <c r="N1401">
        <v>213.64200000000002</v>
      </c>
      <c r="O1401" s="10">
        <v>66.067499999999953</v>
      </c>
      <c r="P1401" s="10">
        <v>0.21828986038766321</v>
      </c>
      <c r="Q1401" s="8">
        <v>302.65949999999998</v>
      </c>
      <c r="R1401" t="s">
        <v>47</v>
      </c>
      <c r="T1401" t="s">
        <v>2932</v>
      </c>
      <c r="U1401">
        <v>0</v>
      </c>
      <c r="V1401" t="str">
        <f>IF(CleanedTable[[#This Row],[Returned]] = 0,"NO","Yes")</f>
        <v>NO</v>
      </c>
      <c r="W1401" t="s">
        <v>1450</v>
      </c>
      <c r="X1401" t="s">
        <v>2842</v>
      </c>
      <c r="Y1401" s="10">
        <v>22.95</v>
      </c>
      <c r="Z1401" s="3">
        <v>45116</v>
      </c>
      <c r="AA1401" s="3">
        <v>45121</v>
      </c>
      <c r="AB1401" t="s">
        <v>2922</v>
      </c>
      <c r="AC1401">
        <v>5</v>
      </c>
    </row>
    <row r="1402" spans="1:29" x14ac:dyDescent="0.3">
      <c r="A1402" s="3">
        <v>45715</v>
      </c>
      <c r="B1402" s="3" t="str">
        <f>TEXT(CleanedTable[[#This Row],[OrderDate]],"mmm")</f>
        <v>Feb</v>
      </c>
      <c r="C1402" s="3" t="str">
        <f>TEXT(CleanedTable[[#This Row],[OrderDate]],"yyyy")</f>
        <v>2025</v>
      </c>
      <c r="D1402" s="3" t="str">
        <f>TEXT(CleanedTable[[#This Row],[OrderDate]],"mmm yyyy")</f>
        <v>Feb 2025</v>
      </c>
      <c r="E1402" t="s">
        <v>19</v>
      </c>
      <c r="F1402" t="s">
        <v>28</v>
      </c>
      <c r="G1402" s="12">
        <v>18</v>
      </c>
      <c r="H1402" s="8">
        <v>432.52</v>
      </c>
      <c r="I1402" t="s">
        <v>34</v>
      </c>
      <c r="J1402" t="s">
        <v>36</v>
      </c>
      <c r="K1402" s="10">
        <v>0.05</v>
      </c>
      <c r="L1402" t="s">
        <v>42</v>
      </c>
      <c r="M1402">
        <v>7396.0919999999996</v>
      </c>
      <c r="N1402">
        <v>4671.2160000000003</v>
      </c>
      <c r="O1402" s="10">
        <v>2690.6859999999992</v>
      </c>
      <c r="P1402" s="10">
        <v>0.36379834106985137</v>
      </c>
      <c r="Q1402" s="8">
        <v>7396.0919999999996</v>
      </c>
      <c r="R1402" t="s">
        <v>45</v>
      </c>
      <c r="S1402" t="s">
        <v>49</v>
      </c>
      <c r="T1402" t="s">
        <v>2931</v>
      </c>
      <c r="U1402">
        <v>1</v>
      </c>
      <c r="V1402" t="str">
        <f>IF(CleanedTable[[#This Row],[Returned]] = 0,"NO","Yes")</f>
        <v>Yes</v>
      </c>
      <c r="W1402" t="s">
        <v>1451</v>
      </c>
      <c r="X1402" t="s">
        <v>1563</v>
      </c>
      <c r="Y1402" s="10">
        <v>34.19</v>
      </c>
      <c r="Z1402" s="3">
        <v>45715</v>
      </c>
      <c r="AA1402" s="3">
        <v>45720</v>
      </c>
      <c r="AB1402" t="s">
        <v>2922</v>
      </c>
      <c r="AC1402">
        <v>5</v>
      </c>
    </row>
    <row r="1403" spans="1:29" x14ac:dyDescent="0.3">
      <c r="A1403" s="3">
        <v>45558</v>
      </c>
      <c r="B1403" s="3" t="str">
        <f>TEXT(CleanedTable[[#This Row],[OrderDate]],"mmm")</f>
        <v>Sep</v>
      </c>
      <c r="C1403" s="3" t="str">
        <f>TEXT(CleanedTable[[#This Row],[OrderDate]],"yyyy")</f>
        <v>2024</v>
      </c>
      <c r="D1403" s="3" t="str">
        <f>TEXT(CleanedTable[[#This Row],[OrderDate]],"mmm yyyy")</f>
        <v>Sep 2024</v>
      </c>
      <c r="E1403" t="s">
        <v>23</v>
      </c>
      <c r="F1403" t="s">
        <v>30</v>
      </c>
      <c r="G1403" s="12">
        <v>3</v>
      </c>
      <c r="H1403" s="8">
        <v>360.93</v>
      </c>
      <c r="I1403" t="s">
        <v>31</v>
      </c>
      <c r="J1403" t="s">
        <v>35</v>
      </c>
      <c r="K1403" s="10">
        <v>0.15</v>
      </c>
      <c r="L1403" t="s">
        <v>41</v>
      </c>
      <c r="M1403">
        <v>920.37149999999997</v>
      </c>
      <c r="N1403">
        <v>649.67399999999998</v>
      </c>
      <c r="O1403" s="10">
        <v>235.08749999999998</v>
      </c>
      <c r="P1403" s="10">
        <v>0.25542674887260197</v>
      </c>
      <c r="Q1403" s="8">
        <v>920.37149999999997</v>
      </c>
      <c r="R1403" t="s">
        <v>46</v>
      </c>
      <c r="S1403" t="s">
        <v>50</v>
      </c>
      <c r="T1403" t="s">
        <v>2931</v>
      </c>
      <c r="U1403">
        <v>0</v>
      </c>
      <c r="V1403" t="str">
        <f>IF(CleanedTable[[#This Row],[Returned]] = 0,"NO","Yes")</f>
        <v>NO</v>
      </c>
      <c r="W1403" t="s">
        <v>1452</v>
      </c>
      <c r="X1403" t="s">
        <v>2843</v>
      </c>
      <c r="Y1403" s="10">
        <v>35.61</v>
      </c>
      <c r="Z1403" s="3">
        <v>45558</v>
      </c>
      <c r="AA1403" s="3">
        <v>45564</v>
      </c>
      <c r="AB1403" t="s">
        <v>2926</v>
      </c>
      <c r="AC1403">
        <v>6</v>
      </c>
    </row>
    <row r="1404" spans="1:29" x14ac:dyDescent="0.3">
      <c r="A1404" s="3">
        <v>45830</v>
      </c>
      <c r="B1404" s="3" t="str">
        <f>TEXT(CleanedTable[[#This Row],[OrderDate]],"mmm")</f>
        <v>Jun</v>
      </c>
      <c r="C1404" s="3" t="str">
        <f>TEXT(CleanedTable[[#This Row],[OrderDate]],"yyyy")</f>
        <v>2025</v>
      </c>
      <c r="D1404" s="3" t="str">
        <f>TEXT(CleanedTable[[#This Row],[OrderDate]],"mmm yyyy")</f>
        <v>Jun 2025</v>
      </c>
      <c r="E1404" t="s">
        <v>19</v>
      </c>
      <c r="F1404" t="s">
        <v>29</v>
      </c>
      <c r="G1404" s="12">
        <v>5</v>
      </c>
      <c r="H1404" s="8">
        <v>414.58</v>
      </c>
      <c r="I1404" t="s">
        <v>31</v>
      </c>
      <c r="J1404" t="s">
        <v>36</v>
      </c>
      <c r="K1404" s="10">
        <v>0.1</v>
      </c>
      <c r="L1404" t="s">
        <v>41</v>
      </c>
      <c r="M1404">
        <v>1865.6100000000001</v>
      </c>
      <c r="N1404">
        <v>1243.74</v>
      </c>
      <c r="O1404" s="10">
        <v>606.8900000000001</v>
      </c>
      <c r="P1404" s="10">
        <v>0.32530378803715676</v>
      </c>
      <c r="Q1404" s="8">
        <v>1865.61</v>
      </c>
      <c r="R1404" t="s">
        <v>44</v>
      </c>
      <c r="T1404" t="s">
        <v>2932</v>
      </c>
      <c r="U1404">
        <v>0</v>
      </c>
      <c r="V1404" t="str">
        <f>IF(CleanedTable[[#This Row],[Returned]] = 0,"NO","Yes")</f>
        <v>NO</v>
      </c>
      <c r="W1404" t="s">
        <v>1453</v>
      </c>
      <c r="X1404" t="s">
        <v>2844</v>
      </c>
      <c r="Y1404" s="10">
        <v>14.98</v>
      </c>
      <c r="Z1404" s="3">
        <v>45830</v>
      </c>
      <c r="AA1404" s="3">
        <v>45839</v>
      </c>
      <c r="AB1404" t="s">
        <v>2922</v>
      </c>
      <c r="AC1404">
        <v>9</v>
      </c>
    </row>
    <row r="1405" spans="1:29" x14ac:dyDescent="0.3">
      <c r="A1405" s="3">
        <v>45676</v>
      </c>
      <c r="B1405" s="3" t="str">
        <f>TEXT(CleanedTable[[#This Row],[OrderDate]],"mmm")</f>
        <v>Jan</v>
      </c>
      <c r="C1405" s="3" t="str">
        <f>TEXT(CleanedTable[[#This Row],[OrderDate]],"yyyy")</f>
        <v>2025</v>
      </c>
      <c r="D1405" s="3" t="str">
        <f>TEXT(CleanedTable[[#This Row],[OrderDate]],"mmm yyyy")</f>
        <v>Jan 2025</v>
      </c>
      <c r="E1405" t="s">
        <v>22</v>
      </c>
      <c r="F1405" t="s">
        <v>29</v>
      </c>
      <c r="G1405" s="12">
        <v>4</v>
      </c>
      <c r="H1405" s="8">
        <v>68.040000000000006</v>
      </c>
      <c r="I1405" t="s">
        <v>33</v>
      </c>
      <c r="J1405" t="s">
        <v>35</v>
      </c>
      <c r="K1405" s="10">
        <v>0</v>
      </c>
      <c r="L1405" t="s">
        <v>42</v>
      </c>
      <c r="M1405">
        <v>272.16000000000003</v>
      </c>
      <c r="N1405">
        <v>163.29600000000002</v>
      </c>
      <c r="O1405" s="10">
        <v>90.144000000000005</v>
      </c>
      <c r="P1405" s="10">
        <v>0.33121693121693119</v>
      </c>
      <c r="Q1405" s="8">
        <v>272.16000000000003</v>
      </c>
      <c r="R1405" t="s">
        <v>43</v>
      </c>
      <c r="S1405" t="s">
        <v>48</v>
      </c>
      <c r="T1405" t="s">
        <v>2931</v>
      </c>
      <c r="U1405">
        <v>0</v>
      </c>
      <c r="V1405" t="str">
        <f>IF(CleanedTable[[#This Row],[Returned]] = 0,"NO","Yes")</f>
        <v>NO</v>
      </c>
      <c r="W1405" t="s">
        <v>1454</v>
      </c>
      <c r="X1405" t="s">
        <v>2845</v>
      </c>
      <c r="Y1405" s="10">
        <v>18.72</v>
      </c>
      <c r="Z1405" s="3">
        <v>45676</v>
      </c>
      <c r="AA1405" s="3">
        <v>45685</v>
      </c>
      <c r="AB1405" t="s">
        <v>2925</v>
      </c>
      <c r="AC1405">
        <v>9</v>
      </c>
    </row>
    <row r="1406" spans="1:29" x14ac:dyDescent="0.3">
      <c r="A1406" s="3">
        <v>45691</v>
      </c>
      <c r="B1406" s="3" t="str">
        <f>TEXT(CleanedTable[[#This Row],[OrderDate]],"mmm")</f>
        <v>Feb</v>
      </c>
      <c r="C1406" s="3" t="str">
        <f>TEXT(CleanedTable[[#This Row],[OrderDate]],"yyyy")</f>
        <v>2025</v>
      </c>
      <c r="D1406" s="3" t="str">
        <f>TEXT(CleanedTable[[#This Row],[OrderDate]],"mmm yyyy")</f>
        <v>Feb 2025</v>
      </c>
      <c r="E1406" t="s">
        <v>19</v>
      </c>
      <c r="F1406" t="s">
        <v>25</v>
      </c>
      <c r="G1406" s="12">
        <v>10</v>
      </c>
      <c r="H1406" s="8">
        <v>407.99</v>
      </c>
      <c r="I1406" t="s">
        <v>33</v>
      </c>
      <c r="J1406" t="s">
        <v>36</v>
      </c>
      <c r="K1406" s="10">
        <v>0.15</v>
      </c>
      <c r="L1406" t="s">
        <v>37</v>
      </c>
      <c r="M1406">
        <v>3467.915</v>
      </c>
      <c r="N1406">
        <v>2447.9399999999996</v>
      </c>
      <c r="O1406" s="10">
        <v>970.38500000000033</v>
      </c>
      <c r="P1406" s="10">
        <v>0.27981798861852158</v>
      </c>
      <c r="Q1406" s="8">
        <v>3467.915</v>
      </c>
      <c r="R1406" t="s">
        <v>47</v>
      </c>
      <c r="T1406" t="s">
        <v>2932</v>
      </c>
      <c r="U1406">
        <v>0</v>
      </c>
      <c r="V1406" t="str">
        <f>IF(CleanedTable[[#This Row],[Returned]] = 0,"NO","Yes")</f>
        <v>NO</v>
      </c>
      <c r="W1406" t="s">
        <v>1455</v>
      </c>
      <c r="X1406" t="s">
        <v>2846</v>
      </c>
      <c r="Y1406" s="10">
        <v>49.59</v>
      </c>
      <c r="Z1406" s="3">
        <v>45691</v>
      </c>
      <c r="AA1406" s="3">
        <v>45696</v>
      </c>
      <c r="AB1406" t="s">
        <v>2922</v>
      </c>
      <c r="AC1406">
        <v>5</v>
      </c>
    </row>
    <row r="1407" spans="1:29" x14ac:dyDescent="0.3">
      <c r="A1407" s="3">
        <v>45241</v>
      </c>
      <c r="B1407" s="3" t="str">
        <f>TEXT(CleanedTable[[#This Row],[OrderDate]],"mmm")</f>
        <v>Nov</v>
      </c>
      <c r="C1407" s="3" t="str">
        <f>TEXT(CleanedTable[[#This Row],[OrderDate]],"yyyy")</f>
        <v>2023</v>
      </c>
      <c r="D1407" s="3" t="str">
        <f>TEXT(CleanedTable[[#This Row],[OrderDate]],"mmm yyyy")</f>
        <v>Nov 2023</v>
      </c>
      <c r="E1407" t="s">
        <v>19</v>
      </c>
      <c r="F1407" t="s">
        <v>29</v>
      </c>
      <c r="G1407" s="12">
        <v>15</v>
      </c>
      <c r="H1407" s="8">
        <v>274.77</v>
      </c>
      <c r="I1407" t="s">
        <v>34</v>
      </c>
      <c r="J1407" t="s">
        <v>36</v>
      </c>
      <c r="K1407" s="10">
        <v>0</v>
      </c>
      <c r="L1407" t="s">
        <v>37</v>
      </c>
      <c r="M1407">
        <v>4121.5499999999993</v>
      </c>
      <c r="N1407">
        <v>2472.9299999999998</v>
      </c>
      <c r="O1407" s="10">
        <v>1629.2499999999995</v>
      </c>
      <c r="P1407" s="10">
        <v>0.39530031177590952</v>
      </c>
      <c r="Q1407" s="8">
        <v>4121.5499999999993</v>
      </c>
      <c r="R1407" t="s">
        <v>47</v>
      </c>
      <c r="T1407" t="s">
        <v>2932</v>
      </c>
      <c r="U1407">
        <v>1</v>
      </c>
      <c r="V1407" t="str">
        <f>IF(CleanedTable[[#This Row],[Returned]] = 0,"NO","Yes")</f>
        <v>Yes</v>
      </c>
      <c r="W1407" t="s">
        <v>1456</v>
      </c>
      <c r="X1407" t="s">
        <v>2847</v>
      </c>
      <c r="Y1407" s="10">
        <v>19.37</v>
      </c>
      <c r="Z1407" s="3">
        <v>45241</v>
      </c>
      <c r="AA1407" s="3">
        <v>45247</v>
      </c>
      <c r="AB1407" t="s">
        <v>2922</v>
      </c>
      <c r="AC1407">
        <v>6</v>
      </c>
    </row>
    <row r="1408" spans="1:29" x14ac:dyDescent="0.3">
      <c r="A1408" s="3">
        <v>45420</v>
      </c>
      <c r="B1408" s="3" t="str">
        <f>TEXT(CleanedTable[[#This Row],[OrderDate]],"mmm")</f>
        <v>May</v>
      </c>
      <c r="C1408" s="3" t="str">
        <f>TEXT(CleanedTable[[#This Row],[OrderDate]],"yyyy")</f>
        <v>2024</v>
      </c>
      <c r="D1408" s="3" t="str">
        <f>TEXT(CleanedTable[[#This Row],[OrderDate]],"mmm yyyy")</f>
        <v>May 2024</v>
      </c>
      <c r="E1408" t="s">
        <v>19</v>
      </c>
      <c r="F1408" t="s">
        <v>26</v>
      </c>
      <c r="G1408" s="12">
        <v>15</v>
      </c>
      <c r="H1408" s="8">
        <v>31.81</v>
      </c>
      <c r="I1408" t="s">
        <v>33</v>
      </c>
      <c r="J1408" t="s">
        <v>35</v>
      </c>
      <c r="K1408" s="10">
        <v>0.15</v>
      </c>
      <c r="L1408" t="s">
        <v>37</v>
      </c>
      <c r="M1408">
        <v>405.57749999999999</v>
      </c>
      <c r="N1408">
        <v>286.28999999999996</v>
      </c>
      <c r="O1408" s="10">
        <v>95.677500000000023</v>
      </c>
      <c r="P1408" s="10">
        <v>0.23590435859977446</v>
      </c>
      <c r="Q1408" s="8">
        <v>405.57749999999999</v>
      </c>
      <c r="R1408" t="s">
        <v>47</v>
      </c>
      <c r="S1408" t="s">
        <v>49</v>
      </c>
      <c r="T1408" t="s">
        <v>2931</v>
      </c>
      <c r="U1408">
        <v>0</v>
      </c>
      <c r="V1408" t="str">
        <f>IF(CleanedTable[[#This Row],[Returned]] = 0,"NO","Yes")</f>
        <v>NO</v>
      </c>
      <c r="W1408" t="s">
        <v>1457</v>
      </c>
      <c r="X1408" t="s">
        <v>2848</v>
      </c>
      <c r="Y1408" s="10">
        <v>23.61</v>
      </c>
      <c r="Z1408" s="3">
        <v>45420</v>
      </c>
      <c r="AA1408" s="3">
        <v>45422</v>
      </c>
      <c r="AB1408" t="s">
        <v>2922</v>
      </c>
      <c r="AC1408">
        <v>2</v>
      </c>
    </row>
    <row r="1409" spans="1:29" x14ac:dyDescent="0.3">
      <c r="A1409" s="3">
        <v>45187</v>
      </c>
      <c r="B1409" s="3" t="str">
        <f>TEXT(CleanedTable[[#This Row],[OrderDate]],"mmm")</f>
        <v>Sep</v>
      </c>
      <c r="C1409" s="3" t="str">
        <f>TEXT(CleanedTable[[#This Row],[OrderDate]],"yyyy")</f>
        <v>2023</v>
      </c>
      <c r="D1409" s="3" t="str">
        <f>TEXT(CleanedTable[[#This Row],[OrderDate]],"mmm yyyy")</f>
        <v>Sep 2023</v>
      </c>
      <c r="E1409" t="s">
        <v>20</v>
      </c>
      <c r="F1409" t="s">
        <v>30</v>
      </c>
      <c r="G1409" s="12">
        <v>14</v>
      </c>
      <c r="H1409" s="8">
        <v>268.32</v>
      </c>
      <c r="I1409" t="s">
        <v>34</v>
      </c>
      <c r="J1409" t="s">
        <v>36</v>
      </c>
      <c r="K1409" s="10">
        <v>0</v>
      </c>
      <c r="L1409" t="s">
        <v>39</v>
      </c>
      <c r="M1409">
        <v>3756.48</v>
      </c>
      <c r="N1409">
        <v>2253.8879999999999</v>
      </c>
      <c r="O1409" s="10">
        <v>1459.452</v>
      </c>
      <c r="P1409" s="10">
        <v>0.38851584462049576</v>
      </c>
      <c r="Q1409" s="8">
        <v>3756.48</v>
      </c>
      <c r="R1409" t="s">
        <v>43</v>
      </c>
      <c r="S1409" t="s">
        <v>50</v>
      </c>
      <c r="T1409" t="s">
        <v>2931</v>
      </c>
      <c r="U1409">
        <v>0</v>
      </c>
      <c r="V1409" t="str">
        <f>IF(CleanedTable[[#This Row],[Returned]] = 0,"NO","Yes")</f>
        <v>NO</v>
      </c>
      <c r="W1409" t="s">
        <v>1458</v>
      </c>
      <c r="X1409" t="s">
        <v>2849</v>
      </c>
      <c r="Y1409" s="10">
        <v>43.14</v>
      </c>
      <c r="Z1409" s="3">
        <v>45187</v>
      </c>
      <c r="AA1409" s="3">
        <v>45196</v>
      </c>
      <c r="AB1409" t="s">
        <v>2923</v>
      </c>
      <c r="AC1409">
        <v>9</v>
      </c>
    </row>
    <row r="1410" spans="1:29" x14ac:dyDescent="0.3">
      <c r="A1410" s="3">
        <v>45752</v>
      </c>
      <c r="B1410" s="3" t="str">
        <f>TEXT(CleanedTable[[#This Row],[OrderDate]],"mmm")</f>
        <v>Apr</v>
      </c>
      <c r="C1410" s="3" t="str">
        <f>TEXT(CleanedTable[[#This Row],[OrderDate]],"yyyy")</f>
        <v>2025</v>
      </c>
      <c r="D1410" s="3" t="str">
        <f>TEXT(CleanedTable[[#This Row],[OrderDate]],"mmm yyyy")</f>
        <v>Apr 2025</v>
      </c>
      <c r="E1410" t="s">
        <v>22</v>
      </c>
      <c r="F1410" t="s">
        <v>29</v>
      </c>
      <c r="G1410" s="12">
        <v>19</v>
      </c>
      <c r="H1410" s="8">
        <v>350.12</v>
      </c>
      <c r="I1410" t="s">
        <v>34</v>
      </c>
      <c r="J1410" t="s">
        <v>36</v>
      </c>
      <c r="K1410" s="10">
        <v>0.05</v>
      </c>
      <c r="L1410" t="s">
        <v>38</v>
      </c>
      <c r="M1410">
        <v>6319.6659999999993</v>
      </c>
      <c r="N1410">
        <v>3991.3679999999999</v>
      </c>
      <c r="O1410" s="10">
        <v>2279.3179999999993</v>
      </c>
      <c r="P1410" s="10">
        <v>0.3606706430371478</v>
      </c>
      <c r="Q1410" s="8">
        <v>6319.6659999999993</v>
      </c>
      <c r="R1410" t="s">
        <v>45</v>
      </c>
      <c r="S1410" t="s">
        <v>48</v>
      </c>
      <c r="T1410" t="s">
        <v>2931</v>
      </c>
      <c r="U1410">
        <v>0</v>
      </c>
      <c r="V1410" t="str">
        <f>IF(CleanedTable[[#This Row],[Returned]] = 0,"NO","Yes")</f>
        <v>NO</v>
      </c>
      <c r="W1410" t="s">
        <v>1459</v>
      </c>
      <c r="X1410" t="s">
        <v>2393</v>
      </c>
      <c r="Y1410" s="10">
        <v>48.98</v>
      </c>
      <c r="Z1410" s="3">
        <v>45752</v>
      </c>
      <c r="AA1410" s="3">
        <v>45760</v>
      </c>
      <c r="AB1410" t="s">
        <v>2925</v>
      </c>
      <c r="AC1410">
        <v>8</v>
      </c>
    </row>
    <row r="1411" spans="1:29" x14ac:dyDescent="0.3">
      <c r="A1411" s="3">
        <v>45182</v>
      </c>
      <c r="B1411" s="3" t="str">
        <f>TEXT(CleanedTable[[#This Row],[OrderDate]],"mmm")</f>
        <v>Sep</v>
      </c>
      <c r="C1411" s="3" t="str">
        <f>TEXT(CleanedTable[[#This Row],[OrderDate]],"yyyy")</f>
        <v>2023</v>
      </c>
      <c r="D1411" s="3" t="str">
        <f>TEXT(CleanedTable[[#This Row],[OrderDate]],"mmm yyyy")</f>
        <v>Sep 2023</v>
      </c>
      <c r="E1411" t="s">
        <v>22</v>
      </c>
      <c r="F1411" t="s">
        <v>26</v>
      </c>
      <c r="G1411" s="12">
        <v>9</v>
      </c>
      <c r="H1411" s="8">
        <v>329.15</v>
      </c>
      <c r="I1411" t="s">
        <v>32</v>
      </c>
      <c r="J1411" t="s">
        <v>36</v>
      </c>
      <c r="K1411" s="10">
        <v>0.05</v>
      </c>
      <c r="L1411" t="s">
        <v>41</v>
      </c>
      <c r="M1411">
        <v>2814.2324999999996</v>
      </c>
      <c r="N1411">
        <v>1777.4099999999999</v>
      </c>
      <c r="O1411" s="10">
        <v>1007.4124999999998</v>
      </c>
      <c r="P1411" s="10">
        <v>0.35797060122075908</v>
      </c>
      <c r="Q1411" s="8">
        <v>2814.2325000000001</v>
      </c>
      <c r="R1411" t="s">
        <v>44</v>
      </c>
      <c r="S1411" t="s">
        <v>48</v>
      </c>
      <c r="T1411" t="s">
        <v>2931</v>
      </c>
      <c r="U1411">
        <v>0</v>
      </c>
      <c r="V1411" t="str">
        <f>IF(CleanedTable[[#This Row],[Returned]] = 0,"NO","Yes")</f>
        <v>NO</v>
      </c>
      <c r="W1411" t="s">
        <v>1460</v>
      </c>
      <c r="X1411" t="s">
        <v>2850</v>
      </c>
      <c r="Y1411" s="10">
        <v>29.41</v>
      </c>
      <c r="Z1411" s="3">
        <v>45182</v>
      </c>
      <c r="AA1411" s="3">
        <v>45184</v>
      </c>
      <c r="AB1411" t="s">
        <v>2925</v>
      </c>
      <c r="AC1411">
        <v>2</v>
      </c>
    </row>
    <row r="1412" spans="1:29" x14ac:dyDescent="0.3">
      <c r="A1412" s="3">
        <v>45471</v>
      </c>
      <c r="B1412" s="3" t="str">
        <f>TEXT(CleanedTable[[#This Row],[OrderDate]],"mmm")</f>
        <v>Jun</v>
      </c>
      <c r="C1412" s="3" t="str">
        <f>TEXT(CleanedTable[[#This Row],[OrderDate]],"yyyy")</f>
        <v>2024</v>
      </c>
      <c r="D1412" s="3" t="str">
        <f>TEXT(CleanedTable[[#This Row],[OrderDate]],"mmm yyyy")</f>
        <v>Jun 2024</v>
      </c>
      <c r="E1412" t="s">
        <v>19</v>
      </c>
      <c r="F1412" t="s">
        <v>28</v>
      </c>
      <c r="G1412" s="12">
        <v>1</v>
      </c>
      <c r="H1412" s="8">
        <v>577.07000000000005</v>
      </c>
      <c r="I1412" t="s">
        <v>33</v>
      </c>
      <c r="J1412" t="s">
        <v>35</v>
      </c>
      <c r="K1412" s="10">
        <v>0.05</v>
      </c>
      <c r="L1412" t="s">
        <v>39</v>
      </c>
      <c r="M1412">
        <v>548.2165</v>
      </c>
      <c r="N1412">
        <v>346.24200000000002</v>
      </c>
      <c r="O1412" s="10">
        <v>179.00449999999998</v>
      </c>
      <c r="P1412" s="10">
        <v>0.32652154760026375</v>
      </c>
      <c r="Q1412" s="8">
        <v>548.2165</v>
      </c>
      <c r="R1412" t="s">
        <v>43</v>
      </c>
      <c r="S1412" t="s">
        <v>50</v>
      </c>
      <c r="T1412" t="s">
        <v>2931</v>
      </c>
      <c r="U1412">
        <v>0</v>
      </c>
      <c r="V1412" t="str">
        <f>IF(CleanedTable[[#This Row],[Returned]] = 0,"NO","Yes")</f>
        <v>NO</v>
      </c>
      <c r="W1412" t="s">
        <v>1461</v>
      </c>
      <c r="X1412" t="s">
        <v>2851</v>
      </c>
      <c r="Y1412" s="10">
        <v>22.97</v>
      </c>
      <c r="Z1412" s="3">
        <v>45471</v>
      </c>
      <c r="AA1412" s="3">
        <v>45479</v>
      </c>
      <c r="AB1412" t="s">
        <v>2922</v>
      </c>
      <c r="AC1412">
        <v>8</v>
      </c>
    </row>
    <row r="1413" spans="1:29" x14ac:dyDescent="0.3">
      <c r="A1413" s="3">
        <v>45022</v>
      </c>
      <c r="B1413" s="3" t="str">
        <f>TEXT(CleanedTable[[#This Row],[OrderDate]],"mmm")</f>
        <v>Apr</v>
      </c>
      <c r="C1413" s="3" t="str">
        <f>TEXT(CleanedTable[[#This Row],[OrderDate]],"yyyy")</f>
        <v>2023</v>
      </c>
      <c r="D1413" s="3" t="str">
        <f>TEXT(CleanedTable[[#This Row],[OrderDate]],"mmm yyyy")</f>
        <v>Apr 2023</v>
      </c>
      <c r="E1413" t="s">
        <v>22</v>
      </c>
      <c r="F1413" t="s">
        <v>27</v>
      </c>
      <c r="G1413" s="12">
        <v>6</v>
      </c>
      <c r="H1413" s="8">
        <v>544.33000000000004</v>
      </c>
      <c r="I1413" t="s">
        <v>31</v>
      </c>
      <c r="J1413" t="s">
        <v>35</v>
      </c>
      <c r="K1413" s="10">
        <v>0.1</v>
      </c>
      <c r="L1413" t="s">
        <v>40</v>
      </c>
      <c r="M1413">
        <v>2939.3820000000005</v>
      </c>
      <c r="N1413">
        <v>1959.5880000000002</v>
      </c>
      <c r="O1413" s="10">
        <v>968.27400000000034</v>
      </c>
      <c r="P1413" s="10">
        <v>0.32941414215641251</v>
      </c>
      <c r="Q1413" s="8">
        <v>2939.382000000001</v>
      </c>
      <c r="R1413" t="s">
        <v>47</v>
      </c>
      <c r="T1413" t="s">
        <v>2932</v>
      </c>
      <c r="U1413">
        <v>0</v>
      </c>
      <c r="V1413" t="str">
        <f>IF(CleanedTable[[#This Row],[Returned]] = 0,"NO","Yes")</f>
        <v>NO</v>
      </c>
      <c r="W1413" t="s">
        <v>1462</v>
      </c>
      <c r="X1413" t="s">
        <v>2009</v>
      </c>
      <c r="Y1413" s="10">
        <v>11.52</v>
      </c>
      <c r="Z1413" s="3">
        <v>45022</v>
      </c>
      <c r="AA1413" s="3">
        <v>45024</v>
      </c>
      <c r="AB1413" t="s">
        <v>2925</v>
      </c>
      <c r="AC1413">
        <v>2</v>
      </c>
    </row>
    <row r="1414" spans="1:29" x14ac:dyDescent="0.3">
      <c r="A1414" s="3">
        <v>45059</v>
      </c>
      <c r="B1414" s="3" t="str">
        <f>TEXT(CleanedTable[[#This Row],[OrderDate]],"mmm")</f>
        <v>May</v>
      </c>
      <c r="C1414" s="3" t="str">
        <f>TEXT(CleanedTable[[#This Row],[OrderDate]],"yyyy")</f>
        <v>2023</v>
      </c>
      <c r="D1414" s="3" t="str">
        <f>TEXT(CleanedTable[[#This Row],[OrderDate]],"mmm yyyy")</f>
        <v>May 2023</v>
      </c>
      <c r="E1414" t="s">
        <v>20</v>
      </c>
      <c r="F1414" t="s">
        <v>24</v>
      </c>
      <c r="G1414" s="12">
        <v>18</v>
      </c>
      <c r="H1414" s="8">
        <v>331.45</v>
      </c>
      <c r="I1414" t="s">
        <v>34</v>
      </c>
      <c r="J1414" t="s">
        <v>36</v>
      </c>
      <c r="K1414" s="10">
        <v>0.15</v>
      </c>
      <c r="L1414" t="s">
        <v>38</v>
      </c>
      <c r="M1414">
        <v>5071.1849999999995</v>
      </c>
      <c r="N1414">
        <v>3579.6599999999994</v>
      </c>
      <c r="O1414" s="10">
        <v>1458.605</v>
      </c>
      <c r="P1414" s="10">
        <v>0.28762606767451793</v>
      </c>
      <c r="Q1414" s="8">
        <v>5071.1849999999986</v>
      </c>
      <c r="R1414" t="s">
        <v>47</v>
      </c>
      <c r="S1414" t="s">
        <v>50</v>
      </c>
      <c r="T1414" t="s">
        <v>2931</v>
      </c>
      <c r="U1414">
        <v>1</v>
      </c>
      <c r="V1414" t="str">
        <f>IF(CleanedTable[[#This Row],[Returned]] = 0,"NO","Yes")</f>
        <v>Yes</v>
      </c>
      <c r="W1414" t="s">
        <v>1463</v>
      </c>
      <c r="X1414" t="s">
        <v>2562</v>
      </c>
      <c r="Y1414" s="10">
        <v>32.92</v>
      </c>
      <c r="Z1414" s="3">
        <v>45059</v>
      </c>
      <c r="AA1414" s="3">
        <v>45064</v>
      </c>
      <c r="AB1414" t="s">
        <v>2923</v>
      </c>
      <c r="AC1414">
        <v>5</v>
      </c>
    </row>
    <row r="1415" spans="1:29" x14ac:dyDescent="0.3">
      <c r="A1415" s="3">
        <v>45784</v>
      </c>
      <c r="B1415" s="3" t="str">
        <f>TEXT(CleanedTable[[#This Row],[OrderDate]],"mmm")</f>
        <v>May</v>
      </c>
      <c r="C1415" s="3" t="str">
        <f>TEXT(CleanedTable[[#This Row],[OrderDate]],"yyyy")</f>
        <v>2025</v>
      </c>
      <c r="D1415" s="3" t="str">
        <f>TEXT(CleanedTable[[#This Row],[OrderDate]],"mmm yyyy")</f>
        <v>May 2025</v>
      </c>
      <c r="E1415" t="s">
        <v>19</v>
      </c>
      <c r="F1415" t="s">
        <v>24</v>
      </c>
      <c r="G1415" s="12">
        <v>1</v>
      </c>
      <c r="H1415" s="8">
        <v>421.26</v>
      </c>
      <c r="I1415" t="s">
        <v>34</v>
      </c>
      <c r="J1415" t="s">
        <v>36</v>
      </c>
      <c r="K1415" s="10">
        <v>0.1</v>
      </c>
      <c r="L1415" t="s">
        <v>37</v>
      </c>
      <c r="M1415">
        <v>379.13400000000001</v>
      </c>
      <c r="N1415">
        <v>252.75599999999997</v>
      </c>
      <c r="O1415" s="10">
        <v>90.038000000000039</v>
      </c>
      <c r="P1415" s="10">
        <v>0.23748331724403518</v>
      </c>
      <c r="Q1415" s="8">
        <v>379.13400000000001</v>
      </c>
      <c r="R1415" t="s">
        <v>46</v>
      </c>
      <c r="S1415" t="s">
        <v>48</v>
      </c>
      <c r="T1415" t="s">
        <v>2931</v>
      </c>
      <c r="U1415">
        <v>0</v>
      </c>
      <c r="V1415" t="str">
        <f>IF(CleanedTable[[#This Row],[Returned]] = 0,"NO","Yes")</f>
        <v>NO</v>
      </c>
      <c r="W1415" t="s">
        <v>1464</v>
      </c>
      <c r="X1415" t="s">
        <v>2852</v>
      </c>
      <c r="Y1415" s="10">
        <v>36.340000000000003</v>
      </c>
      <c r="Z1415" s="3">
        <v>45784</v>
      </c>
      <c r="AA1415" s="3">
        <v>45792</v>
      </c>
      <c r="AB1415" t="s">
        <v>2922</v>
      </c>
      <c r="AC1415">
        <v>8</v>
      </c>
    </row>
    <row r="1416" spans="1:29" x14ac:dyDescent="0.3">
      <c r="A1416" s="3">
        <v>45738</v>
      </c>
      <c r="B1416" s="3" t="str">
        <f>TEXT(CleanedTable[[#This Row],[OrderDate]],"mmm")</f>
        <v>Mar</v>
      </c>
      <c r="C1416" s="3" t="str">
        <f>TEXT(CleanedTable[[#This Row],[OrderDate]],"yyyy")</f>
        <v>2025</v>
      </c>
      <c r="D1416" s="3" t="str">
        <f>TEXT(CleanedTable[[#This Row],[OrderDate]],"mmm yyyy")</f>
        <v>Mar 2025</v>
      </c>
      <c r="E1416" t="s">
        <v>21</v>
      </c>
      <c r="F1416" t="s">
        <v>29</v>
      </c>
      <c r="G1416" s="12">
        <v>4</v>
      </c>
      <c r="H1416" s="8">
        <v>555.02</v>
      </c>
      <c r="I1416" t="s">
        <v>31</v>
      </c>
      <c r="J1416" t="s">
        <v>36</v>
      </c>
      <c r="K1416" s="10">
        <v>0.1</v>
      </c>
      <c r="L1416" t="s">
        <v>41</v>
      </c>
      <c r="M1416">
        <v>1998.0719999999999</v>
      </c>
      <c r="N1416">
        <v>1332.048</v>
      </c>
      <c r="O1416" s="10">
        <v>620.77399999999989</v>
      </c>
      <c r="P1416" s="10">
        <v>0.31068650178772333</v>
      </c>
      <c r="Q1416" s="8">
        <v>1998.0719999999999</v>
      </c>
      <c r="R1416" t="s">
        <v>47</v>
      </c>
      <c r="S1416" t="s">
        <v>49</v>
      </c>
      <c r="T1416" t="s">
        <v>2931</v>
      </c>
      <c r="U1416">
        <v>0</v>
      </c>
      <c r="V1416" t="str">
        <f>IF(CleanedTable[[#This Row],[Returned]] = 0,"NO","Yes")</f>
        <v>NO</v>
      </c>
      <c r="W1416" t="s">
        <v>1465</v>
      </c>
      <c r="X1416" t="s">
        <v>2853</v>
      </c>
      <c r="Y1416" s="10">
        <v>45.25</v>
      </c>
      <c r="Z1416" s="3">
        <v>45738</v>
      </c>
      <c r="AA1416" s="3">
        <v>45743</v>
      </c>
      <c r="AB1416" t="s">
        <v>2924</v>
      </c>
      <c r="AC1416">
        <v>5</v>
      </c>
    </row>
    <row r="1417" spans="1:29" x14ac:dyDescent="0.3">
      <c r="A1417" s="3">
        <v>45467</v>
      </c>
      <c r="B1417" s="3" t="str">
        <f>TEXT(CleanedTable[[#This Row],[OrderDate]],"mmm")</f>
        <v>Jun</v>
      </c>
      <c r="C1417" s="3" t="str">
        <f>TEXT(CleanedTable[[#This Row],[OrderDate]],"yyyy")</f>
        <v>2024</v>
      </c>
      <c r="D1417" s="3" t="str">
        <f>TEXT(CleanedTable[[#This Row],[OrderDate]],"mmm yyyy")</f>
        <v>Jun 2024</v>
      </c>
      <c r="E1417" t="s">
        <v>20</v>
      </c>
      <c r="F1417" t="s">
        <v>24</v>
      </c>
      <c r="G1417" s="12">
        <v>19</v>
      </c>
      <c r="H1417" s="8">
        <v>254.03</v>
      </c>
      <c r="I1417" t="s">
        <v>33</v>
      </c>
      <c r="J1417" t="s">
        <v>35</v>
      </c>
      <c r="K1417" s="10">
        <v>0</v>
      </c>
      <c r="L1417" t="s">
        <v>39</v>
      </c>
      <c r="M1417">
        <v>4826.57</v>
      </c>
      <c r="N1417">
        <v>2895.942</v>
      </c>
      <c r="O1417" s="10">
        <v>1919.4179999999997</v>
      </c>
      <c r="P1417" s="10">
        <v>0.39767743967247959</v>
      </c>
      <c r="Q1417" s="8">
        <v>4826.57</v>
      </c>
      <c r="R1417" t="s">
        <v>43</v>
      </c>
      <c r="S1417" t="s">
        <v>49</v>
      </c>
      <c r="T1417" t="s">
        <v>2931</v>
      </c>
      <c r="U1417">
        <v>1</v>
      </c>
      <c r="V1417" t="str">
        <f>IF(CleanedTable[[#This Row],[Returned]] = 0,"NO","Yes")</f>
        <v>Yes</v>
      </c>
      <c r="W1417" t="s">
        <v>1466</v>
      </c>
      <c r="X1417" t="s">
        <v>2382</v>
      </c>
      <c r="Y1417" s="10">
        <v>11.21</v>
      </c>
      <c r="Z1417" s="3">
        <v>45467</v>
      </c>
      <c r="AA1417" s="3">
        <v>45475</v>
      </c>
      <c r="AB1417" t="s">
        <v>2923</v>
      </c>
      <c r="AC1417">
        <v>8</v>
      </c>
    </row>
    <row r="1418" spans="1:29" x14ac:dyDescent="0.3">
      <c r="A1418" s="3">
        <v>45837</v>
      </c>
      <c r="B1418" s="3" t="str">
        <f>TEXT(CleanedTable[[#This Row],[OrderDate]],"mmm")</f>
        <v>Jun</v>
      </c>
      <c r="C1418" s="3" t="str">
        <f>TEXT(CleanedTable[[#This Row],[OrderDate]],"yyyy")</f>
        <v>2025</v>
      </c>
      <c r="D1418" s="3" t="str">
        <f>TEXT(CleanedTable[[#This Row],[OrderDate]],"mmm yyyy")</f>
        <v>Jun 2025</v>
      </c>
      <c r="E1418" t="s">
        <v>23</v>
      </c>
      <c r="F1418" t="s">
        <v>29</v>
      </c>
      <c r="G1418" s="12">
        <v>9</v>
      </c>
      <c r="H1418" s="8">
        <v>533.92999999999995</v>
      </c>
      <c r="I1418" t="s">
        <v>34</v>
      </c>
      <c r="J1418" t="s">
        <v>36</v>
      </c>
      <c r="K1418" s="10">
        <v>0.15</v>
      </c>
      <c r="L1418" t="s">
        <v>39</v>
      </c>
      <c r="M1418">
        <v>4084.5645</v>
      </c>
      <c r="N1418">
        <v>2883.2219999999998</v>
      </c>
      <c r="O1418" s="10">
        <v>1166.5825000000002</v>
      </c>
      <c r="P1418" s="10">
        <v>0.28560755987572245</v>
      </c>
      <c r="Q1418" s="8">
        <v>4084.5645</v>
      </c>
      <c r="R1418" t="s">
        <v>44</v>
      </c>
      <c r="T1418" t="s">
        <v>2932</v>
      </c>
      <c r="U1418">
        <v>0</v>
      </c>
      <c r="V1418" t="str">
        <f>IF(CleanedTable[[#This Row],[Returned]] = 0,"NO","Yes")</f>
        <v>NO</v>
      </c>
      <c r="W1418" t="s">
        <v>1467</v>
      </c>
      <c r="X1418" t="s">
        <v>2854</v>
      </c>
      <c r="Y1418" s="10">
        <v>34.76</v>
      </c>
      <c r="Z1418" s="3">
        <v>45837</v>
      </c>
      <c r="AA1418" s="3">
        <v>45841</v>
      </c>
      <c r="AB1418" t="s">
        <v>2926</v>
      </c>
      <c r="AC1418">
        <v>4</v>
      </c>
    </row>
    <row r="1419" spans="1:29" x14ac:dyDescent="0.3">
      <c r="A1419" s="3">
        <v>45383</v>
      </c>
      <c r="B1419" s="3" t="str">
        <f>TEXT(CleanedTable[[#This Row],[OrderDate]],"mmm")</f>
        <v>Apr</v>
      </c>
      <c r="C1419" s="3" t="str">
        <f>TEXT(CleanedTable[[#This Row],[OrderDate]],"yyyy")</f>
        <v>2024</v>
      </c>
      <c r="D1419" s="3" t="str">
        <f>TEXT(CleanedTable[[#This Row],[OrderDate]],"mmm yyyy")</f>
        <v>Apr 2024</v>
      </c>
      <c r="E1419" t="s">
        <v>23</v>
      </c>
      <c r="F1419" t="s">
        <v>26</v>
      </c>
      <c r="G1419" s="12">
        <v>7</v>
      </c>
      <c r="H1419" s="8">
        <v>241.35</v>
      </c>
      <c r="I1419" t="s">
        <v>31</v>
      </c>
      <c r="J1419" t="s">
        <v>35</v>
      </c>
      <c r="K1419" s="10">
        <v>0.1</v>
      </c>
      <c r="L1419" t="s">
        <v>41</v>
      </c>
      <c r="M1419">
        <v>1520.5050000000001</v>
      </c>
      <c r="N1419">
        <v>1013.6700000000001</v>
      </c>
      <c r="O1419" s="10">
        <v>464.40500000000003</v>
      </c>
      <c r="P1419" s="10">
        <v>0.30542813078549563</v>
      </c>
      <c r="Q1419" s="8">
        <v>1520.5050000000001</v>
      </c>
      <c r="R1419" t="s">
        <v>45</v>
      </c>
      <c r="S1419" t="s">
        <v>49</v>
      </c>
      <c r="T1419" t="s">
        <v>2931</v>
      </c>
      <c r="U1419">
        <v>0</v>
      </c>
      <c r="V1419" t="str">
        <f>IF(CleanedTable[[#This Row],[Returned]] = 0,"NO","Yes")</f>
        <v>NO</v>
      </c>
      <c r="W1419" t="s">
        <v>1468</v>
      </c>
      <c r="X1419" t="s">
        <v>2855</v>
      </c>
      <c r="Y1419" s="10">
        <v>42.43</v>
      </c>
      <c r="Z1419" s="3">
        <v>45383</v>
      </c>
      <c r="AA1419" s="3">
        <v>45392</v>
      </c>
      <c r="AB1419" t="s">
        <v>2926</v>
      </c>
      <c r="AC1419">
        <v>9</v>
      </c>
    </row>
    <row r="1420" spans="1:29" x14ac:dyDescent="0.3">
      <c r="A1420" s="3">
        <v>45447</v>
      </c>
      <c r="B1420" s="3" t="str">
        <f>TEXT(CleanedTable[[#This Row],[OrderDate]],"mmm")</f>
        <v>Jun</v>
      </c>
      <c r="C1420" s="3" t="str">
        <f>TEXT(CleanedTable[[#This Row],[OrderDate]],"yyyy")</f>
        <v>2024</v>
      </c>
      <c r="D1420" s="3" t="str">
        <f>TEXT(CleanedTable[[#This Row],[OrderDate]],"mmm yyyy")</f>
        <v>Jun 2024</v>
      </c>
      <c r="E1420" t="s">
        <v>21</v>
      </c>
      <c r="F1420" t="s">
        <v>29</v>
      </c>
      <c r="G1420" s="12">
        <v>11</v>
      </c>
      <c r="H1420" s="8">
        <v>160.37</v>
      </c>
      <c r="I1420" t="s">
        <v>31</v>
      </c>
      <c r="J1420" t="s">
        <v>35</v>
      </c>
      <c r="K1420" s="10">
        <v>0.05</v>
      </c>
      <c r="L1420" t="s">
        <v>40</v>
      </c>
      <c r="M1420">
        <v>1675.8665000000001</v>
      </c>
      <c r="N1420">
        <v>1058.442</v>
      </c>
      <c r="O1420" s="10">
        <v>581.37450000000013</v>
      </c>
      <c r="P1420" s="10">
        <v>0.34690979263563065</v>
      </c>
      <c r="Q1420" s="8">
        <v>1675.8665000000001</v>
      </c>
      <c r="R1420" t="s">
        <v>47</v>
      </c>
      <c r="T1420" t="s">
        <v>2932</v>
      </c>
      <c r="U1420">
        <v>0</v>
      </c>
      <c r="V1420" t="str">
        <f>IF(CleanedTable[[#This Row],[Returned]] = 0,"NO","Yes")</f>
        <v>NO</v>
      </c>
      <c r="W1420" t="s">
        <v>1469</v>
      </c>
      <c r="X1420" t="s">
        <v>2856</v>
      </c>
      <c r="Y1420" s="10">
        <v>36.049999999999997</v>
      </c>
      <c r="Z1420" s="3">
        <v>45447</v>
      </c>
      <c r="AA1420" s="3">
        <v>45457</v>
      </c>
      <c r="AB1420" t="s">
        <v>2924</v>
      </c>
      <c r="AC1420">
        <v>10</v>
      </c>
    </row>
    <row r="1421" spans="1:29" x14ac:dyDescent="0.3">
      <c r="A1421" s="3">
        <v>45015</v>
      </c>
      <c r="B1421" s="3" t="str">
        <f>TEXT(CleanedTable[[#This Row],[OrderDate]],"mmm")</f>
        <v>Mar</v>
      </c>
      <c r="C1421" s="3" t="str">
        <f>TEXT(CleanedTable[[#This Row],[OrderDate]],"yyyy")</f>
        <v>2023</v>
      </c>
      <c r="D1421" s="3" t="str">
        <f>TEXT(CleanedTable[[#This Row],[OrderDate]],"mmm yyyy")</f>
        <v>Mar 2023</v>
      </c>
      <c r="E1421" t="s">
        <v>19</v>
      </c>
      <c r="F1421" t="s">
        <v>29</v>
      </c>
      <c r="G1421" s="12">
        <v>1</v>
      </c>
      <c r="H1421" s="8">
        <v>419.1</v>
      </c>
      <c r="I1421" t="s">
        <v>31</v>
      </c>
      <c r="J1421" t="s">
        <v>35</v>
      </c>
      <c r="K1421" s="10">
        <v>0.1</v>
      </c>
      <c r="L1421" t="s">
        <v>40</v>
      </c>
      <c r="M1421">
        <v>377.19000000000005</v>
      </c>
      <c r="N1421">
        <v>251.46</v>
      </c>
      <c r="O1421" s="10">
        <v>86.920000000000044</v>
      </c>
      <c r="P1421" s="10">
        <v>0.23044089185821479</v>
      </c>
      <c r="Q1421" s="8">
        <v>377.19000000000011</v>
      </c>
      <c r="R1421" t="s">
        <v>44</v>
      </c>
      <c r="S1421" t="s">
        <v>49</v>
      </c>
      <c r="T1421" t="s">
        <v>2931</v>
      </c>
      <c r="U1421">
        <v>1</v>
      </c>
      <c r="V1421" t="str">
        <f>IF(CleanedTable[[#This Row],[Returned]] = 0,"NO","Yes")</f>
        <v>Yes</v>
      </c>
      <c r="W1421" t="s">
        <v>1470</v>
      </c>
      <c r="X1421" t="s">
        <v>2857</v>
      </c>
      <c r="Y1421" s="10">
        <v>38.81</v>
      </c>
      <c r="Z1421" s="3">
        <v>45015</v>
      </c>
      <c r="AA1421" s="3">
        <v>45022</v>
      </c>
      <c r="AB1421" t="s">
        <v>2922</v>
      </c>
      <c r="AC1421">
        <v>7</v>
      </c>
    </row>
    <row r="1422" spans="1:29" x14ac:dyDescent="0.3">
      <c r="A1422" s="3">
        <v>45742</v>
      </c>
      <c r="B1422" s="3" t="str">
        <f>TEXT(CleanedTable[[#This Row],[OrderDate]],"mmm")</f>
        <v>Mar</v>
      </c>
      <c r="C1422" s="3" t="str">
        <f>TEXT(CleanedTable[[#This Row],[OrderDate]],"yyyy")</f>
        <v>2025</v>
      </c>
      <c r="D1422" s="3" t="str">
        <f>TEXT(CleanedTable[[#This Row],[OrderDate]],"mmm yyyy")</f>
        <v>Mar 2025</v>
      </c>
      <c r="E1422" t="s">
        <v>19</v>
      </c>
      <c r="F1422" t="s">
        <v>24</v>
      </c>
      <c r="G1422" s="12">
        <v>13</v>
      </c>
      <c r="H1422" s="8">
        <v>138.72</v>
      </c>
      <c r="I1422" t="s">
        <v>34</v>
      </c>
      <c r="J1422" t="s">
        <v>35</v>
      </c>
      <c r="K1422" s="10">
        <v>0.15</v>
      </c>
      <c r="L1422" t="s">
        <v>40</v>
      </c>
      <c r="M1422">
        <v>1532.8559999999998</v>
      </c>
      <c r="N1422">
        <v>1082.0160000000001</v>
      </c>
      <c r="O1422" s="10">
        <v>432.9499999999997</v>
      </c>
      <c r="P1422" s="10">
        <v>0.2824466225137911</v>
      </c>
      <c r="Q1422" s="8">
        <v>1532.856</v>
      </c>
      <c r="R1422" t="s">
        <v>47</v>
      </c>
      <c r="S1422" t="s">
        <v>50</v>
      </c>
      <c r="T1422" t="s">
        <v>2931</v>
      </c>
      <c r="U1422">
        <v>1</v>
      </c>
      <c r="V1422" t="str">
        <f>IF(CleanedTable[[#This Row],[Returned]] = 0,"NO","Yes")</f>
        <v>Yes</v>
      </c>
      <c r="W1422" t="s">
        <v>1471</v>
      </c>
      <c r="X1422" t="s">
        <v>2858</v>
      </c>
      <c r="Y1422" s="10">
        <v>17.89</v>
      </c>
      <c r="Z1422" s="3">
        <v>45742</v>
      </c>
      <c r="AA1422" s="3">
        <v>45744</v>
      </c>
      <c r="AB1422" t="s">
        <v>2922</v>
      </c>
      <c r="AC1422">
        <v>2</v>
      </c>
    </row>
    <row r="1423" spans="1:29" x14ac:dyDescent="0.3">
      <c r="A1423" s="3">
        <v>45160</v>
      </c>
      <c r="B1423" s="3" t="str">
        <f>TEXT(CleanedTable[[#This Row],[OrderDate]],"mmm")</f>
        <v>Aug</v>
      </c>
      <c r="C1423" s="3" t="str">
        <f>TEXT(CleanedTable[[#This Row],[OrderDate]],"yyyy")</f>
        <v>2023</v>
      </c>
      <c r="D1423" s="3" t="str">
        <f>TEXT(CleanedTable[[#This Row],[OrderDate]],"mmm yyyy")</f>
        <v>Aug 2023</v>
      </c>
      <c r="E1423" t="s">
        <v>23</v>
      </c>
      <c r="F1423" t="s">
        <v>28</v>
      </c>
      <c r="G1423" s="12">
        <v>8</v>
      </c>
      <c r="H1423" s="8">
        <v>461.04</v>
      </c>
      <c r="I1423" t="s">
        <v>31</v>
      </c>
      <c r="J1423" t="s">
        <v>36</v>
      </c>
      <c r="K1423" s="10">
        <v>0</v>
      </c>
      <c r="L1423" t="s">
        <v>38</v>
      </c>
      <c r="M1423">
        <v>3688.32</v>
      </c>
      <c r="N1423">
        <v>2212.9920000000002</v>
      </c>
      <c r="O1423" s="10">
        <v>1461.7080000000001</v>
      </c>
      <c r="P1423" s="10">
        <v>0.39630726184279019</v>
      </c>
      <c r="Q1423" s="8">
        <v>3688.32</v>
      </c>
      <c r="R1423" t="s">
        <v>43</v>
      </c>
      <c r="S1423" t="s">
        <v>48</v>
      </c>
      <c r="T1423" t="s">
        <v>2931</v>
      </c>
      <c r="U1423">
        <v>0</v>
      </c>
      <c r="V1423" t="str">
        <f>IF(CleanedTable[[#This Row],[Returned]] = 0,"NO","Yes")</f>
        <v>NO</v>
      </c>
      <c r="W1423" t="s">
        <v>1472</v>
      </c>
      <c r="X1423" t="s">
        <v>2859</v>
      </c>
      <c r="Y1423" s="10">
        <v>13.62</v>
      </c>
      <c r="Z1423" s="3">
        <v>45160</v>
      </c>
      <c r="AA1423" s="3">
        <v>45162</v>
      </c>
      <c r="AB1423" t="s">
        <v>2926</v>
      </c>
      <c r="AC1423">
        <v>2</v>
      </c>
    </row>
    <row r="1424" spans="1:29" x14ac:dyDescent="0.3">
      <c r="A1424" s="3">
        <v>45398</v>
      </c>
      <c r="B1424" s="3" t="str">
        <f>TEXT(CleanedTable[[#This Row],[OrderDate]],"mmm")</f>
        <v>Apr</v>
      </c>
      <c r="C1424" s="3" t="str">
        <f>TEXT(CleanedTable[[#This Row],[OrderDate]],"yyyy")</f>
        <v>2024</v>
      </c>
      <c r="D1424" s="3" t="str">
        <f>TEXT(CleanedTable[[#This Row],[OrderDate]],"mmm yyyy")</f>
        <v>Apr 2024</v>
      </c>
      <c r="E1424" t="s">
        <v>20</v>
      </c>
      <c r="F1424" t="s">
        <v>25</v>
      </c>
      <c r="G1424" s="12">
        <v>6</v>
      </c>
      <c r="H1424" s="8">
        <v>524.19000000000005</v>
      </c>
      <c r="I1424" t="s">
        <v>34</v>
      </c>
      <c r="J1424" t="s">
        <v>36</v>
      </c>
      <c r="K1424" s="10">
        <v>0.15</v>
      </c>
      <c r="L1424" t="s">
        <v>39</v>
      </c>
      <c r="M1424">
        <v>2673.3690000000001</v>
      </c>
      <c r="N1424">
        <v>1887.0840000000001</v>
      </c>
      <c r="O1424" s="10">
        <v>755.24500000000012</v>
      </c>
      <c r="P1424" s="10">
        <v>0.2825068293976627</v>
      </c>
      <c r="Q1424" s="8">
        <v>2673.3690000000001</v>
      </c>
      <c r="R1424" t="s">
        <v>47</v>
      </c>
      <c r="S1424" t="s">
        <v>50</v>
      </c>
      <c r="T1424" t="s">
        <v>2931</v>
      </c>
      <c r="U1424">
        <v>0</v>
      </c>
      <c r="V1424" t="str">
        <f>IF(CleanedTable[[#This Row],[Returned]] = 0,"NO","Yes")</f>
        <v>NO</v>
      </c>
      <c r="W1424" t="s">
        <v>1473</v>
      </c>
      <c r="X1424" t="s">
        <v>2128</v>
      </c>
      <c r="Y1424" s="10">
        <v>31.04</v>
      </c>
      <c r="Z1424" s="3">
        <v>45398</v>
      </c>
      <c r="AA1424" s="3">
        <v>45402</v>
      </c>
      <c r="AB1424" t="s">
        <v>2923</v>
      </c>
      <c r="AC1424">
        <v>4</v>
      </c>
    </row>
    <row r="1425" spans="1:29" x14ac:dyDescent="0.3">
      <c r="A1425" s="3">
        <v>45788</v>
      </c>
      <c r="B1425" s="3" t="str">
        <f>TEXT(CleanedTable[[#This Row],[OrderDate]],"mmm")</f>
        <v>May</v>
      </c>
      <c r="C1425" s="3" t="str">
        <f>TEXT(CleanedTable[[#This Row],[OrderDate]],"yyyy")</f>
        <v>2025</v>
      </c>
      <c r="D1425" s="3" t="str">
        <f>TEXT(CleanedTable[[#This Row],[OrderDate]],"mmm yyyy")</f>
        <v>May 2025</v>
      </c>
      <c r="E1425" t="s">
        <v>22</v>
      </c>
      <c r="F1425" t="s">
        <v>27</v>
      </c>
      <c r="G1425" s="12">
        <v>16</v>
      </c>
      <c r="H1425" s="8">
        <v>305.20999999999998</v>
      </c>
      <c r="I1425" t="s">
        <v>32</v>
      </c>
      <c r="J1425" t="s">
        <v>35</v>
      </c>
      <c r="K1425" s="10">
        <v>0.1</v>
      </c>
      <c r="L1425" t="s">
        <v>38</v>
      </c>
      <c r="M1425">
        <v>4395.0239999999994</v>
      </c>
      <c r="N1425">
        <v>2930.0159999999996</v>
      </c>
      <c r="O1425" s="10">
        <v>1431.6379999999999</v>
      </c>
      <c r="P1425" s="10">
        <v>0.32574065579619138</v>
      </c>
      <c r="Q1425" s="8">
        <v>4395.0239999999994</v>
      </c>
      <c r="R1425" t="s">
        <v>46</v>
      </c>
      <c r="S1425" t="s">
        <v>49</v>
      </c>
      <c r="T1425" t="s">
        <v>2931</v>
      </c>
      <c r="U1425">
        <v>0</v>
      </c>
      <c r="V1425" t="str">
        <f>IF(CleanedTable[[#This Row],[Returned]] = 0,"NO","Yes")</f>
        <v>NO</v>
      </c>
      <c r="W1425" t="s">
        <v>1474</v>
      </c>
      <c r="X1425" t="s">
        <v>1910</v>
      </c>
      <c r="Y1425" s="10">
        <v>33.369999999999997</v>
      </c>
      <c r="Z1425" s="3">
        <v>45788</v>
      </c>
      <c r="AA1425" s="3">
        <v>45796</v>
      </c>
      <c r="AB1425" t="s">
        <v>2925</v>
      </c>
      <c r="AC1425">
        <v>8</v>
      </c>
    </row>
    <row r="1426" spans="1:29" x14ac:dyDescent="0.3">
      <c r="A1426" s="3">
        <v>45271</v>
      </c>
      <c r="B1426" s="3" t="str">
        <f>TEXT(CleanedTable[[#This Row],[OrderDate]],"mmm")</f>
        <v>Dec</v>
      </c>
      <c r="C1426" s="3" t="str">
        <f>TEXT(CleanedTable[[#This Row],[OrderDate]],"yyyy")</f>
        <v>2023</v>
      </c>
      <c r="D1426" s="3" t="str">
        <f>TEXT(CleanedTable[[#This Row],[OrderDate]],"mmm yyyy")</f>
        <v>Dec 2023</v>
      </c>
      <c r="E1426" t="s">
        <v>21</v>
      </c>
      <c r="F1426" t="s">
        <v>30</v>
      </c>
      <c r="G1426" s="12">
        <v>16</v>
      </c>
      <c r="H1426" s="8">
        <v>438.71</v>
      </c>
      <c r="I1426" t="s">
        <v>33</v>
      </c>
      <c r="J1426" t="s">
        <v>36</v>
      </c>
      <c r="K1426" s="10">
        <v>0</v>
      </c>
      <c r="L1426" t="s">
        <v>38</v>
      </c>
      <c r="M1426">
        <v>7019.36</v>
      </c>
      <c r="N1426">
        <v>4211.616</v>
      </c>
      <c r="O1426" s="10">
        <v>2801.2139999999995</v>
      </c>
      <c r="P1426" s="10">
        <v>0.39906971575756189</v>
      </c>
      <c r="Q1426" s="8">
        <v>7019.36</v>
      </c>
      <c r="R1426" t="s">
        <v>43</v>
      </c>
      <c r="T1426" t="s">
        <v>2932</v>
      </c>
      <c r="U1426">
        <v>0</v>
      </c>
      <c r="V1426" t="str">
        <f>IF(CleanedTable[[#This Row],[Returned]] = 0,"NO","Yes")</f>
        <v>NO</v>
      </c>
      <c r="W1426" t="s">
        <v>1475</v>
      </c>
      <c r="X1426" t="s">
        <v>2860</v>
      </c>
      <c r="Y1426" s="10">
        <v>6.53</v>
      </c>
      <c r="Z1426" s="3">
        <v>45271</v>
      </c>
      <c r="AA1426" s="3">
        <v>45281</v>
      </c>
      <c r="AB1426" t="s">
        <v>2924</v>
      </c>
      <c r="AC1426">
        <v>10</v>
      </c>
    </row>
    <row r="1427" spans="1:29" x14ac:dyDescent="0.3">
      <c r="A1427" s="3">
        <v>44942</v>
      </c>
      <c r="B1427" s="3" t="str">
        <f>TEXT(CleanedTable[[#This Row],[OrderDate]],"mmm")</f>
        <v>Jan</v>
      </c>
      <c r="C1427" s="3" t="str">
        <f>TEXT(CleanedTable[[#This Row],[OrderDate]],"yyyy")</f>
        <v>2023</v>
      </c>
      <c r="D1427" s="3" t="str">
        <f>TEXT(CleanedTable[[#This Row],[OrderDate]],"mmm yyyy")</f>
        <v>Jan 2023</v>
      </c>
      <c r="E1427" t="s">
        <v>21</v>
      </c>
      <c r="F1427" t="s">
        <v>30</v>
      </c>
      <c r="G1427" s="12">
        <v>10</v>
      </c>
      <c r="H1427" s="8">
        <v>193.96</v>
      </c>
      <c r="I1427" t="s">
        <v>34</v>
      </c>
      <c r="J1427" t="s">
        <v>35</v>
      </c>
      <c r="K1427" s="10">
        <v>0.1</v>
      </c>
      <c r="L1427" t="s">
        <v>38</v>
      </c>
      <c r="M1427">
        <v>1745.64</v>
      </c>
      <c r="N1427">
        <v>1163.76</v>
      </c>
      <c r="O1427" s="10">
        <v>540.58000000000015</v>
      </c>
      <c r="P1427" s="10">
        <v>0.30967438876286069</v>
      </c>
      <c r="Q1427" s="8">
        <v>1745.64</v>
      </c>
      <c r="R1427" t="s">
        <v>44</v>
      </c>
      <c r="T1427" t="s">
        <v>2932</v>
      </c>
      <c r="U1427">
        <v>0</v>
      </c>
      <c r="V1427" t="str">
        <f>IF(CleanedTable[[#This Row],[Returned]] = 0,"NO","Yes")</f>
        <v>NO</v>
      </c>
      <c r="W1427" t="s">
        <v>1476</v>
      </c>
      <c r="X1427" t="s">
        <v>2861</v>
      </c>
      <c r="Y1427" s="10">
        <v>41.3</v>
      </c>
      <c r="Z1427" s="3">
        <v>44942</v>
      </c>
      <c r="AA1427" s="3">
        <v>44947</v>
      </c>
      <c r="AB1427" t="s">
        <v>2924</v>
      </c>
      <c r="AC1427">
        <v>5</v>
      </c>
    </row>
    <row r="1428" spans="1:29" x14ac:dyDescent="0.3">
      <c r="A1428" s="3">
        <v>45056</v>
      </c>
      <c r="B1428" s="3" t="str">
        <f>TEXT(CleanedTable[[#This Row],[OrderDate]],"mmm")</f>
        <v>May</v>
      </c>
      <c r="C1428" s="3" t="str">
        <f>TEXT(CleanedTable[[#This Row],[OrderDate]],"yyyy")</f>
        <v>2023</v>
      </c>
      <c r="D1428" s="3" t="str">
        <f>TEXT(CleanedTable[[#This Row],[OrderDate]],"mmm yyyy")</f>
        <v>May 2023</v>
      </c>
      <c r="E1428" t="s">
        <v>19</v>
      </c>
      <c r="F1428" t="s">
        <v>25</v>
      </c>
      <c r="G1428" s="12">
        <v>18</v>
      </c>
      <c r="H1428" s="8">
        <v>580.41999999999996</v>
      </c>
      <c r="I1428" t="s">
        <v>32</v>
      </c>
      <c r="J1428" t="s">
        <v>35</v>
      </c>
      <c r="K1428" s="10">
        <v>0.05</v>
      </c>
      <c r="L1428" t="s">
        <v>42</v>
      </c>
      <c r="M1428">
        <v>9925.1819999999989</v>
      </c>
      <c r="N1428">
        <v>6268.5359999999991</v>
      </c>
      <c r="O1428" s="10">
        <v>3618.8359999999998</v>
      </c>
      <c r="P1428" s="10">
        <v>0.36461155070002749</v>
      </c>
      <c r="Q1428" s="8">
        <v>9925.1819999999989</v>
      </c>
      <c r="R1428" t="s">
        <v>43</v>
      </c>
      <c r="S1428" t="s">
        <v>49</v>
      </c>
      <c r="T1428" t="s">
        <v>2931</v>
      </c>
      <c r="U1428">
        <v>0</v>
      </c>
      <c r="V1428" t="str">
        <f>IF(CleanedTable[[#This Row],[Returned]] = 0,"NO","Yes")</f>
        <v>NO</v>
      </c>
      <c r="W1428" t="s">
        <v>1477</v>
      </c>
      <c r="X1428" t="s">
        <v>2862</v>
      </c>
      <c r="Y1428" s="10">
        <v>37.81</v>
      </c>
      <c r="Z1428" s="3">
        <v>45056</v>
      </c>
      <c r="AA1428" s="3">
        <v>45063</v>
      </c>
      <c r="AB1428" t="s">
        <v>2922</v>
      </c>
      <c r="AC1428">
        <v>7</v>
      </c>
    </row>
    <row r="1429" spans="1:29" x14ac:dyDescent="0.3">
      <c r="A1429" s="3">
        <v>45465</v>
      </c>
      <c r="B1429" s="3" t="str">
        <f>TEXT(CleanedTable[[#This Row],[OrderDate]],"mmm")</f>
        <v>Jun</v>
      </c>
      <c r="C1429" s="3" t="str">
        <f>TEXT(CleanedTable[[#This Row],[OrderDate]],"yyyy")</f>
        <v>2024</v>
      </c>
      <c r="D1429" s="3" t="str">
        <f>TEXT(CleanedTable[[#This Row],[OrderDate]],"mmm yyyy")</f>
        <v>Jun 2024</v>
      </c>
      <c r="E1429" t="s">
        <v>22</v>
      </c>
      <c r="F1429" t="s">
        <v>28</v>
      </c>
      <c r="G1429" s="12">
        <v>18</v>
      </c>
      <c r="H1429" s="8">
        <v>91.55</v>
      </c>
      <c r="I1429" t="s">
        <v>33</v>
      </c>
      <c r="J1429" t="s">
        <v>36</v>
      </c>
      <c r="K1429" s="10">
        <v>0.1</v>
      </c>
      <c r="L1429" t="s">
        <v>38</v>
      </c>
      <c r="M1429">
        <v>1483.11</v>
      </c>
      <c r="N1429">
        <v>988.74</v>
      </c>
      <c r="O1429" s="10">
        <v>461.82999999999987</v>
      </c>
      <c r="P1429" s="10">
        <v>0.31139295129828531</v>
      </c>
      <c r="Q1429" s="8">
        <v>1483.11</v>
      </c>
      <c r="R1429" t="s">
        <v>46</v>
      </c>
      <c r="S1429" t="s">
        <v>48</v>
      </c>
      <c r="T1429" t="s">
        <v>2931</v>
      </c>
      <c r="U1429">
        <v>0</v>
      </c>
      <c r="V1429" t="str">
        <f>IF(CleanedTable[[#This Row],[Returned]] = 0,"NO","Yes")</f>
        <v>NO</v>
      </c>
      <c r="W1429" t="s">
        <v>1478</v>
      </c>
      <c r="X1429" t="s">
        <v>2863</v>
      </c>
      <c r="Y1429" s="10">
        <v>32.54</v>
      </c>
      <c r="Z1429" s="3">
        <v>45465</v>
      </c>
      <c r="AA1429" s="3">
        <v>45472</v>
      </c>
      <c r="AB1429" t="s">
        <v>2925</v>
      </c>
      <c r="AC1429">
        <v>7</v>
      </c>
    </row>
    <row r="1430" spans="1:29" x14ac:dyDescent="0.3">
      <c r="A1430" s="3">
        <v>45745</v>
      </c>
      <c r="B1430" s="3" t="str">
        <f>TEXT(CleanedTable[[#This Row],[OrderDate]],"mmm")</f>
        <v>Mar</v>
      </c>
      <c r="C1430" s="3" t="str">
        <f>TEXT(CleanedTable[[#This Row],[OrderDate]],"yyyy")</f>
        <v>2025</v>
      </c>
      <c r="D1430" s="3" t="str">
        <f>TEXT(CleanedTable[[#This Row],[OrderDate]],"mmm yyyy")</f>
        <v>Mar 2025</v>
      </c>
      <c r="E1430" t="s">
        <v>23</v>
      </c>
      <c r="F1430" t="s">
        <v>29</v>
      </c>
      <c r="G1430" s="12">
        <v>13</v>
      </c>
      <c r="H1430" s="8">
        <v>113.78</v>
      </c>
      <c r="I1430" t="s">
        <v>33</v>
      </c>
      <c r="J1430" t="s">
        <v>35</v>
      </c>
      <c r="K1430" s="10">
        <v>0.1</v>
      </c>
      <c r="L1430" t="s">
        <v>37</v>
      </c>
      <c r="M1430">
        <v>1331.2260000000001</v>
      </c>
      <c r="N1430">
        <v>887.48400000000004</v>
      </c>
      <c r="O1430" s="10">
        <v>415.67200000000008</v>
      </c>
      <c r="P1430" s="10">
        <v>0.31224750718510608</v>
      </c>
      <c r="Q1430" s="8">
        <v>1331.2260000000001</v>
      </c>
      <c r="R1430" t="s">
        <v>43</v>
      </c>
      <c r="S1430" t="s">
        <v>48</v>
      </c>
      <c r="T1430" t="s">
        <v>2931</v>
      </c>
      <c r="U1430">
        <v>0</v>
      </c>
      <c r="V1430" t="str">
        <f>IF(CleanedTable[[#This Row],[Returned]] = 0,"NO","Yes")</f>
        <v>NO</v>
      </c>
      <c r="W1430" t="s">
        <v>1479</v>
      </c>
      <c r="X1430" t="s">
        <v>2864</v>
      </c>
      <c r="Y1430" s="10">
        <v>28.07</v>
      </c>
      <c r="Z1430" s="3">
        <v>45745</v>
      </c>
      <c r="AA1430" s="3">
        <v>45754</v>
      </c>
      <c r="AB1430" t="s">
        <v>2926</v>
      </c>
      <c r="AC1430">
        <v>9</v>
      </c>
    </row>
    <row r="1431" spans="1:29" x14ac:dyDescent="0.3">
      <c r="A1431" s="3">
        <v>45034</v>
      </c>
      <c r="B1431" s="3" t="str">
        <f>TEXT(CleanedTable[[#This Row],[OrderDate]],"mmm")</f>
        <v>Apr</v>
      </c>
      <c r="C1431" s="3" t="str">
        <f>TEXT(CleanedTable[[#This Row],[OrderDate]],"yyyy")</f>
        <v>2023</v>
      </c>
      <c r="D1431" s="3" t="str">
        <f>TEXT(CleanedTable[[#This Row],[OrderDate]],"mmm yyyy")</f>
        <v>Apr 2023</v>
      </c>
      <c r="E1431" t="s">
        <v>21</v>
      </c>
      <c r="F1431" t="s">
        <v>29</v>
      </c>
      <c r="G1431" s="12">
        <v>16</v>
      </c>
      <c r="H1431" s="8">
        <v>477.91</v>
      </c>
      <c r="I1431" t="s">
        <v>32</v>
      </c>
      <c r="J1431" t="s">
        <v>35</v>
      </c>
      <c r="K1431" s="10">
        <v>0</v>
      </c>
      <c r="L1431" t="s">
        <v>40</v>
      </c>
      <c r="M1431">
        <v>7646.56</v>
      </c>
      <c r="N1431">
        <v>4587.9359999999997</v>
      </c>
      <c r="O1431" s="10">
        <v>3036.7340000000008</v>
      </c>
      <c r="P1431" s="10">
        <v>0.39713727480069477</v>
      </c>
      <c r="Q1431" s="8">
        <v>7646.56</v>
      </c>
      <c r="R1431" t="s">
        <v>45</v>
      </c>
      <c r="S1431" t="s">
        <v>50</v>
      </c>
      <c r="T1431" t="s">
        <v>2931</v>
      </c>
      <c r="U1431">
        <v>0</v>
      </c>
      <c r="V1431" t="str">
        <f>IF(CleanedTable[[#This Row],[Returned]] = 0,"NO","Yes")</f>
        <v>NO</v>
      </c>
      <c r="W1431" t="s">
        <v>1480</v>
      </c>
      <c r="X1431" t="s">
        <v>2865</v>
      </c>
      <c r="Y1431" s="10">
        <v>21.89</v>
      </c>
      <c r="Z1431" s="3">
        <v>45034</v>
      </c>
      <c r="AA1431" s="3">
        <v>45039</v>
      </c>
      <c r="AB1431" t="s">
        <v>2924</v>
      </c>
      <c r="AC1431">
        <v>5</v>
      </c>
    </row>
    <row r="1432" spans="1:29" x14ac:dyDescent="0.3">
      <c r="A1432" s="3">
        <v>44964</v>
      </c>
      <c r="B1432" s="3" t="str">
        <f>TEXT(CleanedTable[[#This Row],[OrderDate]],"mmm")</f>
        <v>Feb</v>
      </c>
      <c r="C1432" s="3" t="str">
        <f>TEXT(CleanedTable[[#This Row],[OrderDate]],"yyyy")</f>
        <v>2023</v>
      </c>
      <c r="D1432" s="3" t="str">
        <f>TEXT(CleanedTable[[#This Row],[OrderDate]],"mmm yyyy")</f>
        <v>Feb 2023</v>
      </c>
      <c r="E1432" t="s">
        <v>22</v>
      </c>
      <c r="F1432" t="s">
        <v>24</v>
      </c>
      <c r="G1432" s="12">
        <v>14</v>
      </c>
      <c r="H1432" s="8">
        <v>306.39</v>
      </c>
      <c r="I1432" t="s">
        <v>32</v>
      </c>
      <c r="J1432" t="s">
        <v>36</v>
      </c>
      <c r="K1432" s="10">
        <v>0.1</v>
      </c>
      <c r="L1432" t="s">
        <v>37</v>
      </c>
      <c r="M1432">
        <v>3860.5140000000001</v>
      </c>
      <c r="N1432">
        <v>2573.6759999999995</v>
      </c>
      <c r="O1432" s="10">
        <v>1248.1080000000006</v>
      </c>
      <c r="P1432" s="10">
        <v>0.32330099048986755</v>
      </c>
      <c r="Q1432" s="8">
        <v>3860.5140000000001</v>
      </c>
      <c r="R1432" t="s">
        <v>47</v>
      </c>
      <c r="S1432" t="s">
        <v>50</v>
      </c>
      <c r="T1432" t="s">
        <v>2931</v>
      </c>
      <c r="U1432">
        <v>0</v>
      </c>
      <c r="V1432" t="str">
        <f>IF(CleanedTable[[#This Row],[Returned]] = 0,"NO","Yes")</f>
        <v>NO</v>
      </c>
      <c r="W1432" t="s">
        <v>1481</v>
      </c>
      <c r="X1432" t="s">
        <v>2866</v>
      </c>
      <c r="Y1432" s="10">
        <v>38.729999999999997</v>
      </c>
      <c r="Z1432" s="3">
        <v>44964</v>
      </c>
      <c r="AA1432" s="3">
        <v>44966</v>
      </c>
      <c r="AB1432" t="s">
        <v>2925</v>
      </c>
      <c r="AC1432">
        <v>2</v>
      </c>
    </row>
    <row r="1433" spans="1:29" x14ac:dyDescent="0.3">
      <c r="A1433" s="3">
        <v>45679</v>
      </c>
      <c r="B1433" s="3" t="str">
        <f>TEXT(CleanedTable[[#This Row],[OrderDate]],"mmm")</f>
        <v>Jan</v>
      </c>
      <c r="C1433" s="3" t="str">
        <f>TEXT(CleanedTable[[#This Row],[OrderDate]],"yyyy")</f>
        <v>2025</v>
      </c>
      <c r="D1433" s="3" t="str">
        <f>TEXT(CleanedTable[[#This Row],[OrderDate]],"mmm yyyy")</f>
        <v>Jan 2025</v>
      </c>
      <c r="E1433" t="s">
        <v>19</v>
      </c>
      <c r="F1433" t="s">
        <v>29</v>
      </c>
      <c r="G1433" s="12">
        <v>17</v>
      </c>
      <c r="H1433" s="8">
        <v>8.33</v>
      </c>
      <c r="I1433" t="s">
        <v>32</v>
      </c>
      <c r="J1433" t="s">
        <v>36</v>
      </c>
      <c r="K1433" s="10">
        <v>0.05</v>
      </c>
      <c r="L1433" t="s">
        <v>37</v>
      </c>
      <c r="M1433">
        <v>134.52950000000001</v>
      </c>
      <c r="N1433">
        <v>84.966000000000008</v>
      </c>
      <c r="O1433" s="10">
        <v>6.2735000000000056</v>
      </c>
      <c r="P1433" s="10">
        <v>4.6632894643925719E-2</v>
      </c>
      <c r="Q1433" s="8">
        <v>134.52950000000001</v>
      </c>
      <c r="R1433" t="s">
        <v>47</v>
      </c>
      <c r="T1433" t="s">
        <v>2932</v>
      </c>
      <c r="U1433">
        <v>0</v>
      </c>
      <c r="V1433" t="str">
        <f>IF(CleanedTable[[#This Row],[Returned]] = 0,"NO","Yes")</f>
        <v>NO</v>
      </c>
      <c r="W1433" t="s">
        <v>1482</v>
      </c>
      <c r="X1433" t="s">
        <v>2867</v>
      </c>
      <c r="Y1433" s="10">
        <v>43.29</v>
      </c>
      <c r="Z1433" s="3">
        <v>45679</v>
      </c>
      <c r="AA1433" s="3">
        <v>45682</v>
      </c>
      <c r="AB1433" t="s">
        <v>2922</v>
      </c>
      <c r="AC1433">
        <v>3</v>
      </c>
    </row>
    <row r="1434" spans="1:29" x14ac:dyDescent="0.3">
      <c r="A1434" s="3">
        <v>45111</v>
      </c>
      <c r="B1434" s="3" t="str">
        <f>TEXT(CleanedTable[[#This Row],[OrderDate]],"mmm")</f>
        <v>Jul</v>
      </c>
      <c r="C1434" s="3" t="str">
        <f>TEXT(CleanedTable[[#This Row],[OrderDate]],"yyyy")</f>
        <v>2023</v>
      </c>
      <c r="D1434" s="3" t="str">
        <f>TEXT(CleanedTable[[#This Row],[OrderDate]],"mmm yyyy")</f>
        <v>Jul 2023</v>
      </c>
      <c r="E1434" t="s">
        <v>19</v>
      </c>
      <c r="F1434" t="s">
        <v>25</v>
      </c>
      <c r="G1434" s="12">
        <v>6</v>
      </c>
      <c r="H1434" s="8">
        <v>346.86</v>
      </c>
      <c r="I1434" t="s">
        <v>33</v>
      </c>
      <c r="J1434" t="s">
        <v>36</v>
      </c>
      <c r="K1434" s="10">
        <v>0.05</v>
      </c>
      <c r="L1434" t="s">
        <v>37</v>
      </c>
      <c r="M1434">
        <v>1977.1019999999999</v>
      </c>
      <c r="N1434">
        <v>1248.6960000000001</v>
      </c>
      <c r="O1434" s="10">
        <v>699.22599999999977</v>
      </c>
      <c r="P1434" s="10">
        <v>0.35366207712095776</v>
      </c>
      <c r="Q1434" s="8">
        <v>1977.1020000000001</v>
      </c>
      <c r="R1434" t="s">
        <v>44</v>
      </c>
      <c r="S1434" t="s">
        <v>48</v>
      </c>
      <c r="T1434" t="s">
        <v>2931</v>
      </c>
      <c r="U1434">
        <v>0</v>
      </c>
      <c r="V1434" t="str">
        <f>IF(CleanedTable[[#This Row],[Returned]] = 0,"NO","Yes")</f>
        <v>NO</v>
      </c>
      <c r="W1434" t="s">
        <v>1483</v>
      </c>
      <c r="X1434" t="s">
        <v>2868</v>
      </c>
      <c r="Y1434" s="10">
        <v>29.18</v>
      </c>
      <c r="Z1434" s="3">
        <v>45111</v>
      </c>
      <c r="AA1434" s="3">
        <v>45119</v>
      </c>
      <c r="AB1434" t="s">
        <v>2922</v>
      </c>
      <c r="AC1434">
        <v>8</v>
      </c>
    </row>
    <row r="1435" spans="1:29" x14ac:dyDescent="0.3">
      <c r="A1435" s="3">
        <v>45138</v>
      </c>
      <c r="B1435" s="3" t="str">
        <f>TEXT(CleanedTable[[#This Row],[OrderDate]],"mmm")</f>
        <v>Jul</v>
      </c>
      <c r="C1435" s="3" t="str">
        <f>TEXT(CleanedTable[[#This Row],[OrderDate]],"yyyy")</f>
        <v>2023</v>
      </c>
      <c r="D1435" s="3" t="str">
        <f>TEXT(CleanedTable[[#This Row],[OrderDate]],"mmm yyyy")</f>
        <v>Jul 2023</v>
      </c>
      <c r="E1435" t="s">
        <v>22</v>
      </c>
      <c r="F1435" t="s">
        <v>26</v>
      </c>
      <c r="G1435" s="12">
        <v>14</v>
      </c>
      <c r="H1435" s="8">
        <v>223.26</v>
      </c>
      <c r="I1435" t="s">
        <v>31</v>
      </c>
      <c r="J1435" t="s">
        <v>35</v>
      </c>
      <c r="K1435" s="10">
        <v>0.1</v>
      </c>
      <c r="L1435" t="s">
        <v>38</v>
      </c>
      <c r="M1435">
        <v>2813.076</v>
      </c>
      <c r="N1435">
        <v>1875.3839999999998</v>
      </c>
      <c r="O1435" s="10">
        <v>924.81200000000024</v>
      </c>
      <c r="P1435" s="10">
        <v>0.32875471547871449</v>
      </c>
      <c r="Q1435" s="8">
        <v>2813.076</v>
      </c>
      <c r="R1435" t="s">
        <v>45</v>
      </c>
      <c r="S1435" t="s">
        <v>50</v>
      </c>
      <c r="T1435" t="s">
        <v>2931</v>
      </c>
      <c r="U1435">
        <v>0</v>
      </c>
      <c r="V1435" t="str">
        <f>IF(CleanedTable[[#This Row],[Returned]] = 0,"NO","Yes")</f>
        <v>NO</v>
      </c>
      <c r="W1435" t="s">
        <v>1484</v>
      </c>
      <c r="X1435" t="s">
        <v>2869</v>
      </c>
      <c r="Y1435" s="10">
        <v>12.88</v>
      </c>
      <c r="Z1435" s="3">
        <v>45138</v>
      </c>
      <c r="AA1435" s="3">
        <v>45141</v>
      </c>
      <c r="AB1435" t="s">
        <v>2925</v>
      </c>
      <c r="AC1435">
        <v>3</v>
      </c>
    </row>
    <row r="1436" spans="1:29" x14ac:dyDescent="0.3">
      <c r="A1436" s="3">
        <v>45036</v>
      </c>
      <c r="B1436" s="3" t="str">
        <f>TEXT(CleanedTable[[#This Row],[OrderDate]],"mmm")</f>
        <v>Apr</v>
      </c>
      <c r="C1436" s="3" t="str">
        <f>TEXT(CleanedTable[[#This Row],[OrderDate]],"yyyy")</f>
        <v>2023</v>
      </c>
      <c r="D1436" s="3" t="str">
        <f>TEXT(CleanedTable[[#This Row],[OrderDate]],"mmm yyyy")</f>
        <v>Apr 2023</v>
      </c>
      <c r="E1436" t="s">
        <v>21</v>
      </c>
      <c r="F1436" t="s">
        <v>26</v>
      </c>
      <c r="G1436" s="12">
        <v>6</v>
      </c>
      <c r="H1436" s="8">
        <v>529.1</v>
      </c>
      <c r="I1436" t="s">
        <v>34</v>
      </c>
      <c r="J1436" t="s">
        <v>35</v>
      </c>
      <c r="K1436" s="10">
        <v>0</v>
      </c>
      <c r="L1436" t="s">
        <v>37</v>
      </c>
      <c r="M1436">
        <v>3174.6000000000004</v>
      </c>
      <c r="N1436">
        <v>1904.7599999999998</v>
      </c>
      <c r="O1436" s="10">
        <v>1264.7100000000005</v>
      </c>
      <c r="P1436" s="10">
        <v>0.39838404838404851</v>
      </c>
      <c r="Q1436" s="8">
        <v>3174.6</v>
      </c>
      <c r="R1436" t="s">
        <v>46</v>
      </c>
      <c r="S1436" t="s">
        <v>50</v>
      </c>
      <c r="T1436" t="s">
        <v>2931</v>
      </c>
      <c r="U1436">
        <v>0</v>
      </c>
      <c r="V1436" t="str">
        <f>IF(CleanedTable[[#This Row],[Returned]] = 0,"NO","Yes")</f>
        <v>NO</v>
      </c>
      <c r="W1436" t="s">
        <v>1485</v>
      </c>
      <c r="X1436" t="s">
        <v>2870</v>
      </c>
      <c r="Y1436" s="10">
        <v>5.13</v>
      </c>
      <c r="Z1436" s="3">
        <v>45036</v>
      </c>
      <c r="AA1436" s="3">
        <v>45043</v>
      </c>
      <c r="AB1436" t="s">
        <v>2924</v>
      </c>
      <c r="AC1436">
        <v>7</v>
      </c>
    </row>
    <row r="1437" spans="1:29" x14ac:dyDescent="0.3">
      <c r="A1437" s="3">
        <v>45573</v>
      </c>
      <c r="B1437" s="3" t="str">
        <f>TEXT(CleanedTable[[#This Row],[OrderDate]],"mmm")</f>
        <v>Oct</v>
      </c>
      <c r="C1437" s="3" t="str">
        <f>TEXT(CleanedTable[[#This Row],[OrderDate]],"yyyy")</f>
        <v>2024</v>
      </c>
      <c r="D1437" s="3" t="str">
        <f>TEXT(CleanedTable[[#This Row],[OrderDate]],"mmm yyyy")</f>
        <v>Oct 2024</v>
      </c>
      <c r="E1437" t="s">
        <v>22</v>
      </c>
      <c r="F1437" t="s">
        <v>29</v>
      </c>
      <c r="G1437" s="12">
        <v>11</v>
      </c>
      <c r="H1437" s="8">
        <v>97.34</v>
      </c>
      <c r="I1437" t="s">
        <v>34</v>
      </c>
      <c r="J1437" t="s">
        <v>35</v>
      </c>
      <c r="K1437" s="10">
        <v>0.1</v>
      </c>
      <c r="L1437" t="s">
        <v>40</v>
      </c>
      <c r="M1437">
        <v>963.66600000000005</v>
      </c>
      <c r="N1437">
        <v>642.44399999999996</v>
      </c>
      <c r="O1437" s="10">
        <v>310.61200000000008</v>
      </c>
      <c r="P1437" s="10">
        <v>0.32232329458546849</v>
      </c>
      <c r="Q1437" s="8">
        <v>963.66600000000005</v>
      </c>
      <c r="R1437" t="s">
        <v>46</v>
      </c>
      <c r="S1437" t="s">
        <v>49</v>
      </c>
      <c r="T1437" t="s">
        <v>2931</v>
      </c>
      <c r="U1437">
        <v>0</v>
      </c>
      <c r="V1437" t="str">
        <f>IF(CleanedTable[[#This Row],[Returned]] = 0,"NO","Yes")</f>
        <v>NO</v>
      </c>
      <c r="W1437" t="s">
        <v>1486</v>
      </c>
      <c r="X1437" t="s">
        <v>2871</v>
      </c>
      <c r="Y1437" s="10">
        <v>10.61</v>
      </c>
      <c r="Z1437" s="3">
        <v>45573</v>
      </c>
      <c r="AA1437" s="3">
        <v>45576</v>
      </c>
      <c r="AB1437" t="s">
        <v>2925</v>
      </c>
      <c r="AC1437">
        <v>3</v>
      </c>
    </row>
    <row r="1438" spans="1:29" x14ac:dyDescent="0.3">
      <c r="A1438" s="3">
        <v>45316</v>
      </c>
      <c r="B1438" s="3" t="str">
        <f>TEXT(CleanedTable[[#This Row],[OrderDate]],"mmm")</f>
        <v>Jan</v>
      </c>
      <c r="C1438" s="3" t="str">
        <f>TEXT(CleanedTable[[#This Row],[OrderDate]],"yyyy")</f>
        <v>2024</v>
      </c>
      <c r="D1438" s="3" t="str">
        <f>TEXT(CleanedTable[[#This Row],[OrderDate]],"mmm yyyy")</f>
        <v>Jan 2024</v>
      </c>
      <c r="E1438" t="s">
        <v>19</v>
      </c>
      <c r="F1438" t="s">
        <v>27</v>
      </c>
      <c r="G1438" s="12">
        <v>11</v>
      </c>
      <c r="H1438" s="8">
        <v>422.89</v>
      </c>
      <c r="I1438" t="s">
        <v>31</v>
      </c>
      <c r="J1438" t="s">
        <v>36</v>
      </c>
      <c r="K1438" s="10">
        <v>0.1</v>
      </c>
      <c r="L1438" t="s">
        <v>39</v>
      </c>
      <c r="M1438">
        <v>4186.6109999999999</v>
      </c>
      <c r="N1438">
        <v>2791.0739999999996</v>
      </c>
      <c r="O1438" s="10">
        <v>1349.6470000000002</v>
      </c>
      <c r="P1438" s="10">
        <v>0.32237220033100761</v>
      </c>
      <c r="Q1438" s="8">
        <v>4186.6109999999999</v>
      </c>
      <c r="R1438" t="s">
        <v>45</v>
      </c>
      <c r="S1438" t="s">
        <v>49</v>
      </c>
      <c r="T1438" t="s">
        <v>2931</v>
      </c>
      <c r="U1438">
        <v>0</v>
      </c>
      <c r="V1438" t="str">
        <f>IF(CleanedTable[[#This Row],[Returned]] = 0,"NO","Yes")</f>
        <v>NO</v>
      </c>
      <c r="W1438" t="s">
        <v>1487</v>
      </c>
      <c r="X1438" t="s">
        <v>2872</v>
      </c>
      <c r="Y1438" s="10">
        <v>45.89</v>
      </c>
      <c r="Z1438" s="3">
        <v>45316</v>
      </c>
      <c r="AA1438" s="3">
        <v>45318</v>
      </c>
      <c r="AB1438" t="s">
        <v>2922</v>
      </c>
      <c r="AC1438">
        <v>2</v>
      </c>
    </row>
    <row r="1439" spans="1:29" x14ac:dyDescent="0.3">
      <c r="A1439" s="3">
        <v>45642</v>
      </c>
      <c r="B1439" s="3" t="str">
        <f>TEXT(CleanedTable[[#This Row],[OrderDate]],"mmm")</f>
        <v>Dec</v>
      </c>
      <c r="C1439" s="3" t="str">
        <f>TEXT(CleanedTable[[#This Row],[OrderDate]],"yyyy")</f>
        <v>2024</v>
      </c>
      <c r="D1439" s="3" t="str">
        <f>TEXT(CleanedTable[[#This Row],[OrderDate]],"mmm yyyy")</f>
        <v>Dec 2024</v>
      </c>
      <c r="E1439" t="s">
        <v>20</v>
      </c>
      <c r="F1439" t="s">
        <v>28</v>
      </c>
      <c r="G1439" s="12">
        <v>4</v>
      </c>
      <c r="H1439" s="8">
        <v>557.16999999999996</v>
      </c>
      <c r="I1439" t="s">
        <v>33</v>
      </c>
      <c r="J1439" t="s">
        <v>35</v>
      </c>
      <c r="K1439" s="10">
        <v>0.05</v>
      </c>
      <c r="L1439" t="s">
        <v>39</v>
      </c>
      <c r="M1439">
        <v>2117.2459999999996</v>
      </c>
      <c r="N1439">
        <v>1337.2079999999999</v>
      </c>
      <c r="O1439" s="10">
        <v>747.87799999999982</v>
      </c>
      <c r="P1439" s="10">
        <v>0.35323150923416546</v>
      </c>
      <c r="Q1439" s="8">
        <v>2117.2460000000001</v>
      </c>
      <c r="R1439" t="s">
        <v>45</v>
      </c>
      <c r="T1439" t="s">
        <v>2932</v>
      </c>
      <c r="U1439">
        <v>0</v>
      </c>
      <c r="V1439" t="str">
        <f>IF(CleanedTable[[#This Row],[Returned]] = 0,"NO","Yes")</f>
        <v>NO</v>
      </c>
      <c r="W1439" t="s">
        <v>1488</v>
      </c>
      <c r="X1439" t="s">
        <v>2873</v>
      </c>
      <c r="Y1439" s="10">
        <v>32.159999999999997</v>
      </c>
      <c r="Z1439" s="3">
        <v>45642</v>
      </c>
      <c r="AA1439" s="3">
        <v>45651</v>
      </c>
      <c r="AB1439" t="s">
        <v>2923</v>
      </c>
      <c r="AC1439">
        <v>9</v>
      </c>
    </row>
    <row r="1440" spans="1:29" x14ac:dyDescent="0.3">
      <c r="A1440" s="3">
        <v>45589</v>
      </c>
      <c r="B1440" s="3" t="str">
        <f>TEXT(CleanedTable[[#This Row],[OrderDate]],"mmm")</f>
        <v>Oct</v>
      </c>
      <c r="C1440" s="3" t="str">
        <f>TEXT(CleanedTable[[#This Row],[OrderDate]],"yyyy")</f>
        <v>2024</v>
      </c>
      <c r="D1440" s="3" t="str">
        <f>TEXT(CleanedTable[[#This Row],[OrderDate]],"mmm yyyy")</f>
        <v>Oct 2024</v>
      </c>
      <c r="E1440" t="s">
        <v>22</v>
      </c>
      <c r="F1440" t="s">
        <v>30</v>
      </c>
      <c r="G1440" s="12">
        <v>9</v>
      </c>
      <c r="H1440" s="8">
        <v>459.65</v>
      </c>
      <c r="I1440" t="s">
        <v>31</v>
      </c>
      <c r="J1440" t="s">
        <v>36</v>
      </c>
      <c r="K1440" s="10">
        <v>0.1</v>
      </c>
      <c r="L1440" t="s">
        <v>42</v>
      </c>
      <c r="M1440">
        <v>3723.1649999999995</v>
      </c>
      <c r="N1440">
        <v>2482.1099999999997</v>
      </c>
      <c r="O1440" s="10">
        <v>1218.8149999999998</v>
      </c>
      <c r="P1440" s="10">
        <v>0.32735992092749044</v>
      </c>
      <c r="Q1440" s="8">
        <v>3723.165</v>
      </c>
      <c r="R1440" t="s">
        <v>44</v>
      </c>
      <c r="S1440" t="s">
        <v>50</v>
      </c>
      <c r="T1440" t="s">
        <v>2931</v>
      </c>
      <c r="U1440">
        <v>1</v>
      </c>
      <c r="V1440" t="str">
        <f>IF(CleanedTable[[#This Row],[Returned]] = 0,"NO","Yes")</f>
        <v>Yes</v>
      </c>
      <c r="W1440" t="s">
        <v>1489</v>
      </c>
      <c r="X1440" t="s">
        <v>1561</v>
      </c>
      <c r="Y1440" s="10">
        <v>22.24</v>
      </c>
      <c r="Z1440" s="3">
        <v>45589</v>
      </c>
      <c r="AA1440" s="3">
        <v>45597</v>
      </c>
      <c r="AB1440" t="s">
        <v>2925</v>
      </c>
      <c r="AC1440">
        <v>8</v>
      </c>
    </row>
    <row r="1441" spans="1:29" x14ac:dyDescent="0.3">
      <c r="A1441" s="3">
        <v>45246</v>
      </c>
      <c r="B1441" s="3" t="str">
        <f>TEXT(CleanedTable[[#This Row],[OrderDate]],"mmm")</f>
        <v>Nov</v>
      </c>
      <c r="C1441" s="3" t="str">
        <f>TEXT(CleanedTable[[#This Row],[OrderDate]],"yyyy")</f>
        <v>2023</v>
      </c>
      <c r="D1441" s="3" t="str">
        <f>TEXT(CleanedTable[[#This Row],[OrderDate]],"mmm yyyy")</f>
        <v>Nov 2023</v>
      </c>
      <c r="E1441" t="s">
        <v>23</v>
      </c>
      <c r="F1441" t="s">
        <v>28</v>
      </c>
      <c r="G1441" s="12">
        <v>8</v>
      </c>
      <c r="H1441" s="8">
        <v>493.35</v>
      </c>
      <c r="I1441" t="s">
        <v>32</v>
      </c>
      <c r="J1441" t="s">
        <v>36</v>
      </c>
      <c r="K1441" s="10">
        <v>0.1</v>
      </c>
      <c r="L1441" t="s">
        <v>38</v>
      </c>
      <c r="M1441">
        <v>3552.1200000000003</v>
      </c>
      <c r="N1441">
        <v>2368.08</v>
      </c>
      <c r="O1441" s="10">
        <v>1171.1800000000005</v>
      </c>
      <c r="P1441" s="10">
        <v>0.32971296014774287</v>
      </c>
      <c r="Q1441" s="8">
        <v>3552.12</v>
      </c>
      <c r="R1441" t="s">
        <v>47</v>
      </c>
      <c r="S1441" t="s">
        <v>48</v>
      </c>
      <c r="T1441" t="s">
        <v>2931</v>
      </c>
      <c r="U1441">
        <v>1</v>
      </c>
      <c r="V1441" t="str">
        <f>IF(CleanedTable[[#This Row],[Returned]] = 0,"NO","Yes")</f>
        <v>Yes</v>
      </c>
      <c r="W1441" t="s">
        <v>1490</v>
      </c>
      <c r="X1441" t="s">
        <v>2874</v>
      </c>
      <c r="Y1441" s="10">
        <v>12.86</v>
      </c>
      <c r="Z1441" s="3">
        <v>45246</v>
      </c>
      <c r="AA1441" s="3">
        <v>45250</v>
      </c>
      <c r="AB1441" t="s">
        <v>2926</v>
      </c>
      <c r="AC1441">
        <v>4</v>
      </c>
    </row>
    <row r="1442" spans="1:29" x14ac:dyDescent="0.3">
      <c r="A1442" s="3">
        <v>45382</v>
      </c>
      <c r="B1442" s="3" t="str">
        <f>TEXT(CleanedTable[[#This Row],[OrderDate]],"mmm")</f>
        <v>Mar</v>
      </c>
      <c r="C1442" s="3" t="str">
        <f>TEXT(CleanedTable[[#This Row],[OrderDate]],"yyyy")</f>
        <v>2024</v>
      </c>
      <c r="D1442" s="3" t="str">
        <f>TEXT(CleanedTable[[#This Row],[OrderDate]],"mmm yyyy")</f>
        <v>Mar 2024</v>
      </c>
      <c r="E1442" t="s">
        <v>20</v>
      </c>
      <c r="F1442" t="s">
        <v>24</v>
      </c>
      <c r="G1442" s="12">
        <v>13</v>
      </c>
      <c r="H1442" s="8">
        <v>428.59</v>
      </c>
      <c r="I1442" t="s">
        <v>34</v>
      </c>
      <c r="J1442" t="s">
        <v>36</v>
      </c>
      <c r="K1442" s="10">
        <v>0</v>
      </c>
      <c r="L1442" t="s">
        <v>42</v>
      </c>
      <c r="M1442">
        <v>5571.67</v>
      </c>
      <c r="N1442">
        <v>3343.002</v>
      </c>
      <c r="O1442" s="10">
        <v>2204.7780000000002</v>
      </c>
      <c r="P1442" s="10">
        <v>0.39571223708511094</v>
      </c>
      <c r="Q1442" s="8">
        <v>5571.67</v>
      </c>
      <c r="R1442" t="s">
        <v>47</v>
      </c>
      <c r="S1442" t="s">
        <v>48</v>
      </c>
      <c r="T1442" t="s">
        <v>2931</v>
      </c>
      <c r="U1442">
        <v>0</v>
      </c>
      <c r="V1442" t="str">
        <f>IF(CleanedTable[[#This Row],[Returned]] = 0,"NO","Yes")</f>
        <v>NO</v>
      </c>
      <c r="W1442" t="s">
        <v>1491</v>
      </c>
      <c r="X1442" t="s">
        <v>2875</v>
      </c>
      <c r="Y1442" s="10">
        <v>23.89</v>
      </c>
      <c r="Z1442" s="3">
        <v>45382</v>
      </c>
      <c r="AA1442" s="3">
        <v>45390</v>
      </c>
      <c r="AB1442" t="s">
        <v>2923</v>
      </c>
      <c r="AC1442">
        <v>8</v>
      </c>
    </row>
    <row r="1443" spans="1:29" x14ac:dyDescent="0.3">
      <c r="A1443" s="3">
        <v>44970</v>
      </c>
      <c r="B1443" s="3" t="str">
        <f>TEXT(CleanedTable[[#This Row],[OrderDate]],"mmm")</f>
        <v>Feb</v>
      </c>
      <c r="C1443" s="3" t="str">
        <f>TEXT(CleanedTable[[#This Row],[OrderDate]],"yyyy")</f>
        <v>2023</v>
      </c>
      <c r="D1443" s="3" t="str">
        <f>TEXT(CleanedTable[[#This Row],[OrderDate]],"mmm yyyy")</f>
        <v>Feb 2023</v>
      </c>
      <c r="E1443" t="s">
        <v>19</v>
      </c>
      <c r="F1443" t="s">
        <v>24</v>
      </c>
      <c r="G1443" s="12">
        <v>7</v>
      </c>
      <c r="H1443" s="8">
        <v>242.11</v>
      </c>
      <c r="I1443" t="s">
        <v>33</v>
      </c>
      <c r="J1443" t="s">
        <v>35</v>
      </c>
      <c r="K1443" s="10">
        <v>0.05</v>
      </c>
      <c r="L1443" t="s">
        <v>37</v>
      </c>
      <c r="M1443">
        <v>1610.0314999999998</v>
      </c>
      <c r="N1443">
        <v>1016.862</v>
      </c>
      <c r="O1443" s="10">
        <v>545.97949999999992</v>
      </c>
      <c r="P1443" s="10">
        <v>0.33911106708160677</v>
      </c>
      <c r="Q1443" s="8">
        <v>1610.0315000000001</v>
      </c>
      <c r="R1443" t="s">
        <v>46</v>
      </c>
      <c r="S1443" t="s">
        <v>50</v>
      </c>
      <c r="T1443" t="s">
        <v>2931</v>
      </c>
      <c r="U1443">
        <v>0</v>
      </c>
      <c r="V1443" t="str">
        <f>IF(CleanedTable[[#This Row],[Returned]] = 0,"NO","Yes")</f>
        <v>NO</v>
      </c>
      <c r="W1443" t="s">
        <v>1492</v>
      </c>
      <c r="X1443" t="s">
        <v>2375</v>
      </c>
      <c r="Y1443" s="10">
        <v>47.19</v>
      </c>
      <c r="Z1443" s="3">
        <v>44970</v>
      </c>
      <c r="AA1443" s="3">
        <v>44975</v>
      </c>
      <c r="AB1443" t="s">
        <v>2922</v>
      </c>
      <c r="AC1443">
        <v>5</v>
      </c>
    </row>
    <row r="1444" spans="1:29" x14ac:dyDescent="0.3">
      <c r="A1444" s="3">
        <v>45189</v>
      </c>
      <c r="B1444" s="3" t="str">
        <f>TEXT(CleanedTable[[#This Row],[OrderDate]],"mmm")</f>
        <v>Sep</v>
      </c>
      <c r="C1444" s="3" t="str">
        <f>TEXT(CleanedTable[[#This Row],[OrderDate]],"yyyy")</f>
        <v>2023</v>
      </c>
      <c r="D1444" s="3" t="str">
        <f>TEXT(CleanedTable[[#This Row],[OrderDate]],"mmm yyyy")</f>
        <v>Sep 2023</v>
      </c>
      <c r="E1444" t="s">
        <v>20</v>
      </c>
      <c r="F1444" t="s">
        <v>29</v>
      </c>
      <c r="G1444" s="12">
        <v>17</v>
      </c>
      <c r="H1444" s="8">
        <v>477.38</v>
      </c>
      <c r="I1444" t="s">
        <v>33</v>
      </c>
      <c r="J1444" t="s">
        <v>36</v>
      </c>
      <c r="K1444" s="10">
        <v>0.05</v>
      </c>
      <c r="L1444" t="s">
        <v>38</v>
      </c>
      <c r="M1444">
        <v>7709.6869999999999</v>
      </c>
      <c r="N1444">
        <v>4869.2759999999998</v>
      </c>
      <c r="O1444" s="10">
        <v>2805.1309999999999</v>
      </c>
      <c r="P1444" s="10">
        <v>0.36384499137254211</v>
      </c>
      <c r="Q1444" s="8">
        <v>7709.6869999999999</v>
      </c>
      <c r="R1444" t="s">
        <v>44</v>
      </c>
      <c r="S1444" t="s">
        <v>48</v>
      </c>
      <c r="T1444" t="s">
        <v>2931</v>
      </c>
      <c r="U1444">
        <v>0</v>
      </c>
      <c r="V1444" t="str">
        <f>IF(CleanedTable[[#This Row],[Returned]] = 0,"NO","Yes")</f>
        <v>NO</v>
      </c>
      <c r="W1444" t="s">
        <v>1493</v>
      </c>
      <c r="X1444" t="s">
        <v>2876</v>
      </c>
      <c r="Y1444" s="10">
        <v>35.28</v>
      </c>
      <c r="Z1444" s="3">
        <v>45189</v>
      </c>
      <c r="AA1444" s="3">
        <v>45196</v>
      </c>
      <c r="AB1444" t="s">
        <v>2923</v>
      </c>
      <c r="AC1444">
        <v>7</v>
      </c>
    </row>
    <row r="1445" spans="1:29" x14ac:dyDescent="0.3">
      <c r="A1445" s="3">
        <v>45104</v>
      </c>
      <c r="B1445" s="3" t="str">
        <f>TEXT(CleanedTable[[#This Row],[OrderDate]],"mmm")</f>
        <v>Jun</v>
      </c>
      <c r="C1445" s="3" t="str">
        <f>TEXT(CleanedTable[[#This Row],[OrderDate]],"yyyy")</f>
        <v>2023</v>
      </c>
      <c r="D1445" s="3" t="str">
        <f>TEXT(CleanedTable[[#This Row],[OrderDate]],"mmm yyyy")</f>
        <v>Jun 2023</v>
      </c>
      <c r="E1445" t="s">
        <v>20</v>
      </c>
      <c r="F1445" t="s">
        <v>27</v>
      </c>
      <c r="G1445" s="12">
        <v>3</v>
      </c>
      <c r="H1445" s="8">
        <v>261.60000000000002</v>
      </c>
      <c r="I1445" t="s">
        <v>34</v>
      </c>
      <c r="J1445" t="s">
        <v>36</v>
      </c>
      <c r="K1445" s="10">
        <v>0.05</v>
      </c>
      <c r="L1445" t="s">
        <v>41</v>
      </c>
      <c r="M1445">
        <v>745.56000000000006</v>
      </c>
      <c r="N1445">
        <v>470.88</v>
      </c>
      <c r="O1445" s="10">
        <v>232.57000000000005</v>
      </c>
      <c r="P1445" s="10">
        <v>0.311940018241322</v>
      </c>
      <c r="Q1445" s="8">
        <v>745.56000000000006</v>
      </c>
      <c r="R1445" t="s">
        <v>47</v>
      </c>
      <c r="S1445" t="s">
        <v>50</v>
      </c>
      <c r="T1445" t="s">
        <v>2931</v>
      </c>
      <c r="U1445">
        <v>0</v>
      </c>
      <c r="V1445" t="str">
        <f>IF(CleanedTable[[#This Row],[Returned]] = 0,"NO","Yes")</f>
        <v>NO</v>
      </c>
      <c r="W1445" t="s">
        <v>1494</v>
      </c>
      <c r="X1445" t="s">
        <v>2877</v>
      </c>
      <c r="Y1445" s="10">
        <v>42.11</v>
      </c>
      <c r="Z1445" s="3">
        <v>45104</v>
      </c>
      <c r="AA1445" s="3">
        <v>45114</v>
      </c>
      <c r="AB1445" t="s">
        <v>2923</v>
      </c>
      <c r="AC1445">
        <v>10</v>
      </c>
    </row>
    <row r="1446" spans="1:29" x14ac:dyDescent="0.3">
      <c r="A1446" s="3">
        <v>45749</v>
      </c>
      <c r="B1446" s="3" t="str">
        <f>TEXT(CleanedTable[[#This Row],[OrderDate]],"mmm")</f>
        <v>Apr</v>
      </c>
      <c r="C1446" s="3" t="str">
        <f>TEXT(CleanedTable[[#This Row],[OrderDate]],"yyyy")</f>
        <v>2025</v>
      </c>
      <c r="D1446" s="3" t="str">
        <f>TEXT(CleanedTable[[#This Row],[OrderDate]],"mmm yyyy")</f>
        <v>Apr 2025</v>
      </c>
      <c r="E1446" t="s">
        <v>22</v>
      </c>
      <c r="F1446" t="s">
        <v>24</v>
      </c>
      <c r="G1446" s="12">
        <v>6</v>
      </c>
      <c r="H1446" s="8">
        <v>416.2</v>
      </c>
      <c r="I1446" t="s">
        <v>32</v>
      </c>
      <c r="J1446" t="s">
        <v>35</v>
      </c>
      <c r="K1446" s="10">
        <v>0.05</v>
      </c>
      <c r="L1446" t="s">
        <v>38</v>
      </c>
      <c r="M1446">
        <v>2372.3399999999997</v>
      </c>
      <c r="N1446">
        <v>1498.3199999999997</v>
      </c>
      <c r="O1446" s="10">
        <v>829.88</v>
      </c>
      <c r="P1446" s="10">
        <v>0.34981495063945306</v>
      </c>
      <c r="Q1446" s="8">
        <v>2372.34</v>
      </c>
      <c r="R1446" t="s">
        <v>47</v>
      </c>
      <c r="S1446" t="s">
        <v>50</v>
      </c>
      <c r="T1446" t="s">
        <v>2931</v>
      </c>
      <c r="U1446">
        <v>1</v>
      </c>
      <c r="V1446" t="str">
        <f>IF(CleanedTable[[#This Row],[Returned]] = 0,"NO","Yes")</f>
        <v>Yes</v>
      </c>
      <c r="W1446" t="s">
        <v>1495</v>
      </c>
      <c r="X1446" t="s">
        <v>2878</v>
      </c>
      <c r="Y1446" s="10">
        <v>44.14</v>
      </c>
      <c r="Z1446" s="3">
        <v>45749</v>
      </c>
      <c r="AA1446" s="3">
        <v>45753</v>
      </c>
      <c r="AB1446" t="s">
        <v>2925</v>
      </c>
      <c r="AC1446">
        <v>4</v>
      </c>
    </row>
    <row r="1447" spans="1:29" x14ac:dyDescent="0.3">
      <c r="A1447" s="3">
        <v>45763</v>
      </c>
      <c r="B1447" s="3" t="str">
        <f>TEXT(CleanedTable[[#This Row],[OrderDate]],"mmm")</f>
        <v>Apr</v>
      </c>
      <c r="C1447" s="3" t="str">
        <f>TEXT(CleanedTable[[#This Row],[OrderDate]],"yyyy")</f>
        <v>2025</v>
      </c>
      <c r="D1447" s="3" t="str">
        <f>TEXT(CleanedTable[[#This Row],[OrderDate]],"mmm yyyy")</f>
        <v>Apr 2025</v>
      </c>
      <c r="E1447" t="s">
        <v>21</v>
      </c>
      <c r="F1447" t="s">
        <v>30</v>
      </c>
      <c r="G1447" s="12">
        <v>15</v>
      </c>
      <c r="H1447" s="8">
        <v>99.66</v>
      </c>
      <c r="I1447" t="s">
        <v>32</v>
      </c>
      <c r="J1447" t="s">
        <v>35</v>
      </c>
      <c r="K1447" s="10">
        <v>0</v>
      </c>
      <c r="L1447" t="s">
        <v>37</v>
      </c>
      <c r="M1447">
        <v>1494.8999999999999</v>
      </c>
      <c r="N1447">
        <v>896.93999999999983</v>
      </c>
      <c r="O1447" s="10">
        <v>570.41000000000008</v>
      </c>
      <c r="P1447" s="10">
        <v>0.38157067362365382</v>
      </c>
      <c r="Q1447" s="8">
        <v>1494.9</v>
      </c>
      <c r="R1447" t="s">
        <v>47</v>
      </c>
      <c r="S1447" t="s">
        <v>48</v>
      </c>
      <c r="T1447" t="s">
        <v>2931</v>
      </c>
      <c r="U1447">
        <v>0</v>
      </c>
      <c r="V1447" t="str">
        <f>IF(CleanedTable[[#This Row],[Returned]] = 0,"NO","Yes")</f>
        <v>NO</v>
      </c>
      <c r="W1447" t="s">
        <v>1496</v>
      </c>
      <c r="X1447" t="s">
        <v>2879</v>
      </c>
      <c r="Y1447" s="10">
        <v>27.55</v>
      </c>
      <c r="Z1447" s="3">
        <v>45763</v>
      </c>
      <c r="AA1447" s="3">
        <v>45773</v>
      </c>
      <c r="AB1447" t="s">
        <v>2924</v>
      </c>
      <c r="AC1447">
        <v>10</v>
      </c>
    </row>
    <row r="1448" spans="1:29" x14ac:dyDescent="0.3">
      <c r="A1448" s="3">
        <v>45482</v>
      </c>
      <c r="B1448" s="3" t="str">
        <f>TEXT(CleanedTable[[#This Row],[OrderDate]],"mmm")</f>
        <v>Jul</v>
      </c>
      <c r="C1448" s="3" t="str">
        <f>TEXT(CleanedTable[[#This Row],[OrderDate]],"yyyy")</f>
        <v>2024</v>
      </c>
      <c r="D1448" s="3" t="str">
        <f>TEXT(CleanedTable[[#This Row],[OrderDate]],"mmm yyyy")</f>
        <v>Jul 2024</v>
      </c>
      <c r="E1448" t="s">
        <v>22</v>
      </c>
      <c r="F1448" t="s">
        <v>24</v>
      </c>
      <c r="G1448" s="12">
        <v>16</v>
      </c>
      <c r="H1448" s="8">
        <v>55.56</v>
      </c>
      <c r="I1448" t="s">
        <v>34</v>
      </c>
      <c r="J1448" t="s">
        <v>35</v>
      </c>
      <c r="K1448" s="10">
        <v>0.15</v>
      </c>
      <c r="L1448" t="s">
        <v>39</v>
      </c>
      <c r="M1448">
        <v>755.61599999999999</v>
      </c>
      <c r="N1448">
        <v>533.37599999999998</v>
      </c>
      <c r="O1448" s="10">
        <v>204.43</v>
      </c>
      <c r="P1448" s="10">
        <v>0.2705474738491509</v>
      </c>
      <c r="Q1448" s="8">
        <v>755.61599999999999</v>
      </c>
      <c r="R1448" t="s">
        <v>47</v>
      </c>
      <c r="T1448" t="s">
        <v>2932</v>
      </c>
      <c r="U1448">
        <v>1</v>
      </c>
      <c r="V1448" t="str">
        <f>IF(CleanedTable[[#This Row],[Returned]] = 0,"NO","Yes")</f>
        <v>Yes</v>
      </c>
      <c r="W1448" t="s">
        <v>1497</v>
      </c>
      <c r="X1448" t="s">
        <v>2880</v>
      </c>
      <c r="Y1448" s="10">
        <v>17.809999999999999</v>
      </c>
      <c r="Z1448" s="3">
        <v>45482</v>
      </c>
      <c r="AA1448" s="3">
        <v>45490</v>
      </c>
      <c r="AB1448" t="s">
        <v>2925</v>
      </c>
      <c r="AC1448">
        <v>8</v>
      </c>
    </row>
    <row r="1449" spans="1:29" x14ac:dyDescent="0.3">
      <c r="A1449" s="3">
        <v>45831</v>
      </c>
      <c r="B1449" s="3" t="str">
        <f>TEXT(CleanedTable[[#This Row],[OrderDate]],"mmm")</f>
        <v>Jun</v>
      </c>
      <c r="C1449" s="3" t="str">
        <f>TEXT(CleanedTable[[#This Row],[OrderDate]],"yyyy")</f>
        <v>2025</v>
      </c>
      <c r="D1449" s="3" t="str">
        <f>TEXT(CleanedTable[[#This Row],[OrderDate]],"mmm yyyy")</f>
        <v>Jun 2025</v>
      </c>
      <c r="E1449" t="s">
        <v>19</v>
      </c>
      <c r="F1449" t="s">
        <v>25</v>
      </c>
      <c r="G1449" s="12">
        <v>20</v>
      </c>
      <c r="H1449" s="8">
        <v>243.47</v>
      </c>
      <c r="I1449" t="s">
        <v>32</v>
      </c>
      <c r="J1449" t="s">
        <v>35</v>
      </c>
      <c r="K1449" s="10">
        <v>0.05</v>
      </c>
      <c r="L1449" t="s">
        <v>38</v>
      </c>
      <c r="M1449">
        <v>4625.9299999999994</v>
      </c>
      <c r="N1449">
        <v>2921.64</v>
      </c>
      <c r="O1449" s="10">
        <v>1672.0099999999995</v>
      </c>
      <c r="P1449" s="10">
        <v>0.36144299632722499</v>
      </c>
      <c r="Q1449" s="8">
        <v>4625.9299999999994</v>
      </c>
      <c r="R1449" t="s">
        <v>44</v>
      </c>
      <c r="S1449" t="s">
        <v>48</v>
      </c>
      <c r="T1449" t="s">
        <v>2931</v>
      </c>
      <c r="U1449">
        <v>1</v>
      </c>
      <c r="V1449" t="str">
        <f>IF(CleanedTable[[#This Row],[Returned]] = 0,"NO","Yes")</f>
        <v>Yes</v>
      </c>
      <c r="W1449" t="s">
        <v>1498</v>
      </c>
      <c r="X1449" t="s">
        <v>2747</v>
      </c>
      <c r="Y1449" s="10">
        <v>32.28</v>
      </c>
      <c r="Z1449" s="3">
        <v>45831</v>
      </c>
      <c r="AA1449" s="3">
        <v>45841</v>
      </c>
      <c r="AB1449" t="s">
        <v>2922</v>
      </c>
      <c r="AC1449">
        <v>10</v>
      </c>
    </row>
    <row r="1450" spans="1:29" x14ac:dyDescent="0.3">
      <c r="A1450" s="3">
        <v>45452</v>
      </c>
      <c r="B1450" s="3" t="str">
        <f>TEXT(CleanedTable[[#This Row],[OrderDate]],"mmm")</f>
        <v>Jun</v>
      </c>
      <c r="C1450" s="3" t="str">
        <f>TEXT(CleanedTable[[#This Row],[OrderDate]],"yyyy")</f>
        <v>2024</v>
      </c>
      <c r="D1450" s="3" t="str">
        <f>TEXT(CleanedTable[[#This Row],[OrderDate]],"mmm yyyy")</f>
        <v>Jun 2024</v>
      </c>
      <c r="E1450" t="s">
        <v>19</v>
      </c>
      <c r="F1450" t="s">
        <v>29</v>
      </c>
      <c r="G1450" s="12">
        <v>11</v>
      </c>
      <c r="H1450" s="8">
        <v>185.59</v>
      </c>
      <c r="I1450" t="s">
        <v>31</v>
      </c>
      <c r="J1450" t="s">
        <v>36</v>
      </c>
      <c r="K1450" s="10">
        <v>0.1</v>
      </c>
      <c r="L1450" t="s">
        <v>40</v>
      </c>
      <c r="M1450">
        <v>1837.3410000000001</v>
      </c>
      <c r="N1450">
        <v>1224.894</v>
      </c>
      <c r="O1450" s="10">
        <v>567.25700000000006</v>
      </c>
      <c r="P1450" s="10">
        <v>0.30873800780584554</v>
      </c>
      <c r="Q1450" s="8">
        <v>1837.3409999999999</v>
      </c>
      <c r="R1450" t="s">
        <v>44</v>
      </c>
      <c r="T1450" t="s">
        <v>2932</v>
      </c>
      <c r="U1450">
        <v>0</v>
      </c>
      <c r="V1450" t="str">
        <f>IF(CleanedTable[[#This Row],[Returned]] = 0,"NO","Yes")</f>
        <v>NO</v>
      </c>
      <c r="W1450" t="s">
        <v>1499</v>
      </c>
      <c r="X1450" t="s">
        <v>2327</v>
      </c>
      <c r="Y1450" s="10">
        <v>45.19</v>
      </c>
      <c r="Z1450" s="3">
        <v>45452</v>
      </c>
      <c r="AA1450" s="3">
        <v>45461</v>
      </c>
      <c r="AB1450" t="s">
        <v>2922</v>
      </c>
      <c r="AC1450">
        <v>9</v>
      </c>
    </row>
    <row r="1451" spans="1:29" x14ac:dyDescent="0.3">
      <c r="A1451" s="3">
        <v>45261</v>
      </c>
      <c r="B1451" s="3" t="str">
        <f>TEXT(CleanedTable[[#This Row],[OrderDate]],"mmm")</f>
        <v>Dec</v>
      </c>
      <c r="C1451" s="3" t="str">
        <f>TEXT(CleanedTable[[#This Row],[OrderDate]],"yyyy")</f>
        <v>2023</v>
      </c>
      <c r="D1451" s="3" t="str">
        <f>TEXT(CleanedTable[[#This Row],[OrderDate]],"mmm yyyy")</f>
        <v>Dec 2023</v>
      </c>
      <c r="E1451" t="s">
        <v>22</v>
      </c>
      <c r="F1451" t="s">
        <v>26</v>
      </c>
      <c r="G1451" s="12">
        <v>11</v>
      </c>
      <c r="H1451" s="8">
        <v>347.38</v>
      </c>
      <c r="I1451" t="s">
        <v>33</v>
      </c>
      <c r="J1451" t="s">
        <v>35</v>
      </c>
      <c r="K1451" s="10">
        <v>0.05</v>
      </c>
      <c r="L1451" t="s">
        <v>37</v>
      </c>
      <c r="M1451">
        <v>3630.1209999999996</v>
      </c>
      <c r="N1451">
        <v>2292.7080000000001</v>
      </c>
      <c r="O1451" s="10">
        <v>1312.6129999999996</v>
      </c>
      <c r="P1451" s="10">
        <v>0.36158932443298714</v>
      </c>
      <c r="Q1451" s="8">
        <v>3630.1210000000001</v>
      </c>
      <c r="R1451" t="s">
        <v>45</v>
      </c>
      <c r="S1451" t="s">
        <v>48</v>
      </c>
      <c r="T1451" t="s">
        <v>2931</v>
      </c>
      <c r="U1451">
        <v>0</v>
      </c>
      <c r="V1451" t="str">
        <f>IF(CleanedTable[[#This Row],[Returned]] = 0,"NO","Yes")</f>
        <v>NO</v>
      </c>
      <c r="W1451" t="s">
        <v>1500</v>
      </c>
      <c r="X1451" t="s">
        <v>2881</v>
      </c>
      <c r="Y1451" s="10">
        <v>24.8</v>
      </c>
      <c r="Z1451" s="3">
        <v>45261</v>
      </c>
      <c r="AA1451" s="3">
        <v>45263</v>
      </c>
      <c r="AB1451" t="s">
        <v>2925</v>
      </c>
      <c r="AC1451">
        <v>2</v>
      </c>
    </row>
    <row r="1452" spans="1:29" x14ac:dyDescent="0.3">
      <c r="A1452" s="3">
        <v>45497</v>
      </c>
      <c r="B1452" s="3" t="str">
        <f>TEXT(CleanedTable[[#This Row],[OrderDate]],"mmm")</f>
        <v>Jul</v>
      </c>
      <c r="C1452" s="3" t="str">
        <f>TEXT(CleanedTable[[#This Row],[OrderDate]],"yyyy")</f>
        <v>2024</v>
      </c>
      <c r="D1452" s="3" t="str">
        <f>TEXT(CleanedTable[[#This Row],[OrderDate]],"mmm yyyy")</f>
        <v>Jul 2024</v>
      </c>
      <c r="E1452" t="s">
        <v>23</v>
      </c>
      <c r="F1452" t="s">
        <v>29</v>
      </c>
      <c r="G1452" s="12">
        <v>15</v>
      </c>
      <c r="H1452" s="8">
        <v>318.02999999999997</v>
      </c>
      <c r="I1452" t="s">
        <v>34</v>
      </c>
      <c r="J1452" t="s">
        <v>36</v>
      </c>
      <c r="K1452" s="10">
        <v>0.05</v>
      </c>
      <c r="L1452" t="s">
        <v>41</v>
      </c>
      <c r="M1452">
        <v>4531.9274999999998</v>
      </c>
      <c r="N1452">
        <v>2862.2699999999995</v>
      </c>
      <c r="O1452" s="10">
        <v>1645.2775000000001</v>
      </c>
      <c r="P1452" s="10">
        <v>0.36304144318284004</v>
      </c>
      <c r="Q1452" s="8">
        <v>4531.9274999999998</v>
      </c>
      <c r="R1452" t="s">
        <v>44</v>
      </c>
      <c r="S1452" t="s">
        <v>50</v>
      </c>
      <c r="T1452" t="s">
        <v>2931</v>
      </c>
      <c r="U1452">
        <v>1</v>
      </c>
      <c r="V1452" t="str">
        <f>IF(CleanedTable[[#This Row],[Returned]] = 0,"NO","Yes")</f>
        <v>Yes</v>
      </c>
      <c r="W1452" t="s">
        <v>1501</v>
      </c>
      <c r="X1452" t="s">
        <v>2882</v>
      </c>
      <c r="Y1452" s="10">
        <v>24.38</v>
      </c>
      <c r="Z1452" s="3">
        <v>45497</v>
      </c>
      <c r="AA1452" s="3">
        <v>45503</v>
      </c>
      <c r="AB1452" t="s">
        <v>2926</v>
      </c>
      <c r="AC1452">
        <v>6</v>
      </c>
    </row>
    <row r="1453" spans="1:29" x14ac:dyDescent="0.3">
      <c r="A1453" s="3">
        <v>45028</v>
      </c>
      <c r="B1453" s="3" t="str">
        <f>TEXT(CleanedTable[[#This Row],[OrderDate]],"mmm")</f>
        <v>Apr</v>
      </c>
      <c r="C1453" s="3" t="str">
        <f>TEXT(CleanedTable[[#This Row],[OrderDate]],"yyyy")</f>
        <v>2023</v>
      </c>
      <c r="D1453" s="3" t="str">
        <f>TEXT(CleanedTable[[#This Row],[OrderDate]],"mmm yyyy")</f>
        <v>Apr 2023</v>
      </c>
      <c r="E1453" t="s">
        <v>23</v>
      </c>
      <c r="F1453" t="s">
        <v>27</v>
      </c>
      <c r="G1453" s="12">
        <v>15</v>
      </c>
      <c r="H1453" s="8">
        <v>242.35</v>
      </c>
      <c r="I1453" t="s">
        <v>34</v>
      </c>
      <c r="J1453" t="s">
        <v>35</v>
      </c>
      <c r="K1453" s="10">
        <v>0.15</v>
      </c>
      <c r="L1453" t="s">
        <v>41</v>
      </c>
      <c r="M1453">
        <v>3089.9625000000001</v>
      </c>
      <c r="N1453">
        <v>2181.15</v>
      </c>
      <c r="O1453" s="10">
        <v>893.89250000000004</v>
      </c>
      <c r="P1453" s="10">
        <v>0.28928910949566539</v>
      </c>
      <c r="Q1453" s="8">
        <v>3089.9625000000001</v>
      </c>
      <c r="R1453" t="s">
        <v>47</v>
      </c>
      <c r="S1453" t="s">
        <v>50</v>
      </c>
      <c r="T1453" t="s">
        <v>2931</v>
      </c>
      <c r="U1453">
        <v>1</v>
      </c>
      <c r="V1453" t="str">
        <f>IF(CleanedTable[[#This Row],[Returned]] = 0,"NO","Yes")</f>
        <v>Yes</v>
      </c>
      <c r="W1453" t="s">
        <v>1502</v>
      </c>
      <c r="X1453" t="s">
        <v>2508</v>
      </c>
      <c r="Y1453" s="10">
        <v>14.92</v>
      </c>
      <c r="Z1453" s="3">
        <v>45028</v>
      </c>
      <c r="AA1453" s="3">
        <v>45035</v>
      </c>
      <c r="AB1453" t="s">
        <v>2926</v>
      </c>
      <c r="AC1453">
        <v>7</v>
      </c>
    </row>
    <row r="1454" spans="1:29" x14ac:dyDescent="0.3">
      <c r="A1454" s="3">
        <v>45643</v>
      </c>
      <c r="B1454" s="3" t="str">
        <f>TEXT(CleanedTable[[#This Row],[OrderDate]],"mmm")</f>
        <v>Dec</v>
      </c>
      <c r="C1454" s="3" t="str">
        <f>TEXT(CleanedTable[[#This Row],[OrderDate]],"yyyy")</f>
        <v>2024</v>
      </c>
      <c r="D1454" s="3" t="str">
        <f>TEXT(CleanedTable[[#This Row],[OrderDate]],"mmm yyyy")</f>
        <v>Dec 2024</v>
      </c>
      <c r="E1454" t="s">
        <v>21</v>
      </c>
      <c r="F1454" t="s">
        <v>26</v>
      </c>
      <c r="G1454" s="12">
        <v>3</v>
      </c>
      <c r="H1454" s="8">
        <v>82.09</v>
      </c>
      <c r="I1454" t="s">
        <v>31</v>
      </c>
      <c r="J1454" t="s">
        <v>36</v>
      </c>
      <c r="K1454" s="10">
        <v>0.15</v>
      </c>
      <c r="L1454" t="s">
        <v>37</v>
      </c>
      <c r="M1454">
        <v>209.3295</v>
      </c>
      <c r="N1454">
        <v>147.762</v>
      </c>
      <c r="O1454" s="10">
        <v>48.937499999999993</v>
      </c>
      <c r="P1454" s="10">
        <v>0.23378214728454419</v>
      </c>
      <c r="Q1454" s="8">
        <v>209.3295</v>
      </c>
      <c r="R1454" t="s">
        <v>44</v>
      </c>
      <c r="S1454" t="s">
        <v>50</v>
      </c>
      <c r="T1454" t="s">
        <v>2931</v>
      </c>
      <c r="U1454">
        <v>1</v>
      </c>
      <c r="V1454" t="str">
        <f>IF(CleanedTable[[#This Row],[Returned]] = 0,"NO","Yes")</f>
        <v>Yes</v>
      </c>
      <c r="W1454" t="s">
        <v>1503</v>
      </c>
      <c r="X1454" t="s">
        <v>2883</v>
      </c>
      <c r="Y1454" s="10">
        <v>12.63</v>
      </c>
      <c r="Z1454" s="3">
        <v>45643</v>
      </c>
      <c r="AA1454" s="3">
        <v>45652</v>
      </c>
      <c r="AB1454" t="s">
        <v>2924</v>
      </c>
      <c r="AC1454">
        <v>9</v>
      </c>
    </row>
    <row r="1455" spans="1:29" x14ac:dyDescent="0.3">
      <c r="A1455" s="3">
        <v>45512</v>
      </c>
      <c r="B1455" s="3" t="str">
        <f>TEXT(CleanedTable[[#This Row],[OrderDate]],"mmm")</f>
        <v>Aug</v>
      </c>
      <c r="C1455" s="3" t="str">
        <f>TEXT(CleanedTable[[#This Row],[OrderDate]],"yyyy")</f>
        <v>2024</v>
      </c>
      <c r="D1455" s="3" t="str">
        <f>TEXT(CleanedTable[[#This Row],[OrderDate]],"mmm yyyy")</f>
        <v>Aug 2024</v>
      </c>
      <c r="E1455" t="s">
        <v>20</v>
      </c>
      <c r="F1455" t="s">
        <v>28</v>
      </c>
      <c r="G1455" s="12">
        <v>10</v>
      </c>
      <c r="H1455" s="8">
        <v>285.73</v>
      </c>
      <c r="I1455" t="s">
        <v>34</v>
      </c>
      <c r="J1455" t="s">
        <v>35</v>
      </c>
      <c r="K1455" s="10">
        <v>0.15</v>
      </c>
      <c r="L1455" t="s">
        <v>37</v>
      </c>
      <c r="M1455">
        <v>2428.7049999999999</v>
      </c>
      <c r="N1455">
        <v>1714.38</v>
      </c>
      <c r="O1455" s="10">
        <v>687.64499999999987</v>
      </c>
      <c r="P1455" s="10">
        <v>0.28313236889618126</v>
      </c>
      <c r="Q1455" s="8">
        <v>2428.7049999999999</v>
      </c>
      <c r="R1455" t="s">
        <v>47</v>
      </c>
      <c r="S1455" t="s">
        <v>50</v>
      </c>
      <c r="T1455" t="s">
        <v>2931</v>
      </c>
      <c r="U1455">
        <v>1</v>
      </c>
      <c r="V1455" t="str">
        <f>IF(CleanedTable[[#This Row],[Returned]] = 0,"NO","Yes")</f>
        <v>Yes</v>
      </c>
      <c r="W1455" t="s">
        <v>1504</v>
      </c>
      <c r="X1455" t="s">
        <v>2884</v>
      </c>
      <c r="Y1455" s="10">
        <v>26.68</v>
      </c>
      <c r="Z1455" s="3">
        <v>45512</v>
      </c>
      <c r="AA1455" s="3">
        <v>45518</v>
      </c>
      <c r="AB1455" t="s">
        <v>2923</v>
      </c>
      <c r="AC1455">
        <v>6</v>
      </c>
    </row>
    <row r="1456" spans="1:29" x14ac:dyDescent="0.3">
      <c r="A1456" s="3">
        <v>45550</v>
      </c>
      <c r="B1456" s="3" t="str">
        <f>TEXT(CleanedTable[[#This Row],[OrderDate]],"mmm")</f>
        <v>Sep</v>
      </c>
      <c r="C1456" s="3" t="str">
        <f>TEXT(CleanedTable[[#This Row],[OrderDate]],"yyyy")</f>
        <v>2024</v>
      </c>
      <c r="D1456" s="3" t="str">
        <f>TEXT(CleanedTable[[#This Row],[OrderDate]],"mmm yyyy")</f>
        <v>Sep 2024</v>
      </c>
      <c r="E1456" t="s">
        <v>19</v>
      </c>
      <c r="F1456" t="s">
        <v>24</v>
      </c>
      <c r="G1456" s="12">
        <v>17</v>
      </c>
      <c r="H1456" s="8">
        <v>341.52</v>
      </c>
      <c r="I1456" t="s">
        <v>33</v>
      </c>
      <c r="J1456" t="s">
        <v>35</v>
      </c>
      <c r="K1456" s="10">
        <v>0.1</v>
      </c>
      <c r="L1456" t="s">
        <v>37</v>
      </c>
      <c r="M1456">
        <v>5225.2560000000003</v>
      </c>
      <c r="N1456">
        <v>3483.5039999999995</v>
      </c>
      <c r="O1456" s="10">
        <v>1725.0820000000008</v>
      </c>
      <c r="P1456" s="10">
        <v>0.33014305901950081</v>
      </c>
      <c r="Q1456" s="8">
        <v>5225.2560000000003</v>
      </c>
      <c r="R1456" t="s">
        <v>45</v>
      </c>
      <c r="S1456" t="s">
        <v>48</v>
      </c>
      <c r="T1456" t="s">
        <v>2931</v>
      </c>
      <c r="U1456">
        <v>0</v>
      </c>
      <c r="V1456" t="str">
        <f>IF(CleanedTable[[#This Row],[Returned]] = 0,"NO","Yes")</f>
        <v>NO</v>
      </c>
      <c r="W1456" t="s">
        <v>1505</v>
      </c>
      <c r="X1456" t="s">
        <v>2719</v>
      </c>
      <c r="Y1456" s="10">
        <v>16.670000000000002</v>
      </c>
      <c r="Z1456" s="3">
        <v>45550</v>
      </c>
      <c r="AA1456" s="3">
        <v>45557</v>
      </c>
      <c r="AB1456" t="s">
        <v>2922</v>
      </c>
      <c r="AC1456">
        <v>7</v>
      </c>
    </row>
    <row r="1457" spans="1:29" x14ac:dyDescent="0.3">
      <c r="A1457" s="3">
        <v>45207</v>
      </c>
      <c r="B1457" s="3" t="str">
        <f>TEXT(CleanedTable[[#This Row],[OrderDate]],"mmm")</f>
        <v>Oct</v>
      </c>
      <c r="C1457" s="3" t="str">
        <f>TEXT(CleanedTable[[#This Row],[OrderDate]],"yyyy")</f>
        <v>2023</v>
      </c>
      <c r="D1457" s="3" t="str">
        <f>TEXT(CleanedTable[[#This Row],[OrderDate]],"mmm yyyy")</f>
        <v>Oct 2023</v>
      </c>
      <c r="E1457" t="s">
        <v>20</v>
      </c>
      <c r="F1457" t="s">
        <v>29</v>
      </c>
      <c r="G1457" s="12">
        <v>14</v>
      </c>
      <c r="H1457" s="8">
        <v>216.4</v>
      </c>
      <c r="I1457" t="s">
        <v>34</v>
      </c>
      <c r="J1457" t="s">
        <v>35</v>
      </c>
      <c r="K1457" s="10">
        <v>0.1</v>
      </c>
      <c r="L1457" t="s">
        <v>41</v>
      </c>
      <c r="M1457">
        <v>2726.64</v>
      </c>
      <c r="N1457">
        <v>1817.76</v>
      </c>
      <c r="O1457" s="10">
        <v>868.13999999999987</v>
      </c>
      <c r="P1457" s="10">
        <v>0.31839186691312382</v>
      </c>
      <c r="Q1457" s="8">
        <v>2726.64</v>
      </c>
      <c r="R1457" t="s">
        <v>46</v>
      </c>
      <c r="S1457" t="s">
        <v>50</v>
      </c>
      <c r="T1457" t="s">
        <v>2931</v>
      </c>
      <c r="U1457">
        <v>0</v>
      </c>
      <c r="V1457" t="str">
        <f>IF(CleanedTable[[#This Row],[Returned]] = 0,"NO","Yes")</f>
        <v>NO</v>
      </c>
      <c r="W1457" t="s">
        <v>1506</v>
      </c>
      <c r="X1457" t="s">
        <v>2817</v>
      </c>
      <c r="Y1457" s="10">
        <v>40.74</v>
      </c>
      <c r="Z1457" s="3">
        <v>45207</v>
      </c>
      <c r="AA1457" s="3">
        <v>45209</v>
      </c>
      <c r="AB1457" t="s">
        <v>2923</v>
      </c>
      <c r="AC1457">
        <v>2</v>
      </c>
    </row>
    <row r="1458" spans="1:29" x14ac:dyDescent="0.3">
      <c r="A1458" s="3">
        <v>45800</v>
      </c>
      <c r="B1458" s="3" t="str">
        <f>TEXT(CleanedTable[[#This Row],[OrderDate]],"mmm")</f>
        <v>May</v>
      </c>
      <c r="C1458" s="3" t="str">
        <f>TEXT(CleanedTable[[#This Row],[OrderDate]],"yyyy")</f>
        <v>2025</v>
      </c>
      <c r="D1458" s="3" t="str">
        <f>TEXT(CleanedTable[[#This Row],[OrderDate]],"mmm yyyy")</f>
        <v>May 2025</v>
      </c>
      <c r="E1458" t="s">
        <v>20</v>
      </c>
      <c r="F1458" t="s">
        <v>25</v>
      </c>
      <c r="G1458" s="12">
        <v>16</v>
      </c>
      <c r="H1458" s="8">
        <v>231.76</v>
      </c>
      <c r="I1458" t="s">
        <v>31</v>
      </c>
      <c r="J1458" t="s">
        <v>36</v>
      </c>
      <c r="K1458" s="10">
        <v>0.15</v>
      </c>
      <c r="L1458" t="s">
        <v>42</v>
      </c>
      <c r="M1458">
        <v>3151.9359999999997</v>
      </c>
      <c r="N1458">
        <v>2224.8959999999997</v>
      </c>
      <c r="O1458" s="10">
        <v>917.62</v>
      </c>
      <c r="P1458" s="10">
        <v>0.29112900769558775</v>
      </c>
      <c r="Q1458" s="8">
        <v>3151.9360000000001</v>
      </c>
      <c r="R1458" t="s">
        <v>43</v>
      </c>
      <c r="S1458" t="s">
        <v>50</v>
      </c>
      <c r="T1458" t="s">
        <v>2931</v>
      </c>
      <c r="U1458">
        <v>1</v>
      </c>
      <c r="V1458" t="str">
        <f>IF(CleanedTable[[#This Row],[Returned]] = 0,"NO","Yes")</f>
        <v>Yes</v>
      </c>
      <c r="W1458" t="s">
        <v>1507</v>
      </c>
      <c r="X1458" t="s">
        <v>2885</v>
      </c>
      <c r="Y1458" s="10">
        <v>9.42</v>
      </c>
      <c r="Z1458" s="3">
        <v>45800</v>
      </c>
      <c r="AA1458" s="3">
        <v>45804</v>
      </c>
      <c r="AB1458" t="s">
        <v>2923</v>
      </c>
      <c r="AC1458">
        <v>4</v>
      </c>
    </row>
    <row r="1459" spans="1:29" x14ac:dyDescent="0.3">
      <c r="A1459" s="3">
        <v>44928</v>
      </c>
      <c r="B1459" s="3" t="str">
        <f>TEXT(CleanedTable[[#This Row],[OrderDate]],"mmm")</f>
        <v>Jan</v>
      </c>
      <c r="C1459" s="3" t="str">
        <f>TEXT(CleanedTable[[#This Row],[OrderDate]],"yyyy")</f>
        <v>2023</v>
      </c>
      <c r="D1459" s="3" t="str">
        <f>TEXT(CleanedTable[[#This Row],[OrderDate]],"mmm yyyy")</f>
        <v>Jan 2023</v>
      </c>
      <c r="E1459" t="s">
        <v>20</v>
      </c>
      <c r="F1459" t="s">
        <v>24</v>
      </c>
      <c r="G1459" s="12">
        <v>7</v>
      </c>
      <c r="H1459" s="8">
        <v>61.47</v>
      </c>
      <c r="I1459" t="s">
        <v>33</v>
      </c>
      <c r="J1459" t="s">
        <v>36</v>
      </c>
      <c r="K1459" s="10">
        <v>0.15</v>
      </c>
      <c r="L1459" t="s">
        <v>37</v>
      </c>
      <c r="M1459">
        <v>365.74649999999997</v>
      </c>
      <c r="N1459">
        <v>258.17399999999998</v>
      </c>
      <c r="O1459" s="10">
        <v>93.132499999999993</v>
      </c>
      <c r="P1459" s="10">
        <v>0.25463674977067452</v>
      </c>
      <c r="Q1459" s="8">
        <v>365.74650000000003</v>
      </c>
      <c r="R1459" t="s">
        <v>43</v>
      </c>
      <c r="S1459" t="s">
        <v>48</v>
      </c>
      <c r="T1459" t="s">
        <v>2931</v>
      </c>
      <c r="U1459">
        <v>0</v>
      </c>
      <c r="V1459" t="str">
        <f>IF(CleanedTable[[#This Row],[Returned]] = 0,"NO","Yes")</f>
        <v>NO</v>
      </c>
      <c r="W1459" t="s">
        <v>1508</v>
      </c>
      <c r="X1459" t="s">
        <v>2886</v>
      </c>
      <c r="Y1459" s="10">
        <v>14.44</v>
      </c>
      <c r="Z1459" s="3">
        <v>44928</v>
      </c>
      <c r="AA1459" s="3">
        <v>44938</v>
      </c>
      <c r="AB1459" t="s">
        <v>2923</v>
      </c>
      <c r="AC1459">
        <v>10</v>
      </c>
    </row>
    <row r="1460" spans="1:29" x14ac:dyDescent="0.3">
      <c r="A1460" s="3">
        <v>45218</v>
      </c>
      <c r="B1460" s="3" t="str">
        <f>TEXT(CleanedTable[[#This Row],[OrderDate]],"mmm")</f>
        <v>Oct</v>
      </c>
      <c r="C1460" s="3" t="str">
        <f>TEXT(CleanedTable[[#This Row],[OrderDate]],"yyyy")</f>
        <v>2023</v>
      </c>
      <c r="D1460" s="3" t="str">
        <f>TEXT(CleanedTable[[#This Row],[OrderDate]],"mmm yyyy")</f>
        <v>Oct 2023</v>
      </c>
      <c r="E1460" t="s">
        <v>21</v>
      </c>
      <c r="F1460" t="s">
        <v>26</v>
      </c>
      <c r="G1460" s="12">
        <v>15</v>
      </c>
      <c r="H1460" s="8">
        <v>434.44</v>
      </c>
      <c r="I1460" t="s">
        <v>31</v>
      </c>
      <c r="J1460" t="s">
        <v>35</v>
      </c>
      <c r="K1460" s="10">
        <v>0</v>
      </c>
      <c r="L1460" t="s">
        <v>42</v>
      </c>
      <c r="M1460">
        <v>6516.6</v>
      </c>
      <c r="N1460">
        <v>3909.96</v>
      </c>
      <c r="O1460" s="10">
        <v>2572.7800000000002</v>
      </c>
      <c r="P1460" s="10">
        <v>0.39480403891599913</v>
      </c>
      <c r="Q1460" s="8">
        <v>6516.6</v>
      </c>
      <c r="R1460" t="s">
        <v>46</v>
      </c>
      <c r="T1460" t="s">
        <v>2932</v>
      </c>
      <c r="U1460">
        <v>1</v>
      </c>
      <c r="V1460" t="str">
        <f>IF(CleanedTable[[#This Row],[Returned]] = 0,"NO","Yes")</f>
        <v>Yes</v>
      </c>
      <c r="W1460" t="s">
        <v>1509</v>
      </c>
      <c r="X1460" t="s">
        <v>2887</v>
      </c>
      <c r="Y1460" s="10">
        <v>33.86</v>
      </c>
      <c r="Z1460" s="3">
        <v>45218</v>
      </c>
      <c r="AA1460" s="3">
        <v>45227</v>
      </c>
      <c r="AB1460" t="s">
        <v>2924</v>
      </c>
      <c r="AC1460">
        <v>9</v>
      </c>
    </row>
    <row r="1461" spans="1:29" x14ac:dyDescent="0.3">
      <c r="A1461" s="3">
        <v>45772</v>
      </c>
      <c r="B1461" s="3" t="str">
        <f>TEXT(CleanedTable[[#This Row],[OrderDate]],"mmm")</f>
        <v>Apr</v>
      </c>
      <c r="C1461" s="3" t="str">
        <f>TEXT(CleanedTable[[#This Row],[OrderDate]],"yyyy")</f>
        <v>2025</v>
      </c>
      <c r="D1461" s="3" t="str">
        <f>TEXT(CleanedTable[[#This Row],[OrderDate]],"mmm yyyy")</f>
        <v>Apr 2025</v>
      </c>
      <c r="E1461" t="s">
        <v>23</v>
      </c>
      <c r="F1461" t="s">
        <v>27</v>
      </c>
      <c r="G1461" s="12">
        <v>16</v>
      </c>
      <c r="H1461" s="8">
        <v>484.01</v>
      </c>
      <c r="I1461" t="s">
        <v>32</v>
      </c>
      <c r="J1461" t="s">
        <v>35</v>
      </c>
      <c r="K1461" s="10">
        <v>0</v>
      </c>
      <c r="L1461" t="s">
        <v>38</v>
      </c>
      <c r="M1461">
        <v>7744.16</v>
      </c>
      <c r="N1461">
        <v>4646.4960000000001</v>
      </c>
      <c r="O1461" s="10">
        <v>3088.0139999999997</v>
      </c>
      <c r="P1461" s="10">
        <v>0.39875389971281583</v>
      </c>
      <c r="Q1461" s="8">
        <v>7744.16</v>
      </c>
      <c r="R1461" t="s">
        <v>43</v>
      </c>
      <c r="S1461" t="s">
        <v>49</v>
      </c>
      <c r="T1461" t="s">
        <v>2931</v>
      </c>
      <c r="U1461">
        <v>1</v>
      </c>
      <c r="V1461" t="str">
        <f>IF(CleanedTable[[#This Row],[Returned]] = 0,"NO","Yes")</f>
        <v>Yes</v>
      </c>
      <c r="W1461" t="s">
        <v>1510</v>
      </c>
      <c r="X1461" t="s">
        <v>2888</v>
      </c>
      <c r="Y1461" s="10">
        <v>9.65</v>
      </c>
      <c r="Z1461" s="3">
        <v>45772</v>
      </c>
      <c r="AA1461" s="3">
        <v>45778</v>
      </c>
      <c r="AB1461" t="s">
        <v>2926</v>
      </c>
      <c r="AC1461">
        <v>6</v>
      </c>
    </row>
    <row r="1462" spans="1:29" x14ac:dyDescent="0.3">
      <c r="A1462" s="3">
        <v>45382</v>
      </c>
      <c r="B1462" s="3" t="str">
        <f>TEXT(CleanedTable[[#This Row],[OrderDate]],"mmm")</f>
        <v>Mar</v>
      </c>
      <c r="C1462" s="3" t="str">
        <f>TEXT(CleanedTable[[#This Row],[OrderDate]],"yyyy")</f>
        <v>2024</v>
      </c>
      <c r="D1462" s="3" t="str">
        <f>TEXT(CleanedTable[[#This Row],[OrderDate]],"mmm yyyy")</f>
        <v>Mar 2024</v>
      </c>
      <c r="E1462" t="s">
        <v>22</v>
      </c>
      <c r="F1462" t="s">
        <v>26</v>
      </c>
      <c r="G1462" s="12">
        <v>2</v>
      </c>
      <c r="H1462" s="8">
        <v>55.08</v>
      </c>
      <c r="I1462" t="s">
        <v>33</v>
      </c>
      <c r="J1462" t="s">
        <v>35</v>
      </c>
      <c r="K1462" s="10">
        <v>0</v>
      </c>
      <c r="L1462" t="s">
        <v>39</v>
      </c>
      <c r="M1462">
        <v>110.16</v>
      </c>
      <c r="N1462">
        <v>66.095999999999989</v>
      </c>
      <c r="O1462" s="10">
        <v>34.214000000000006</v>
      </c>
      <c r="P1462" s="10">
        <v>0.31058460421205525</v>
      </c>
      <c r="Q1462" s="8">
        <v>110.16</v>
      </c>
      <c r="R1462" t="s">
        <v>45</v>
      </c>
      <c r="S1462" t="s">
        <v>48</v>
      </c>
      <c r="T1462" t="s">
        <v>2931</v>
      </c>
      <c r="U1462">
        <v>0</v>
      </c>
      <c r="V1462" t="str">
        <f>IF(CleanedTable[[#This Row],[Returned]] = 0,"NO","Yes")</f>
        <v>NO</v>
      </c>
      <c r="W1462" t="s">
        <v>1511</v>
      </c>
      <c r="X1462" t="s">
        <v>2889</v>
      </c>
      <c r="Y1462" s="10">
        <v>9.85</v>
      </c>
      <c r="Z1462" s="3">
        <v>45382</v>
      </c>
      <c r="AA1462" s="3">
        <v>45386</v>
      </c>
      <c r="AB1462" t="s">
        <v>2925</v>
      </c>
      <c r="AC1462">
        <v>4</v>
      </c>
    </row>
    <row r="1463" spans="1:29" x14ac:dyDescent="0.3">
      <c r="A1463" s="3">
        <v>45688</v>
      </c>
      <c r="B1463" s="3" t="str">
        <f>TEXT(CleanedTable[[#This Row],[OrderDate]],"mmm")</f>
        <v>Jan</v>
      </c>
      <c r="C1463" s="3" t="str">
        <f>TEXT(CleanedTable[[#This Row],[OrderDate]],"yyyy")</f>
        <v>2025</v>
      </c>
      <c r="D1463" s="3" t="str">
        <f>TEXT(CleanedTable[[#This Row],[OrderDate]],"mmm yyyy")</f>
        <v>Jan 2025</v>
      </c>
      <c r="E1463" t="s">
        <v>21</v>
      </c>
      <c r="F1463" t="s">
        <v>30</v>
      </c>
      <c r="G1463" s="12">
        <v>13</v>
      </c>
      <c r="H1463" s="8">
        <v>223.44</v>
      </c>
      <c r="I1463" t="s">
        <v>31</v>
      </c>
      <c r="J1463" t="s">
        <v>36</v>
      </c>
      <c r="K1463" s="10">
        <v>0.15</v>
      </c>
      <c r="L1463" t="s">
        <v>40</v>
      </c>
      <c r="M1463">
        <v>2469.0119999999997</v>
      </c>
      <c r="N1463">
        <v>1742.8319999999999</v>
      </c>
      <c r="O1463" s="10">
        <v>687.7199999999998</v>
      </c>
      <c r="P1463" s="10">
        <v>0.27854056602398042</v>
      </c>
      <c r="Q1463" s="8">
        <v>2469.0120000000002</v>
      </c>
      <c r="R1463" t="s">
        <v>45</v>
      </c>
      <c r="T1463" t="s">
        <v>2932</v>
      </c>
      <c r="U1463">
        <v>1</v>
      </c>
      <c r="V1463" t="str">
        <f>IF(CleanedTable[[#This Row],[Returned]] = 0,"NO","Yes")</f>
        <v>Yes</v>
      </c>
      <c r="W1463" t="s">
        <v>1512</v>
      </c>
      <c r="X1463" t="s">
        <v>2890</v>
      </c>
      <c r="Y1463" s="10">
        <v>38.46</v>
      </c>
      <c r="Z1463" s="3">
        <v>45688</v>
      </c>
      <c r="AA1463" s="3">
        <v>45695</v>
      </c>
      <c r="AB1463" t="s">
        <v>2924</v>
      </c>
      <c r="AC1463">
        <v>7</v>
      </c>
    </row>
    <row r="1464" spans="1:29" x14ac:dyDescent="0.3">
      <c r="A1464" s="3">
        <v>45743</v>
      </c>
      <c r="B1464" s="3" t="str">
        <f>TEXT(CleanedTable[[#This Row],[OrderDate]],"mmm")</f>
        <v>Mar</v>
      </c>
      <c r="C1464" s="3" t="str">
        <f>TEXT(CleanedTable[[#This Row],[OrderDate]],"yyyy")</f>
        <v>2025</v>
      </c>
      <c r="D1464" s="3" t="str">
        <f>TEXT(CleanedTable[[#This Row],[OrderDate]],"mmm yyyy")</f>
        <v>Mar 2025</v>
      </c>
      <c r="E1464" t="s">
        <v>19</v>
      </c>
      <c r="F1464" t="s">
        <v>25</v>
      </c>
      <c r="G1464" s="12">
        <v>11</v>
      </c>
      <c r="H1464" s="8">
        <v>548.08000000000004</v>
      </c>
      <c r="I1464" t="s">
        <v>34</v>
      </c>
      <c r="J1464" t="s">
        <v>35</v>
      </c>
      <c r="K1464" s="10">
        <v>0.05</v>
      </c>
      <c r="L1464" t="s">
        <v>37</v>
      </c>
      <c r="M1464">
        <v>5727.4359999999997</v>
      </c>
      <c r="N1464">
        <v>3617.328</v>
      </c>
      <c r="O1464" s="10">
        <v>2084.2879999999996</v>
      </c>
      <c r="P1464" s="10">
        <v>0.36391292718067902</v>
      </c>
      <c r="Q1464" s="8">
        <v>5727.4359999999997</v>
      </c>
      <c r="R1464" t="s">
        <v>47</v>
      </c>
      <c r="T1464" t="s">
        <v>2932</v>
      </c>
      <c r="U1464">
        <v>0</v>
      </c>
      <c r="V1464" t="str">
        <f>IF(CleanedTable[[#This Row],[Returned]] = 0,"NO","Yes")</f>
        <v>NO</v>
      </c>
      <c r="W1464" t="s">
        <v>1513</v>
      </c>
      <c r="X1464" t="s">
        <v>2891</v>
      </c>
      <c r="Y1464" s="10">
        <v>25.82</v>
      </c>
      <c r="Z1464" s="3">
        <v>45743</v>
      </c>
      <c r="AA1464" s="3">
        <v>45753</v>
      </c>
      <c r="AB1464" t="s">
        <v>2922</v>
      </c>
      <c r="AC1464">
        <v>10</v>
      </c>
    </row>
    <row r="1465" spans="1:29" x14ac:dyDescent="0.3">
      <c r="A1465" s="3">
        <v>45676</v>
      </c>
      <c r="B1465" s="3" t="str">
        <f>TEXT(CleanedTable[[#This Row],[OrderDate]],"mmm")</f>
        <v>Jan</v>
      </c>
      <c r="C1465" s="3" t="str">
        <f>TEXT(CleanedTable[[#This Row],[OrderDate]],"yyyy")</f>
        <v>2025</v>
      </c>
      <c r="D1465" s="3" t="str">
        <f>TEXT(CleanedTable[[#This Row],[OrderDate]],"mmm yyyy")</f>
        <v>Jan 2025</v>
      </c>
      <c r="E1465" t="s">
        <v>22</v>
      </c>
      <c r="F1465" t="s">
        <v>26</v>
      </c>
      <c r="G1465" s="12">
        <v>11</v>
      </c>
      <c r="H1465" s="8">
        <v>133.63999999999999</v>
      </c>
      <c r="I1465" t="s">
        <v>34</v>
      </c>
      <c r="J1465" t="s">
        <v>35</v>
      </c>
      <c r="K1465" s="10">
        <v>0</v>
      </c>
      <c r="L1465" t="s">
        <v>41</v>
      </c>
      <c r="M1465">
        <v>1470.04</v>
      </c>
      <c r="N1465">
        <v>882.02399999999977</v>
      </c>
      <c r="O1465" s="10">
        <v>557.83600000000024</v>
      </c>
      <c r="P1465" s="10">
        <v>0.37946994639601661</v>
      </c>
      <c r="Q1465" s="8">
        <v>1470.04</v>
      </c>
      <c r="R1465" t="s">
        <v>46</v>
      </c>
      <c r="T1465" t="s">
        <v>2932</v>
      </c>
      <c r="U1465">
        <v>1</v>
      </c>
      <c r="V1465" t="str">
        <f>IF(CleanedTable[[#This Row],[Returned]] = 0,"NO","Yes")</f>
        <v>Yes</v>
      </c>
      <c r="W1465" t="s">
        <v>1514</v>
      </c>
      <c r="X1465" t="s">
        <v>2564</v>
      </c>
      <c r="Y1465" s="10">
        <v>30.18</v>
      </c>
      <c r="Z1465" s="3">
        <v>45676</v>
      </c>
      <c r="AA1465" s="3">
        <v>45681</v>
      </c>
      <c r="AB1465" t="s">
        <v>2925</v>
      </c>
      <c r="AC1465">
        <v>5</v>
      </c>
    </row>
    <row r="1466" spans="1:29" x14ac:dyDescent="0.3">
      <c r="A1466" s="3">
        <v>45428</v>
      </c>
      <c r="B1466" s="3" t="str">
        <f>TEXT(CleanedTable[[#This Row],[OrderDate]],"mmm")</f>
        <v>May</v>
      </c>
      <c r="C1466" s="3" t="str">
        <f>TEXT(CleanedTable[[#This Row],[OrderDate]],"yyyy")</f>
        <v>2024</v>
      </c>
      <c r="D1466" s="3" t="str">
        <f>TEXT(CleanedTable[[#This Row],[OrderDate]],"mmm yyyy")</f>
        <v>May 2024</v>
      </c>
      <c r="E1466" t="s">
        <v>21</v>
      </c>
      <c r="F1466" t="s">
        <v>27</v>
      </c>
      <c r="G1466" s="12">
        <v>19</v>
      </c>
      <c r="H1466" s="8">
        <v>368.85</v>
      </c>
      <c r="I1466" t="s">
        <v>33</v>
      </c>
      <c r="J1466" t="s">
        <v>36</v>
      </c>
      <c r="K1466" s="10">
        <v>0.1</v>
      </c>
      <c r="L1466" t="s">
        <v>42</v>
      </c>
      <c r="M1466">
        <v>6307.3350000000009</v>
      </c>
      <c r="N1466">
        <v>4204.8900000000003</v>
      </c>
      <c r="O1466" s="10">
        <v>2067.0750000000007</v>
      </c>
      <c r="P1466" s="10">
        <v>0.3277255766500432</v>
      </c>
      <c r="Q1466" s="8">
        <v>6307.3350000000009</v>
      </c>
      <c r="R1466" t="s">
        <v>44</v>
      </c>
      <c r="S1466" t="s">
        <v>48</v>
      </c>
      <c r="T1466" t="s">
        <v>2931</v>
      </c>
      <c r="U1466">
        <v>0</v>
      </c>
      <c r="V1466" t="str">
        <f>IF(CleanedTable[[#This Row],[Returned]] = 0,"NO","Yes")</f>
        <v>NO</v>
      </c>
      <c r="W1466" t="s">
        <v>1515</v>
      </c>
      <c r="X1466" t="s">
        <v>2892</v>
      </c>
      <c r="Y1466" s="10">
        <v>35.369999999999997</v>
      </c>
      <c r="Z1466" s="3">
        <v>45428</v>
      </c>
      <c r="AA1466" s="3">
        <v>45433</v>
      </c>
      <c r="AB1466" t="s">
        <v>2924</v>
      </c>
      <c r="AC1466">
        <v>5</v>
      </c>
    </row>
    <row r="1467" spans="1:29" x14ac:dyDescent="0.3">
      <c r="A1467" s="3">
        <v>45173</v>
      </c>
      <c r="B1467" s="3" t="str">
        <f>TEXT(CleanedTable[[#This Row],[OrderDate]],"mmm")</f>
        <v>Sep</v>
      </c>
      <c r="C1467" s="3" t="str">
        <f>TEXT(CleanedTable[[#This Row],[OrderDate]],"yyyy")</f>
        <v>2023</v>
      </c>
      <c r="D1467" s="3" t="str">
        <f>TEXT(CleanedTable[[#This Row],[OrderDate]],"mmm yyyy")</f>
        <v>Sep 2023</v>
      </c>
      <c r="E1467" t="s">
        <v>22</v>
      </c>
      <c r="F1467" t="s">
        <v>27</v>
      </c>
      <c r="G1467" s="12">
        <v>14</v>
      </c>
      <c r="H1467" s="8">
        <v>115.98</v>
      </c>
      <c r="I1467" t="s">
        <v>32</v>
      </c>
      <c r="J1467" t="s">
        <v>35</v>
      </c>
      <c r="K1467" s="10">
        <v>0</v>
      </c>
      <c r="L1467" t="s">
        <v>42</v>
      </c>
      <c r="M1467">
        <v>1623.72</v>
      </c>
      <c r="N1467">
        <v>974.23199999999997</v>
      </c>
      <c r="O1467" s="10">
        <v>617.63800000000003</v>
      </c>
      <c r="P1467" s="10">
        <v>0.38038454906018282</v>
      </c>
      <c r="Q1467" s="8">
        <v>1623.72</v>
      </c>
      <c r="R1467" t="s">
        <v>46</v>
      </c>
      <c r="T1467" t="s">
        <v>2932</v>
      </c>
      <c r="U1467">
        <v>0</v>
      </c>
      <c r="V1467" t="str">
        <f>IF(CleanedTable[[#This Row],[Returned]] = 0,"NO","Yes")</f>
        <v>NO</v>
      </c>
      <c r="W1467" t="s">
        <v>1516</v>
      </c>
      <c r="X1467" t="s">
        <v>2893</v>
      </c>
      <c r="Y1467" s="10">
        <v>31.85</v>
      </c>
      <c r="Z1467" s="3">
        <v>45173</v>
      </c>
      <c r="AA1467" s="3">
        <v>45175</v>
      </c>
      <c r="AB1467" t="s">
        <v>2925</v>
      </c>
      <c r="AC1467">
        <v>2</v>
      </c>
    </row>
    <row r="1468" spans="1:29" x14ac:dyDescent="0.3">
      <c r="A1468" s="3">
        <v>45277</v>
      </c>
      <c r="B1468" s="3" t="str">
        <f>TEXT(CleanedTable[[#This Row],[OrderDate]],"mmm")</f>
        <v>Dec</v>
      </c>
      <c r="C1468" s="3" t="str">
        <f>TEXT(CleanedTable[[#This Row],[OrderDate]],"yyyy")</f>
        <v>2023</v>
      </c>
      <c r="D1468" s="3" t="str">
        <f>TEXT(CleanedTable[[#This Row],[OrderDate]],"mmm yyyy")</f>
        <v>Dec 2023</v>
      </c>
      <c r="E1468" t="s">
        <v>20</v>
      </c>
      <c r="F1468" t="s">
        <v>28</v>
      </c>
      <c r="G1468" s="12">
        <v>9</v>
      </c>
      <c r="H1468" s="8">
        <v>55.04</v>
      </c>
      <c r="I1468" t="s">
        <v>31</v>
      </c>
      <c r="J1468" t="s">
        <v>36</v>
      </c>
      <c r="K1468" s="10">
        <v>0.15</v>
      </c>
      <c r="L1468" t="s">
        <v>38</v>
      </c>
      <c r="M1468">
        <v>421.05599999999998</v>
      </c>
      <c r="N1468">
        <v>297.21600000000001</v>
      </c>
      <c r="O1468" s="10">
        <v>92.749999999999972</v>
      </c>
      <c r="P1468" s="10">
        <v>0.22027948776409784</v>
      </c>
      <c r="Q1468" s="8">
        <v>421.05599999999998</v>
      </c>
      <c r="R1468" t="s">
        <v>43</v>
      </c>
      <c r="T1468" t="s">
        <v>2932</v>
      </c>
      <c r="U1468">
        <v>0</v>
      </c>
      <c r="V1468" t="str">
        <f>IF(CleanedTable[[#This Row],[Returned]] = 0,"NO","Yes")</f>
        <v>NO</v>
      </c>
      <c r="W1468" t="s">
        <v>1517</v>
      </c>
      <c r="X1468" t="s">
        <v>2894</v>
      </c>
      <c r="Y1468" s="10">
        <v>31.09</v>
      </c>
      <c r="Z1468" s="3">
        <v>45277</v>
      </c>
      <c r="AA1468" s="3">
        <v>45283</v>
      </c>
      <c r="AB1468" t="s">
        <v>2923</v>
      </c>
      <c r="AC1468">
        <v>6</v>
      </c>
    </row>
    <row r="1469" spans="1:29" x14ac:dyDescent="0.3">
      <c r="A1469" s="3">
        <v>45306</v>
      </c>
      <c r="B1469" s="3" t="str">
        <f>TEXT(CleanedTable[[#This Row],[OrderDate]],"mmm")</f>
        <v>Jan</v>
      </c>
      <c r="C1469" s="3" t="str">
        <f>TEXT(CleanedTable[[#This Row],[OrderDate]],"yyyy")</f>
        <v>2024</v>
      </c>
      <c r="D1469" s="3" t="str">
        <f>TEXT(CleanedTable[[#This Row],[OrderDate]],"mmm yyyy")</f>
        <v>Jan 2024</v>
      </c>
      <c r="E1469" t="s">
        <v>22</v>
      </c>
      <c r="F1469" t="s">
        <v>28</v>
      </c>
      <c r="G1469" s="12">
        <v>4</v>
      </c>
      <c r="H1469" s="8">
        <v>159.54</v>
      </c>
      <c r="I1469" t="s">
        <v>32</v>
      </c>
      <c r="J1469" t="s">
        <v>35</v>
      </c>
      <c r="K1469" s="10">
        <v>0.05</v>
      </c>
      <c r="L1469" t="s">
        <v>38</v>
      </c>
      <c r="M1469">
        <v>606.25199999999995</v>
      </c>
      <c r="N1469">
        <v>382.89599999999996</v>
      </c>
      <c r="O1469" s="10">
        <v>190.99599999999998</v>
      </c>
      <c r="P1469" s="10">
        <v>0.31504390913349561</v>
      </c>
      <c r="Q1469" s="8">
        <v>606.25199999999995</v>
      </c>
      <c r="R1469" t="s">
        <v>45</v>
      </c>
      <c r="S1469" t="s">
        <v>48</v>
      </c>
      <c r="T1469" t="s">
        <v>2931</v>
      </c>
      <c r="U1469">
        <v>0</v>
      </c>
      <c r="V1469" t="str">
        <f>IF(CleanedTable[[#This Row],[Returned]] = 0,"NO","Yes")</f>
        <v>NO</v>
      </c>
      <c r="W1469" t="s">
        <v>1518</v>
      </c>
      <c r="X1469" t="s">
        <v>2895</v>
      </c>
      <c r="Y1469" s="10">
        <v>32.36</v>
      </c>
      <c r="Z1469" s="3">
        <v>45306</v>
      </c>
      <c r="AA1469" s="3">
        <v>45312</v>
      </c>
      <c r="AB1469" t="s">
        <v>2925</v>
      </c>
      <c r="AC1469">
        <v>6</v>
      </c>
    </row>
    <row r="1470" spans="1:29" x14ac:dyDescent="0.3">
      <c r="A1470" s="3">
        <v>45645</v>
      </c>
      <c r="B1470" s="3" t="str">
        <f>TEXT(CleanedTable[[#This Row],[OrderDate]],"mmm")</f>
        <v>Dec</v>
      </c>
      <c r="C1470" s="3" t="str">
        <f>TEXT(CleanedTable[[#This Row],[OrderDate]],"yyyy")</f>
        <v>2024</v>
      </c>
      <c r="D1470" s="3" t="str">
        <f>TEXT(CleanedTable[[#This Row],[OrderDate]],"mmm yyyy")</f>
        <v>Dec 2024</v>
      </c>
      <c r="E1470" t="s">
        <v>22</v>
      </c>
      <c r="F1470" t="s">
        <v>24</v>
      </c>
      <c r="G1470" s="12">
        <v>15</v>
      </c>
      <c r="H1470" s="8">
        <v>150.15</v>
      </c>
      <c r="I1470" t="s">
        <v>33</v>
      </c>
      <c r="J1470" t="s">
        <v>36</v>
      </c>
      <c r="K1470" s="10">
        <v>0</v>
      </c>
      <c r="L1470" t="s">
        <v>39</v>
      </c>
      <c r="M1470">
        <v>2252.25</v>
      </c>
      <c r="N1470">
        <v>1351.3500000000001</v>
      </c>
      <c r="O1470" s="10">
        <v>864.95999999999981</v>
      </c>
      <c r="P1470" s="10">
        <v>0.38404262404262396</v>
      </c>
      <c r="Q1470" s="8">
        <v>2252.25</v>
      </c>
      <c r="R1470" t="s">
        <v>43</v>
      </c>
      <c r="S1470" t="s">
        <v>50</v>
      </c>
      <c r="T1470" t="s">
        <v>2931</v>
      </c>
      <c r="U1470">
        <v>0</v>
      </c>
      <c r="V1470" t="str">
        <f>IF(CleanedTable[[#This Row],[Returned]] = 0,"NO","Yes")</f>
        <v>NO</v>
      </c>
      <c r="W1470" t="s">
        <v>1519</v>
      </c>
      <c r="X1470" t="s">
        <v>2896</v>
      </c>
      <c r="Y1470" s="10">
        <v>35.94</v>
      </c>
      <c r="Z1470" s="3">
        <v>45645</v>
      </c>
      <c r="AA1470" s="3">
        <v>45655</v>
      </c>
      <c r="AB1470" t="s">
        <v>2925</v>
      </c>
      <c r="AC1470">
        <v>10</v>
      </c>
    </row>
    <row r="1471" spans="1:29" x14ac:dyDescent="0.3">
      <c r="A1471" s="3">
        <v>45276</v>
      </c>
      <c r="B1471" s="3" t="s">
        <v>2959</v>
      </c>
      <c r="C1471" s="3" t="str">
        <f>TEXT(CleanedTable[[#This Row],[OrderDate]],"yyyy")</f>
        <v>2023</v>
      </c>
      <c r="D1471" s="3" t="str">
        <f>TEXT(CleanedTable[[#This Row],[OrderDate]],"mmm yyyy")</f>
        <v>Dec 2023</v>
      </c>
      <c r="E1471" t="s">
        <v>21</v>
      </c>
      <c r="F1471" t="s">
        <v>27</v>
      </c>
      <c r="G1471" s="12">
        <v>9</v>
      </c>
      <c r="H1471" s="8">
        <v>57.93</v>
      </c>
      <c r="I1471" t="s">
        <v>33</v>
      </c>
      <c r="J1471" t="s">
        <v>35</v>
      </c>
      <c r="K1471" s="10">
        <v>0</v>
      </c>
      <c r="L1471" t="s">
        <v>42</v>
      </c>
      <c r="M1471">
        <v>521.37</v>
      </c>
      <c r="N1471">
        <v>312.82199999999995</v>
      </c>
      <c r="O1471" s="10">
        <v>179.81800000000007</v>
      </c>
      <c r="P1471" s="10">
        <v>0.34489518000652142</v>
      </c>
      <c r="Q1471" s="8">
        <v>521.37</v>
      </c>
      <c r="R1471" t="s">
        <v>44</v>
      </c>
      <c r="S1471" t="s">
        <v>48</v>
      </c>
      <c r="T1471" t="s">
        <v>2931</v>
      </c>
      <c r="U1471">
        <v>1</v>
      </c>
      <c r="V1471" t="str">
        <f>IF(CleanedTable[[#This Row],[Returned]] = 0,"NO","Yes")</f>
        <v>Yes</v>
      </c>
      <c r="W1471" t="s">
        <v>1520</v>
      </c>
      <c r="X1471" t="s">
        <v>1902</v>
      </c>
      <c r="Y1471" s="10">
        <v>28.73</v>
      </c>
      <c r="Z1471" s="3">
        <v>45276</v>
      </c>
      <c r="AA1471" s="3">
        <v>45278</v>
      </c>
      <c r="AB1471" t="s">
        <v>2924</v>
      </c>
      <c r="AC1471">
        <v>2</v>
      </c>
    </row>
    <row r="1472" spans="1:29" x14ac:dyDescent="0.3">
      <c r="A1472" s="3">
        <v>45791</v>
      </c>
      <c r="B1472" s="3" t="s">
        <v>2952</v>
      </c>
      <c r="C1472" s="3" t="str">
        <f>TEXT(CleanedTable[[#This Row],[OrderDate]],"yyyy")</f>
        <v>2025</v>
      </c>
      <c r="D1472" s="3" t="str">
        <f>TEXT(CleanedTable[[#This Row],[OrderDate]],"mmm yyyy")</f>
        <v>May 2025</v>
      </c>
      <c r="E1472" t="s">
        <v>22</v>
      </c>
      <c r="F1472" t="s">
        <v>24</v>
      </c>
      <c r="G1472" s="12">
        <v>4</v>
      </c>
      <c r="H1472" s="8">
        <v>438.58</v>
      </c>
      <c r="I1472" t="s">
        <v>34</v>
      </c>
      <c r="J1472" t="s">
        <v>36</v>
      </c>
      <c r="K1472" s="10">
        <v>0.05</v>
      </c>
      <c r="L1472" t="s">
        <v>38</v>
      </c>
      <c r="M1472">
        <v>1666.6039999999998</v>
      </c>
      <c r="N1472">
        <v>1052.5919999999999</v>
      </c>
      <c r="O1472" s="10">
        <v>608.91199999999992</v>
      </c>
      <c r="P1472" s="10">
        <v>0.36536093757125265</v>
      </c>
      <c r="Q1472" s="8">
        <v>1666.604</v>
      </c>
      <c r="R1472" t="s">
        <v>43</v>
      </c>
      <c r="S1472" t="s">
        <v>50</v>
      </c>
      <c r="T1472" t="s">
        <v>2931</v>
      </c>
      <c r="U1472">
        <v>0</v>
      </c>
      <c r="V1472" t="str">
        <f>IF(CleanedTable[[#This Row],[Returned]] = 0,"NO","Yes")</f>
        <v>NO</v>
      </c>
      <c r="W1472" t="s">
        <v>1521</v>
      </c>
      <c r="X1472" t="s">
        <v>2897</v>
      </c>
      <c r="Y1472" s="10">
        <v>5.0999999999999996</v>
      </c>
      <c r="Z1472" s="3">
        <v>45791</v>
      </c>
      <c r="AA1472" s="3">
        <v>45795</v>
      </c>
      <c r="AB1472" t="s">
        <v>2925</v>
      </c>
      <c r="AC1472">
        <v>4</v>
      </c>
    </row>
    <row r="1473" spans="1:29" x14ac:dyDescent="0.3">
      <c r="A1473" s="3">
        <v>45107</v>
      </c>
      <c r="B1473" s="3" t="s">
        <v>2953</v>
      </c>
      <c r="C1473" s="3" t="str">
        <f>TEXT(CleanedTable[[#This Row],[OrderDate]],"yyyy")</f>
        <v>2023</v>
      </c>
      <c r="D1473" s="3" t="str">
        <f>TEXT(CleanedTable[[#This Row],[OrderDate]],"mmm yyyy")</f>
        <v>Jun 2023</v>
      </c>
      <c r="E1473" t="s">
        <v>20</v>
      </c>
      <c r="F1473" t="s">
        <v>28</v>
      </c>
      <c r="G1473" s="12">
        <v>6</v>
      </c>
      <c r="H1473" s="8">
        <v>536.24</v>
      </c>
      <c r="I1473" t="s">
        <v>34</v>
      </c>
      <c r="J1473" t="s">
        <v>36</v>
      </c>
      <c r="K1473" s="10">
        <v>0</v>
      </c>
      <c r="L1473" t="s">
        <v>41</v>
      </c>
      <c r="M1473">
        <v>3217.44</v>
      </c>
      <c r="N1473">
        <v>1930.4639999999999</v>
      </c>
      <c r="O1473" s="10">
        <v>1251.6560000000002</v>
      </c>
      <c r="P1473" s="10">
        <v>0.38902232831070671</v>
      </c>
      <c r="Q1473" s="8">
        <v>3217.44</v>
      </c>
      <c r="R1473" t="s">
        <v>47</v>
      </c>
      <c r="S1473" t="s">
        <v>50</v>
      </c>
      <c r="T1473" t="s">
        <v>2931</v>
      </c>
      <c r="U1473">
        <v>0</v>
      </c>
      <c r="V1473" t="str">
        <f>IF(CleanedTable[[#This Row],[Returned]] = 0,"NO","Yes")</f>
        <v>NO</v>
      </c>
      <c r="W1473" t="s">
        <v>1522</v>
      </c>
      <c r="X1473" t="s">
        <v>2253</v>
      </c>
      <c r="Y1473" s="10">
        <v>35.32</v>
      </c>
      <c r="Z1473" s="3">
        <v>45107</v>
      </c>
      <c r="AA1473" s="3">
        <v>45109</v>
      </c>
      <c r="AB1473" t="s">
        <v>2923</v>
      </c>
      <c r="AC1473">
        <v>2</v>
      </c>
    </row>
    <row r="1474" spans="1:29" x14ac:dyDescent="0.3">
      <c r="A1474" s="3">
        <v>45838</v>
      </c>
      <c r="B1474" s="3" t="s">
        <v>2953</v>
      </c>
      <c r="C1474" s="3" t="str">
        <f>TEXT(CleanedTable[[#This Row],[OrderDate]],"yyyy")</f>
        <v>2025</v>
      </c>
      <c r="D1474" s="3" t="str">
        <f>TEXT(CleanedTable[[#This Row],[OrderDate]],"mmm yyyy")</f>
        <v>Jun 2025</v>
      </c>
      <c r="E1474" t="s">
        <v>20</v>
      </c>
      <c r="F1474" t="s">
        <v>25</v>
      </c>
      <c r="G1474" s="12">
        <v>20</v>
      </c>
      <c r="H1474" s="8">
        <v>444.77</v>
      </c>
      <c r="I1474" t="s">
        <v>31</v>
      </c>
      <c r="J1474" t="s">
        <v>35</v>
      </c>
      <c r="K1474" s="10">
        <v>0.1</v>
      </c>
      <c r="L1474" t="s">
        <v>41</v>
      </c>
      <c r="M1474">
        <v>8005.86</v>
      </c>
      <c r="N1474">
        <v>5337.24</v>
      </c>
      <c r="O1474" s="10">
        <v>2648.5699999999997</v>
      </c>
      <c r="P1474" s="10">
        <v>0.33082891781769852</v>
      </c>
      <c r="Q1474" s="8">
        <v>8005.86</v>
      </c>
      <c r="R1474" t="s">
        <v>43</v>
      </c>
      <c r="T1474" t="s">
        <v>2932</v>
      </c>
      <c r="U1474">
        <v>1</v>
      </c>
      <c r="V1474" t="str">
        <f>IF(CleanedTable[[#This Row],[Returned]] = 0,"NO","Yes")</f>
        <v>Yes</v>
      </c>
      <c r="W1474" t="s">
        <v>1523</v>
      </c>
      <c r="X1474" t="s">
        <v>2898</v>
      </c>
      <c r="Y1474" s="10">
        <v>20.05</v>
      </c>
      <c r="Z1474" s="3">
        <v>45838</v>
      </c>
      <c r="AA1474" s="3">
        <v>45845</v>
      </c>
      <c r="AB1474" t="s">
        <v>2923</v>
      </c>
      <c r="AC1474">
        <v>7</v>
      </c>
    </row>
    <row r="1475" spans="1:29" x14ac:dyDescent="0.3">
      <c r="A1475" s="3">
        <v>45730</v>
      </c>
      <c r="B1475" s="3" t="s">
        <v>2950</v>
      </c>
      <c r="C1475" s="3" t="str">
        <f>TEXT(CleanedTable[[#This Row],[OrderDate]],"yyyy")</f>
        <v>2025</v>
      </c>
      <c r="D1475" s="3" t="str">
        <f>TEXT(CleanedTable[[#This Row],[OrderDate]],"mmm yyyy")</f>
        <v>Mar 2025</v>
      </c>
      <c r="E1475" t="s">
        <v>22</v>
      </c>
      <c r="F1475" t="s">
        <v>30</v>
      </c>
      <c r="G1475" s="12">
        <v>10</v>
      </c>
      <c r="H1475" s="8">
        <v>212.1</v>
      </c>
      <c r="I1475" t="s">
        <v>31</v>
      </c>
      <c r="J1475" t="s">
        <v>36</v>
      </c>
      <c r="K1475" s="10">
        <v>0.15</v>
      </c>
      <c r="L1475" t="s">
        <v>37</v>
      </c>
      <c r="M1475">
        <v>1802.85</v>
      </c>
      <c r="N1475">
        <v>1272.5999999999999</v>
      </c>
      <c r="O1475" s="10">
        <v>482.32</v>
      </c>
      <c r="P1475" s="10">
        <v>0.26753196328036166</v>
      </c>
      <c r="Q1475" s="8">
        <v>1802.85</v>
      </c>
      <c r="R1475" t="s">
        <v>44</v>
      </c>
      <c r="S1475" t="s">
        <v>50</v>
      </c>
      <c r="T1475" t="s">
        <v>2931</v>
      </c>
      <c r="U1475">
        <v>0</v>
      </c>
      <c r="V1475" t="str">
        <f>IF(CleanedTable[[#This Row],[Returned]] = 0,"NO","Yes")</f>
        <v>NO</v>
      </c>
      <c r="W1475" t="s">
        <v>1524</v>
      </c>
      <c r="X1475" t="s">
        <v>2899</v>
      </c>
      <c r="Y1475" s="10">
        <v>47.93</v>
      </c>
      <c r="Z1475" s="3">
        <v>45730</v>
      </c>
      <c r="AA1475" s="3">
        <v>45738</v>
      </c>
      <c r="AB1475" t="s">
        <v>2925</v>
      </c>
      <c r="AC1475">
        <v>8</v>
      </c>
    </row>
    <row r="1476" spans="1:29" x14ac:dyDescent="0.3">
      <c r="A1476" s="3">
        <v>45034</v>
      </c>
      <c r="B1476" s="3" t="s">
        <v>2951</v>
      </c>
      <c r="C1476" s="3" t="str">
        <f>TEXT(CleanedTable[[#This Row],[OrderDate]],"yyyy")</f>
        <v>2023</v>
      </c>
      <c r="D1476" s="3" t="str">
        <f>TEXT(CleanedTable[[#This Row],[OrderDate]],"mmm yyyy")</f>
        <v>Apr 2023</v>
      </c>
      <c r="E1476" t="s">
        <v>20</v>
      </c>
      <c r="F1476" t="s">
        <v>25</v>
      </c>
      <c r="G1476" s="12">
        <v>9</v>
      </c>
      <c r="H1476" s="8">
        <v>509.44</v>
      </c>
      <c r="I1476" t="s">
        <v>31</v>
      </c>
      <c r="J1476" t="s">
        <v>36</v>
      </c>
      <c r="K1476" s="10">
        <v>0.15</v>
      </c>
      <c r="L1476" t="s">
        <v>37</v>
      </c>
      <c r="M1476">
        <v>3897.2159999999999</v>
      </c>
      <c r="N1476">
        <v>2750.9759999999997</v>
      </c>
      <c r="O1476" s="10">
        <v>1133.2400000000002</v>
      </c>
      <c r="P1476" s="10">
        <v>0.29078193253850959</v>
      </c>
      <c r="Q1476" s="8">
        <v>3897.2159999999999</v>
      </c>
      <c r="R1476" t="s">
        <v>45</v>
      </c>
      <c r="S1476" t="s">
        <v>49</v>
      </c>
      <c r="T1476" t="s">
        <v>2931</v>
      </c>
      <c r="U1476">
        <v>0</v>
      </c>
      <c r="V1476" t="str">
        <f>IF(CleanedTable[[#This Row],[Returned]] = 0,"NO","Yes")</f>
        <v>NO</v>
      </c>
      <c r="W1476" t="s">
        <v>1525</v>
      </c>
      <c r="X1476" t="s">
        <v>2900</v>
      </c>
      <c r="Y1476" s="10">
        <v>13</v>
      </c>
      <c r="Z1476" s="3">
        <v>45034</v>
      </c>
      <c r="AA1476" s="3">
        <v>45043</v>
      </c>
      <c r="AB1476" t="s">
        <v>2923</v>
      </c>
      <c r="AC1476">
        <v>9</v>
      </c>
    </row>
    <row r="1477" spans="1:29" x14ac:dyDescent="0.3">
      <c r="A1477" s="3">
        <v>45546</v>
      </c>
      <c r="B1477" s="3" t="s">
        <v>2956</v>
      </c>
      <c r="C1477" s="3" t="str">
        <f>TEXT(CleanedTable[[#This Row],[OrderDate]],"yyyy")</f>
        <v>2024</v>
      </c>
      <c r="D1477" s="3" t="str">
        <f>TEXT(CleanedTable[[#This Row],[OrderDate]],"mmm yyyy")</f>
        <v>Sep 2024</v>
      </c>
      <c r="E1477" t="s">
        <v>23</v>
      </c>
      <c r="F1477" t="s">
        <v>28</v>
      </c>
      <c r="G1477" s="12">
        <v>8</v>
      </c>
      <c r="H1477" s="8">
        <v>236.17</v>
      </c>
      <c r="I1477" t="s">
        <v>33</v>
      </c>
      <c r="J1477" t="s">
        <v>35</v>
      </c>
      <c r="K1477" s="10">
        <v>0.15</v>
      </c>
      <c r="L1477" t="s">
        <v>39</v>
      </c>
      <c r="M1477">
        <v>1605.9559999999999</v>
      </c>
      <c r="N1477">
        <v>1133.616</v>
      </c>
      <c r="O1477" s="10">
        <v>449.45999999999992</v>
      </c>
      <c r="P1477" s="10">
        <v>0.27987068138853116</v>
      </c>
      <c r="Q1477" s="8">
        <v>1605.9559999999999</v>
      </c>
      <c r="R1477" t="s">
        <v>47</v>
      </c>
      <c r="S1477" t="s">
        <v>50</v>
      </c>
      <c r="T1477" t="s">
        <v>2931</v>
      </c>
      <c r="U1477">
        <v>0</v>
      </c>
      <c r="V1477" t="str">
        <f>IF(CleanedTable[[#This Row],[Returned]] = 0,"NO","Yes")</f>
        <v>NO</v>
      </c>
      <c r="W1477" t="s">
        <v>1526</v>
      </c>
      <c r="X1477" t="s">
        <v>2901</v>
      </c>
      <c r="Y1477" s="10">
        <v>22.88</v>
      </c>
      <c r="Z1477" s="3">
        <v>45546</v>
      </c>
      <c r="AA1477" s="3">
        <v>45554</v>
      </c>
      <c r="AB1477" t="s">
        <v>2926</v>
      </c>
      <c r="AC1477">
        <v>8</v>
      </c>
    </row>
    <row r="1478" spans="1:29" x14ac:dyDescent="0.3">
      <c r="A1478" s="3">
        <v>45251</v>
      </c>
      <c r="B1478" s="3" t="s">
        <v>2958</v>
      </c>
      <c r="C1478" s="3" t="str">
        <f>TEXT(CleanedTable[[#This Row],[OrderDate]],"yyyy")</f>
        <v>2023</v>
      </c>
      <c r="D1478" s="3" t="str">
        <f>TEXT(CleanedTable[[#This Row],[OrderDate]],"mmm yyyy")</f>
        <v>Nov 2023</v>
      </c>
      <c r="E1478" t="s">
        <v>22</v>
      </c>
      <c r="F1478" t="s">
        <v>30</v>
      </c>
      <c r="G1478" s="12">
        <v>1</v>
      </c>
      <c r="H1478" s="8">
        <v>147.4</v>
      </c>
      <c r="I1478" t="s">
        <v>34</v>
      </c>
      <c r="J1478" t="s">
        <v>36</v>
      </c>
      <c r="K1478" s="10">
        <v>0</v>
      </c>
      <c r="L1478" t="s">
        <v>40</v>
      </c>
      <c r="M1478">
        <v>147.4</v>
      </c>
      <c r="N1478">
        <v>88.44</v>
      </c>
      <c r="O1478" s="10">
        <v>18.490000000000009</v>
      </c>
      <c r="P1478" s="10">
        <v>0.1254409769335143</v>
      </c>
      <c r="Q1478" s="8">
        <v>147.4</v>
      </c>
      <c r="R1478" t="s">
        <v>47</v>
      </c>
      <c r="S1478" t="s">
        <v>49</v>
      </c>
      <c r="T1478" t="s">
        <v>2931</v>
      </c>
      <c r="U1478">
        <v>1</v>
      </c>
      <c r="V1478" t="str">
        <f>IF(CleanedTable[[#This Row],[Returned]] = 0,"NO","Yes")</f>
        <v>Yes</v>
      </c>
      <c r="W1478" t="s">
        <v>1527</v>
      </c>
      <c r="X1478" t="s">
        <v>2223</v>
      </c>
      <c r="Y1478" s="10">
        <v>40.47</v>
      </c>
      <c r="Z1478" s="3">
        <v>45251</v>
      </c>
      <c r="AA1478" s="3">
        <v>45258</v>
      </c>
      <c r="AB1478" t="s">
        <v>2925</v>
      </c>
      <c r="AC1478">
        <v>7</v>
      </c>
    </row>
    <row r="1479" spans="1:29" x14ac:dyDescent="0.3">
      <c r="A1479" s="3">
        <v>45351</v>
      </c>
      <c r="B1479" s="3" t="s">
        <v>2949</v>
      </c>
      <c r="C1479" s="3" t="str">
        <f>TEXT(CleanedTable[[#This Row],[OrderDate]],"yyyy")</f>
        <v>2024</v>
      </c>
      <c r="D1479" s="3" t="str">
        <f>TEXT(CleanedTable[[#This Row],[OrderDate]],"mmm yyyy")</f>
        <v>Feb 2024</v>
      </c>
      <c r="E1479" t="s">
        <v>23</v>
      </c>
      <c r="F1479" t="s">
        <v>29</v>
      </c>
      <c r="G1479" s="12">
        <v>8</v>
      </c>
      <c r="H1479" s="8">
        <v>279.74</v>
      </c>
      <c r="I1479" t="s">
        <v>31</v>
      </c>
      <c r="J1479" t="s">
        <v>36</v>
      </c>
      <c r="K1479" s="10">
        <v>0.05</v>
      </c>
      <c r="L1479" t="s">
        <v>38</v>
      </c>
      <c r="M1479">
        <v>2126.0239999999999</v>
      </c>
      <c r="N1479">
        <v>1342.752</v>
      </c>
      <c r="O1479" s="10">
        <v>750.17199999999991</v>
      </c>
      <c r="P1479" s="10">
        <v>0.35285208445436173</v>
      </c>
      <c r="Q1479" s="8">
        <v>2126.0239999999999</v>
      </c>
      <c r="R1479" t="s">
        <v>44</v>
      </c>
      <c r="S1479" t="s">
        <v>48</v>
      </c>
      <c r="T1479" t="s">
        <v>2931</v>
      </c>
      <c r="U1479">
        <v>0</v>
      </c>
      <c r="V1479" t="str">
        <f>IF(CleanedTable[[#This Row],[Returned]] = 0,"NO","Yes")</f>
        <v>NO</v>
      </c>
      <c r="W1479" t="s">
        <v>1528</v>
      </c>
      <c r="X1479" t="s">
        <v>2134</v>
      </c>
      <c r="Y1479" s="10">
        <v>33.1</v>
      </c>
      <c r="Z1479" s="3">
        <v>45351</v>
      </c>
      <c r="AA1479" s="3">
        <v>45358</v>
      </c>
      <c r="AB1479" t="s">
        <v>2926</v>
      </c>
      <c r="AC1479">
        <v>7</v>
      </c>
    </row>
    <row r="1480" spans="1:29" x14ac:dyDescent="0.3">
      <c r="A1480" s="3">
        <v>45057</v>
      </c>
      <c r="B1480" s="3" t="s">
        <v>2952</v>
      </c>
      <c r="C1480" s="3" t="str">
        <f>TEXT(CleanedTable[[#This Row],[OrderDate]],"yyyy")</f>
        <v>2023</v>
      </c>
      <c r="D1480" s="3" t="str">
        <f>TEXT(CleanedTable[[#This Row],[OrderDate]],"mmm yyyy")</f>
        <v>May 2023</v>
      </c>
      <c r="E1480" t="s">
        <v>23</v>
      </c>
      <c r="F1480" t="s">
        <v>24</v>
      </c>
      <c r="G1480" s="12">
        <v>3</v>
      </c>
      <c r="H1480" s="8">
        <v>304.61</v>
      </c>
      <c r="I1480" t="s">
        <v>31</v>
      </c>
      <c r="J1480" t="s">
        <v>35</v>
      </c>
      <c r="K1480" s="10">
        <v>0.05</v>
      </c>
      <c r="L1480" t="s">
        <v>42</v>
      </c>
      <c r="M1480">
        <v>868.13850000000002</v>
      </c>
      <c r="N1480">
        <v>548.298</v>
      </c>
      <c r="O1480" s="10">
        <v>272.70050000000003</v>
      </c>
      <c r="P1480" s="10">
        <v>0.31412096111392368</v>
      </c>
      <c r="Q1480" s="8">
        <v>868.13850000000002</v>
      </c>
      <c r="R1480" t="s">
        <v>47</v>
      </c>
      <c r="S1480" t="s">
        <v>49</v>
      </c>
      <c r="T1480" t="s">
        <v>2931</v>
      </c>
      <c r="U1480">
        <v>0</v>
      </c>
      <c r="V1480" t="str">
        <f>IF(CleanedTable[[#This Row],[Returned]] = 0,"NO","Yes")</f>
        <v>NO</v>
      </c>
      <c r="W1480" t="s">
        <v>1529</v>
      </c>
      <c r="X1480" t="s">
        <v>2902</v>
      </c>
      <c r="Y1480" s="10">
        <v>47.14</v>
      </c>
      <c r="Z1480" s="3">
        <v>45057</v>
      </c>
      <c r="AA1480" s="3">
        <v>45061</v>
      </c>
      <c r="AB1480" t="s">
        <v>2926</v>
      </c>
      <c r="AC1480">
        <v>4</v>
      </c>
    </row>
    <row r="1481" spans="1:29" x14ac:dyDescent="0.3">
      <c r="A1481" s="3">
        <v>45546</v>
      </c>
      <c r="B1481" s="3" t="s">
        <v>2956</v>
      </c>
      <c r="C1481" s="3" t="str">
        <f>TEXT(CleanedTable[[#This Row],[OrderDate]],"yyyy")</f>
        <v>2024</v>
      </c>
      <c r="D1481" s="3" t="str">
        <f>TEXT(CleanedTable[[#This Row],[OrderDate]],"mmm yyyy")</f>
        <v>Sep 2024</v>
      </c>
      <c r="E1481" t="s">
        <v>20</v>
      </c>
      <c r="F1481" t="s">
        <v>29</v>
      </c>
      <c r="G1481" s="12">
        <v>9</v>
      </c>
      <c r="H1481" s="8">
        <v>238.32</v>
      </c>
      <c r="I1481" t="s">
        <v>33</v>
      </c>
      <c r="J1481" t="s">
        <v>36</v>
      </c>
      <c r="K1481" s="10">
        <v>0</v>
      </c>
      <c r="L1481" t="s">
        <v>41</v>
      </c>
      <c r="M1481">
        <v>2144.88</v>
      </c>
      <c r="N1481">
        <v>1286.9279999999999</v>
      </c>
      <c r="O1481" s="10">
        <v>849.45200000000023</v>
      </c>
      <c r="P1481" s="10">
        <v>0.396037074335161</v>
      </c>
      <c r="Q1481" s="8">
        <v>2144.88</v>
      </c>
      <c r="R1481" t="s">
        <v>47</v>
      </c>
      <c r="S1481" t="s">
        <v>50</v>
      </c>
      <c r="T1481" t="s">
        <v>2931</v>
      </c>
      <c r="U1481">
        <v>1</v>
      </c>
      <c r="V1481" t="str">
        <f>IF(CleanedTable[[#This Row],[Returned]] = 0,"NO","Yes")</f>
        <v>Yes</v>
      </c>
      <c r="W1481" t="s">
        <v>1530</v>
      </c>
      <c r="X1481" t="s">
        <v>2842</v>
      </c>
      <c r="Y1481" s="10">
        <v>8.5</v>
      </c>
      <c r="Z1481" s="3">
        <v>45546</v>
      </c>
      <c r="AA1481" s="3">
        <v>45555</v>
      </c>
      <c r="AB1481" t="s">
        <v>2923</v>
      </c>
      <c r="AC1481">
        <v>9</v>
      </c>
    </row>
    <row r="1482" spans="1:29" x14ac:dyDescent="0.3">
      <c r="A1482" s="3">
        <v>45520</v>
      </c>
      <c r="B1482" s="3" t="s">
        <v>2955</v>
      </c>
      <c r="C1482" s="3" t="str">
        <f>TEXT(CleanedTable[[#This Row],[OrderDate]],"yyyy")</f>
        <v>2024</v>
      </c>
      <c r="D1482" s="3" t="str">
        <f>TEXT(CleanedTable[[#This Row],[OrderDate]],"mmm yyyy")</f>
        <v>Aug 2024</v>
      </c>
      <c r="E1482" t="s">
        <v>23</v>
      </c>
      <c r="F1482" t="s">
        <v>30</v>
      </c>
      <c r="G1482" s="12">
        <v>16</v>
      </c>
      <c r="H1482" s="8">
        <v>483.37</v>
      </c>
      <c r="I1482" t="s">
        <v>31</v>
      </c>
      <c r="J1482" t="s">
        <v>36</v>
      </c>
      <c r="K1482" s="10">
        <v>0.1</v>
      </c>
      <c r="L1482" t="s">
        <v>38</v>
      </c>
      <c r="M1482">
        <v>6960.5280000000002</v>
      </c>
      <c r="N1482">
        <v>4640.3519999999999</v>
      </c>
      <c r="O1482" s="10">
        <v>2277.6560000000004</v>
      </c>
      <c r="P1482" s="10">
        <v>0.32722460135208137</v>
      </c>
      <c r="Q1482" s="8">
        <v>6960.5280000000002</v>
      </c>
      <c r="R1482" t="s">
        <v>46</v>
      </c>
      <c r="T1482" t="s">
        <v>2932</v>
      </c>
      <c r="U1482">
        <v>0</v>
      </c>
      <c r="V1482" t="str">
        <f>IF(CleanedTable[[#This Row],[Returned]] = 0,"NO","Yes")</f>
        <v>NO</v>
      </c>
      <c r="W1482" t="s">
        <v>1531</v>
      </c>
      <c r="X1482" t="s">
        <v>2903</v>
      </c>
      <c r="Y1482" s="10">
        <v>42.52</v>
      </c>
      <c r="Z1482" s="3">
        <v>45520</v>
      </c>
      <c r="AA1482" s="3">
        <v>45526</v>
      </c>
      <c r="AB1482" t="s">
        <v>2926</v>
      </c>
      <c r="AC1482">
        <v>6</v>
      </c>
    </row>
    <row r="1483" spans="1:29" x14ac:dyDescent="0.3">
      <c r="A1483" s="3">
        <v>45807</v>
      </c>
      <c r="B1483" s="3" t="s">
        <v>2952</v>
      </c>
      <c r="C1483" s="3" t="str">
        <f>TEXT(CleanedTable[[#This Row],[OrderDate]],"yyyy")</f>
        <v>2025</v>
      </c>
      <c r="D1483" s="3" t="str">
        <f>TEXT(CleanedTable[[#This Row],[OrderDate]],"mmm yyyy")</f>
        <v>May 2025</v>
      </c>
      <c r="E1483" t="s">
        <v>21</v>
      </c>
      <c r="F1483" t="s">
        <v>28</v>
      </c>
      <c r="G1483" s="12">
        <v>6</v>
      </c>
      <c r="H1483" s="8">
        <v>159.53</v>
      </c>
      <c r="I1483" t="s">
        <v>32</v>
      </c>
      <c r="J1483" t="s">
        <v>36</v>
      </c>
      <c r="K1483" s="10">
        <v>0.05</v>
      </c>
      <c r="L1483" t="s">
        <v>42</v>
      </c>
      <c r="M1483">
        <v>909.32100000000003</v>
      </c>
      <c r="N1483">
        <v>574.30799999999999</v>
      </c>
      <c r="O1483" s="10">
        <v>286.41300000000001</v>
      </c>
      <c r="P1483" s="10">
        <v>0.31497457993381878</v>
      </c>
      <c r="Q1483" s="8">
        <v>909.32100000000003</v>
      </c>
      <c r="R1483" t="s">
        <v>44</v>
      </c>
      <c r="T1483" t="s">
        <v>2932</v>
      </c>
      <c r="U1483">
        <v>0</v>
      </c>
      <c r="V1483" t="str">
        <f>IF(CleanedTable[[#This Row],[Returned]] = 0,"NO","Yes")</f>
        <v>NO</v>
      </c>
      <c r="W1483" t="s">
        <v>1532</v>
      </c>
      <c r="X1483" t="s">
        <v>2904</v>
      </c>
      <c r="Y1483" s="10">
        <v>48.6</v>
      </c>
      <c r="Z1483" s="3">
        <v>45807</v>
      </c>
      <c r="AA1483" s="3">
        <v>45815</v>
      </c>
      <c r="AB1483" t="s">
        <v>2924</v>
      </c>
      <c r="AC1483">
        <v>8</v>
      </c>
    </row>
    <row r="1484" spans="1:29" x14ac:dyDescent="0.3">
      <c r="A1484" s="3">
        <v>45160</v>
      </c>
      <c r="B1484" s="3" t="s">
        <v>2955</v>
      </c>
      <c r="C1484" s="3" t="str">
        <f>TEXT(CleanedTable[[#This Row],[OrderDate]],"yyyy")</f>
        <v>2023</v>
      </c>
      <c r="D1484" s="3" t="str">
        <f>TEXT(CleanedTable[[#This Row],[OrderDate]],"mmm yyyy")</f>
        <v>Aug 2023</v>
      </c>
      <c r="E1484" t="s">
        <v>19</v>
      </c>
      <c r="F1484" t="s">
        <v>26</v>
      </c>
      <c r="G1484" s="12">
        <v>19</v>
      </c>
      <c r="H1484" s="8">
        <v>280.60000000000002</v>
      </c>
      <c r="I1484" t="s">
        <v>32</v>
      </c>
      <c r="J1484" t="s">
        <v>35</v>
      </c>
      <c r="K1484" s="10">
        <v>0.1</v>
      </c>
      <c r="L1484" t="s">
        <v>39</v>
      </c>
      <c r="M1484">
        <v>4798.26</v>
      </c>
      <c r="N1484">
        <v>3198.84</v>
      </c>
      <c r="O1484" s="10">
        <v>1563.48</v>
      </c>
      <c r="P1484" s="10">
        <v>0.32584311813032224</v>
      </c>
      <c r="Q1484" s="8">
        <v>4798.26</v>
      </c>
      <c r="R1484" t="s">
        <v>44</v>
      </c>
      <c r="S1484" t="s">
        <v>48</v>
      </c>
      <c r="T1484" t="s">
        <v>2931</v>
      </c>
      <c r="U1484">
        <v>0</v>
      </c>
      <c r="V1484" t="str">
        <f>IF(CleanedTable[[#This Row],[Returned]] = 0,"NO","Yes")</f>
        <v>NO</v>
      </c>
      <c r="W1484" t="s">
        <v>1533</v>
      </c>
      <c r="X1484" t="s">
        <v>2905</v>
      </c>
      <c r="Y1484" s="10">
        <v>35.94</v>
      </c>
      <c r="Z1484" s="3">
        <v>45160</v>
      </c>
      <c r="AA1484" s="3">
        <v>45166</v>
      </c>
      <c r="AB1484" t="s">
        <v>2922</v>
      </c>
      <c r="AC1484">
        <v>6</v>
      </c>
    </row>
    <row r="1485" spans="1:29" x14ac:dyDescent="0.3">
      <c r="A1485" s="3">
        <v>45314</v>
      </c>
      <c r="B1485" s="3" t="s">
        <v>2948</v>
      </c>
      <c r="C1485" s="3" t="str">
        <f>TEXT(CleanedTable[[#This Row],[OrderDate]],"yyyy")</f>
        <v>2024</v>
      </c>
      <c r="D1485" s="3" t="str">
        <f>TEXT(CleanedTable[[#This Row],[OrderDate]],"mmm yyyy")</f>
        <v>Jan 2024</v>
      </c>
      <c r="E1485" t="s">
        <v>19</v>
      </c>
      <c r="F1485" t="s">
        <v>29</v>
      </c>
      <c r="G1485" s="12">
        <v>2</v>
      </c>
      <c r="H1485" s="8">
        <v>389.98</v>
      </c>
      <c r="I1485" t="s">
        <v>34</v>
      </c>
      <c r="J1485" t="s">
        <v>35</v>
      </c>
      <c r="K1485" s="10">
        <v>0.05</v>
      </c>
      <c r="L1485" t="s">
        <v>40</v>
      </c>
      <c r="M1485">
        <v>740.96199999999999</v>
      </c>
      <c r="N1485">
        <v>467.976</v>
      </c>
      <c r="O1485" s="10">
        <v>248.43599999999998</v>
      </c>
      <c r="P1485" s="10">
        <v>0.33528844934018204</v>
      </c>
      <c r="Q1485" s="8">
        <v>740.96199999999999</v>
      </c>
      <c r="R1485" t="s">
        <v>46</v>
      </c>
      <c r="S1485" t="s">
        <v>49</v>
      </c>
      <c r="T1485" t="s">
        <v>2931</v>
      </c>
      <c r="U1485">
        <v>1</v>
      </c>
      <c r="V1485" t="str">
        <f>IF(CleanedTable[[#This Row],[Returned]] = 0,"NO","Yes")</f>
        <v>Yes</v>
      </c>
      <c r="W1485" t="s">
        <v>1534</v>
      </c>
      <c r="X1485" t="s">
        <v>2906</v>
      </c>
      <c r="Y1485" s="10">
        <v>24.55</v>
      </c>
      <c r="Z1485" s="3">
        <v>45314</v>
      </c>
      <c r="AA1485" s="3">
        <v>45316</v>
      </c>
      <c r="AB1485" t="s">
        <v>2922</v>
      </c>
      <c r="AC1485">
        <v>2</v>
      </c>
    </row>
    <row r="1486" spans="1:29" x14ac:dyDescent="0.3">
      <c r="A1486" s="3">
        <v>45001</v>
      </c>
      <c r="B1486" s="3" t="s">
        <v>2950</v>
      </c>
      <c r="C1486" s="3" t="str">
        <f>TEXT(CleanedTable[[#This Row],[OrderDate]],"yyyy")</f>
        <v>2023</v>
      </c>
      <c r="D1486" s="3" t="str">
        <f>TEXT(CleanedTable[[#This Row],[OrderDate]],"mmm yyyy")</f>
        <v>Mar 2023</v>
      </c>
      <c r="E1486" t="s">
        <v>21</v>
      </c>
      <c r="F1486" t="s">
        <v>28</v>
      </c>
      <c r="G1486" s="12">
        <v>17</v>
      </c>
      <c r="H1486" s="8">
        <v>485.3</v>
      </c>
      <c r="I1486" t="s">
        <v>34</v>
      </c>
      <c r="J1486" t="s">
        <v>36</v>
      </c>
      <c r="K1486" s="10">
        <v>0.15</v>
      </c>
      <c r="L1486" t="s">
        <v>41</v>
      </c>
      <c r="M1486">
        <v>7012.585</v>
      </c>
      <c r="N1486">
        <v>4950.0600000000004</v>
      </c>
      <c r="O1486" s="10">
        <v>2024.5849999999996</v>
      </c>
      <c r="P1486" s="10">
        <v>0.28870737395696444</v>
      </c>
      <c r="Q1486" s="8">
        <v>7012.585</v>
      </c>
      <c r="R1486" t="s">
        <v>47</v>
      </c>
      <c r="S1486" t="s">
        <v>50</v>
      </c>
      <c r="T1486" t="s">
        <v>2931</v>
      </c>
      <c r="U1486">
        <v>0</v>
      </c>
      <c r="V1486" t="str">
        <f>IF(CleanedTable[[#This Row],[Returned]] = 0,"NO","Yes")</f>
        <v>NO</v>
      </c>
      <c r="W1486" t="s">
        <v>1535</v>
      </c>
      <c r="X1486" t="s">
        <v>2907</v>
      </c>
      <c r="Y1486" s="10">
        <v>37.94</v>
      </c>
      <c r="Z1486" s="3">
        <v>45001</v>
      </c>
      <c r="AA1486" s="3">
        <v>45008</v>
      </c>
      <c r="AB1486" t="s">
        <v>2924</v>
      </c>
      <c r="AC1486">
        <v>7</v>
      </c>
    </row>
    <row r="1487" spans="1:29" x14ac:dyDescent="0.3">
      <c r="A1487" s="3">
        <v>45793</v>
      </c>
      <c r="B1487" s="3" t="s">
        <v>2952</v>
      </c>
      <c r="C1487" s="3" t="str">
        <f>TEXT(CleanedTable[[#This Row],[OrderDate]],"yyyy")</f>
        <v>2025</v>
      </c>
      <c r="D1487" s="3" t="str">
        <f>TEXT(CleanedTable[[#This Row],[OrderDate]],"mmm yyyy")</f>
        <v>May 2025</v>
      </c>
      <c r="E1487" t="s">
        <v>20</v>
      </c>
      <c r="F1487" t="s">
        <v>24</v>
      </c>
      <c r="G1487" s="12">
        <v>4</v>
      </c>
      <c r="H1487" s="8">
        <v>472.24</v>
      </c>
      <c r="I1487" t="s">
        <v>34</v>
      </c>
      <c r="J1487" t="s">
        <v>36</v>
      </c>
      <c r="K1487" s="10">
        <v>0</v>
      </c>
      <c r="L1487" t="s">
        <v>38</v>
      </c>
      <c r="M1487">
        <v>1888.96</v>
      </c>
      <c r="N1487">
        <v>1133.376</v>
      </c>
      <c r="O1487" s="10">
        <v>748.80400000000009</v>
      </c>
      <c r="P1487" s="10">
        <v>0.39641072336100291</v>
      </c>
      <c r="Q1487" s="8">
        <v>1888.96</v>
      </c>
      <c r="R1487" t="s">
        <v>44</v>
      </c>
      <c r="S1487" t="s">
        <v>48</v>
      </c>
      <c r="T1487" t="s">
        <v>2931</v>
      </c>
      <c r="U1487">
        <v>1</v>
      </c>
      <c r="V1487" t="str">
        <f>IF(CleanedTable[[#This Row],[Returned]] = 0,"NO","Yes")</f>
        <v>Yes</v>
      </c>
      <c r="W1487" t="s">
        <v>1536</v>
      </c>
      <c r="X1487" t="s">
        <v>2908</v>
      </c>
      <c r="Y1487" s="10">
        <v>6.78</v>
      </c>
      <c r="Z1487" s="3">
        <v>45793</v>
      </c>
      <c r="AA1487" s="3">
        <v>45798</v>
      </c>
      <c r="AB1487" t="s">
        <v>2923</v>
      </c>
      <c r="AC1487">
        <v>5</v>
      </c>
    </row>
    <row r="1488" spans="1:29" x14ac:dyDescent="0.3">
      <c r="A1488" s="3">
        <v>45069</v>
      </c>
      <c r="B1488" s="3" t="s">
        <v>2952</v>
      </c>
      <c r="C1488" s="3" t="str">
        <f>TEXT(CleanedTable[[#This Row],[OrderDate]],"yyyy")</f>
        <v>2023</v>
      </c>
      <c r="D1488" s="3" t="str">
        <f>TEXT(CleanedTable[[#This Row],[OrderDate]],"mmm yyyy")</f>
        <v>May 2023</v>
      </c>
      <c r="E1488" t="s">
        <v>19</v>
      </c>
      <c r="F1488" t="s">
        <v>28</v>
      </c>
      <c r="G1488" s="12">
        <v>8</v>
      </c>
      <c r="H1488" s="8">
        <v>143.53</v>
      </c>
      <c r="I1488" t="s">
        <v>34</v>
      </c>
      <c r="J1488" t="s">
        <v>35</v>
      </c>
      <c r="K1488" s="10">
        <v>0</v>
      </c>
      <c r="L1488" t="s">
        <v>38</v>
      </c>
      <c r="M1488">
        <v>1148.24</v>
      </c>
      <c r="N1488">
        <v>688.94399999999996</v>
      </c>
      <c r="O1488" s="10">
        <v>450.19600000000003</v>
      </c>
      <c r="P1488" s="10">
        <v>0.39207482756218215</v>
      </c>
      <c r="Q1488" s="8">
        <v>1148.24</v>
      </c>
      <c r="R1488" t="s">
        <v>47</v>
      </c>
      <c r="S1488" t="s">
        <v>50</v>
      </c>
      <c r="T1488" t="s">
        <v>2931</v>
      </c>
      <c r="U1488">
        <v>0</v>
      </c>
      <c r="V1488" t="str">
        <f>IF(CleanedTable[[#This Row],[Returned]] = 0,"NO","Yes")</f>
        <v>NO</v>
      </c>
      <c r="W1488" t="s">
        <v>1537</v>
      </c>
      <c r="X1488" t="s">
        <v>2909</v>
      </c>
      <c r="Y1488" s="10">
        <v>9.1</v>
      </c>
      <c r="Z1488" s="3">
        <v>45069</v>
      </c>
      <c r="AA1488" s="3">
        <v>45075</v>
      </c>
      <c r="AB1488" t="s">
        <v>2922</v>
      </c>
      <c r="AC1488">
        <v>6</v>
      </c>
    </row>
    <row r="1489" spans="1:29" x14ac:dyDescent="0.3">
      <c r="A1489" s="3">
        <v>45459</v>
      </c>
      <c r="B1489" s="3" t="s">
        <v>2953</v>
      </c>
      <c r="C1489" s="3" t="str">
        <f>TEXT(CleanedTable[[#This Row],[OrderDate]],"yyyy")</f>
        <v>2024</v>
      </c>
      <c r="D1489" s="3" t="str">
        <f>TEXT(CleanedTable[[#This Row],[OrderDate]],"mmm yyyy")</f>
        <v>Jun 2024</v>
      </c>
      <c r="E1489" t="s">
        <v>21</v>
      </c>
      <c r="F1489" t="s">
        <v>27</v>
      </c>
      <c r="G1489" s="12">
        <v>5</v>
      </c>
      <c r="H1489" s="8">
        <v>159.91999999999999</v>
      </c>
      <c r="I1489" t="s">
        <v>31</v>
      </c>
      <c r="J1489" t="s">
        <v>35</v>
      </c>
      <c r="K1489" s="10">
        <v>0</v>
      </c>
      <c r="L1489" t="s">
        <v>40</v>
      </c>
      <c r="M1489">
        <v>799.59999999999991</v>
      </c>
      <c r="N1489">
        <v>479.75999999999993</v>
      </c>
      <c r="O1489" s="10">
        <v>308.97999999999996</v>
      </c>
      <c r="P1489" s="10">
        <v>0.38641820910455227</v>
      </c>
      <c r="Q1489" s="8">
        <v>799.59999999999991</v>
      </c>
      <c r="R1489" t="s">
        <v>47</v>
      </c>
      <c r="S1489" t="s">
        <v>49</v>
      </c>
      <c r="T1489" t="s">
        <v>2931</v>
      </c>
      <c r="U1489">
        <v>0</v>
      </c>
      <c r="V1489" t="str">
        <f>IF(CleanedTable[[#This Row],[Returned]] = 0,"NO","Yes")</f>
        <v>NO</v>
      </c>
      <c r="W1489" t="s">
        <v>1538</v>
      </c>
      <c r="X1489" t="s">
        <v>2910</v>
      </c>
      <c r="Y1489" s="10">
        <v>10.86</v>
      </c>
      <c r="Z1489" s="3">
        <v>45459</v>
      </c>
      <c r="AA1489" s="3">
        <v>45466</v>
      </c>
      <c r="AB1489" t="s">
        <v>2924</v>
      </c>
      <c r="AC1489">
        <v>7</v>
      </c>
    </row>
    <row r="1490" spans="1:29" x14ac:dyDescent="0.3">
      <c r="A1490" s="3">
        <v>45685</v>
      </c>
      <c r="B1490" s="3" t="s">
        <v>2948</v>
      </c>
      <c r="C1490" s="3" t="str">
        <f>TEXT(CleanedTable[[#This Row],[OrderDate]],"yyyy")</f>
        <v>2025</v>
      </c>
      <c r="D1490" s="3" t="str">
        <f>TEXT(CleanedTable[[#This Row],[OrderDate]],"mmm yyyy")</f>
        <v>Jan 2025</v>
      </c>
      <c r="E1490" t="s">
        <v>22</v>
      </c>
      <c r="F1490" t="s">
        <v>28</v>
      </c>
      <c r="G1490" s="12">
        <v>13</v>
      </c>
      <c r="H1490" s="8">
        <v>447.34</v>
      </c>
      <c r="I1490" t="s">
        <v>32</v>
      </c>
      <c r="J1490" t="s">
        <v>35</v>
      </c>
      <c r="K1490" s="10">
        <v>0.05</v>
      </c>
      <c r="L1490" t="s">
        <v>39</v>
      </c>
      <c r="M1490">
        <v>5524.6489999999994</v>
      </c>
      <c r="N1490">
        <v>3489.252</v>
      </c>
      <c r="O1490" s="10">
        <v>1996.4669999999994</v>
      </c>
      <c r="P1490" s="10">
        <v>0.36137445111897598</v>
      </c>
      <c r="Q1490" s="8">
        <v>5524.6489999999994</v>
      </c>
      <c r="R1490" t="s">
        <v>47</v>
      </c>
      <c r="S1490" t="s">
        <v>49</v>
      </c>
      <c r="T1490" t="s">
        <v>2931</v>
      </c>
      <c r="U1490">
        <v>0</v>
      </c>
      <c r="V1490" t="str">
        <f>IF(CleanedTable[[#This Row],[Returned]] = 0,"NO","Yes")</f>
        <v>NO</v>
      </c>
      <c r="W1490" t="s">
        <v>1539</v>
      </c>
      <c r="X1490" t="s">
        <v>2911</v>
      </c>
      <c r="Y1490" s="10">
        <v>38.93</v>
      </c>
      <c r="Z1490" s="3">
        <v>45685</v>
      </c>
      <c r="AA1490" s="3">
        <v>45692</v>
      </c>
      <c r="AB1490" t="s">
        <v>2925</v>
      </c>
      <c r="AC1490">
        <v>7</v>
      </c>
    </row>
    <row r="1491" spans="1:29" x14ac:dyDescent="0.3">
      <c r="A1491" s="3">
        <v>45623</v>
      </c>
      <c r="B1491" s="3" t="s">
        <v>2958</v>
      </c>
      <c r="C1491" s="3" t="str">
        <f>TEXT(CleanedTable[[#This Row],[OrderDate]],"yyyy")</f>
        <v>2024</v>
      </c>
      <c r="D1491" s="3" t="str">
        <f>TEXT(CleanedTable[[#This Row],[OrderDate]],"mmm yyyy")</f>
        <v>Nov 2024</v>
      </c>
      <c r="E1491" t="s">
        <v>20</v>
      </c>
      <c r="F1491" t="s">
        <v>25</v>
      </c>
      <c r="G1491" s="12">
        <v>13</v>
      </c>
      <c r="H1491" s="8">
        <v>196.8</v>
      </c>
      <c r="I1491" t="s">
        <v>31</v>
      </c>
      <c r="J1491" t="s">
        <v>36</v>
      </c>
      <c r="K1491" s="10">
        <v>0.1</v>
      </c>
      <c r="L1491" t="s">
        <v>41</v>
      </c>
      <c r="M1491">
        <v>2302.56</v>
      </c>
      <c r="N1491">
        <v>1535.04</v>
      </c>
      <c r="O1491" s="10">
        <v>757.4</v>
      </c>
      <c r="P1491" s="10">
        <v>0.32893822527968869</v>
      </c>
      <c r="Q1491" s="8">
        <v>2302.56</v>
      </c>
      <c r="R1491" t="s">
        <v>47</v>
      </c>
      <c r="T1491" t="s">
        <v>2932</v>
      </c>
      <c r="U1491">
        <v>0</v>
      </c>
      <c r="V1491" t="str">
        <f>IF(CleanedTable[[#This Row],[Returned]] = 0,"NO","Yes")</f>
        <v>NO</v>
      </c>
      <c r="W1491" t="s">
        <v>1540</v>
      </c>
      <c r="X1491" t="s">
        <v>2912</v>
      </c>
      <c r="Y1491" s="10">
        <v>10.119999999999999</v>
      </c>
      <c r="Z1491" s="3">
        <v>45623</v>
      </c>
      <c r="AA1491" s="3">
        <v>45633</v>
      </c>
      <c r="AB1491" t="s">
        <v>2923</v>
      </c>
      <c r="AC1491">
        <v>10</v>
      </c>
    </row>
    <row r="1492" spans="1:29" x14ac:dyDescent="0.3">
      <c r="A1492" s="3">
        <v>45208</v>
      </c>
      <c r="B1492" s="3" t="s">
        <v>2957</v>
      </c>
      <c r="C1492" s="3" t="str">
        <f>TEXT(CleanedTable[[#This Row],[OrderDate]],"yyyy")</f>
        <v>2023</v>
      </c>
      <c r="D1492" s="3" t="str">
        <f>TEXT(CleanedTable[[#This Row],[OrderDate]],"mmm yyyy")</f>
        <v>Oct 2023</v>
      </c>
      <c r="E1492" t="s">
        <v>22</v>
      </c>
      <c r="F1492" t="s">
        <v>27</v>
      </c>
      <c r="G1492" s="12">
        <v>3</v>
      </c>
      <c r="H1492" s="8">
        <v>485.81</v>
      </c>
      <c r="I1492" t="s">
        <v>32</v>
      </c>
      <c r="J1492" t="s">
        <v>35</v>
      </c>
      <c r="K1492" s="10">
        <v>0.1</v>
      </c>
      <c r="L1492" t="s">
        <v>37</v>
      </c>
      <c r="M1492">
        <v>1311.6870000000001</v>
      </c>
      <c r="N1492">
        <v>874.45799999999997</v>
      </c>
      <c r="O1492" s="10">
        <v>417.76900000000018</v>
      </c>
      <c r="P1492" s="10">
        <v>0.31849747691331859</v>
      </c>
      <c r="Q1492" s="8">
        <v>1311.6869999999999</v>
      </c>
      <c r="R1492" t="s">
        <v>46</v>
      </c>
      <c r="S1492" t="s">
        <v>49</v>
      </c>
      <c r="T1492" t="s">
        <v>2931</v>
      </c>
      <c r="U1492">
        <v>0</v>
      </c>
      <c r="V1492" t="str">
        <f>IF(CleanedTable[[#This Row],[Returned]] = 0,"NO","Yes")</f>
        <v>NO</v>
      </c>
      <c r="W1492" t="s">
        <v>1541</v>
      </c>
      <c r="X1492" t="s">
        <v>2913</v>
      </c>
      <c r="Y1492" s="10">
        <v>19.46</v>
      </c>
      <c r="Z1492" s="3">
        <v>45208</v>
      </c>
      <c r="AA1492" s="3">
        <v>45210</v>
      </c>
      <c r="AB1492" t="s">
        <v>2925</v>
      </c>
      <c r="AC1492">
        <v>2</v>
      </c>
    </row>
    <row r="1493" spans="1:29" x14ac:dyDescent="0.3">
      <c r="A1493" s="3">
        <v>45494</v>
      </c>
      <c r="B1493" s="3" t="s">
        <v>2954</v>
      </c>
      <c r="C1493" s="3" t="str">
        <f>TEXT(CleanedTable[[#This Row],[OrderDate]],"yyyy")</f>
        <v>2024</v>
      </c>
      <c r="D1493" s="3" t="str">
        <f>TEXT(CleanedTable[[#This Row],[OrderDate]],"mmm yyyy")</f>
        <v>Jul 2024</v>
      </c>
      <c r="E1493" t="s">
        <v>23</v>
      </c>
      <c r="F1493" t="s">
        <v>25</v>
      </c>
      <c r="G1493" s="12">
        <v>16</v>
      </c>
      <c r="H1493" s="8">
        <v>183.62</v>
      </c>
      <c r="I1493" t="s">
        <v>32</v>
      </c>
      <c r="J1493" t="s">
        <v>35</v>
      </c>
      <c r="K1493" s="10">
        <v>0.05</v>
      </c>
      <c r="L1493" t="s">
        <v>42</v>
      </c>
      <c r="M1493">
        <v>2791.0239999999999</v>
      </c>
      <c r="N1493">
        <v>1762.752</v>
      </c>
      <c r="O1493" s="10">
        <v>1021.712</v>
      </c>
      <c r="P1493" s="10">
        <v>0.36607066080406331</v>
      </c>
      <c r="Q1493" s="8">
        <v>2791.0239999999999</v>
      </c>
      <c r="R1493" t="s">
        <v>44</v>
      </c>
      <c r="S1493" t="s">
        <v>50</v>
      </c>
      <c r="T1493" t="s">
        <v>2931</v>
      </c>
      <c r="U1493">
        <v>0</v>
      </c>
      <c r="V1493" t="str">
        <f>IF(CleanedTable[[#This Row],[Returned]] = 0,"NO","Yes")</f>
        <v>NO</v>
      </c>
      <c r="W1493" t="s">
        <v>1542</v>
      </c>
      <c r="X1493" t="s">
        <v>2914</v>
      </c>
      <c r="Y1493" s="10">
        <v>6.56</v>
      </c>
      <c r="Z1493" s="3">
        <v>45494</v>
      </c>
      <c r="AA1493" s="3">
        <v>45504</v>
      </c>
      <c r="AB1493" t="s">
        <v>2926</v>
      </c>
      <c r="AC1493">
        <v>10</v>
      </c>
    </row>
    <row r="1494" spans="1:29" x14ac:dyDescent="0.3">
      <c r="A1494" s="3">
        <v>45476</v>
      </c>
      <c r="B1494" s="3" t="s">
        <v>2954</v>
      </c>
      <c r="C1494" s="3" t="str">
        <f>TEXT(CleanedTable[[#This Row],[OrderDate]],"yyyy")</f>
        <v>2024</v>
      </c>
      <c r="D1494" s="3" t="str">
        <f>TEXT(CleanedTable[[#This Row],[OrderDate]],"mmm yyyy")</f>
        <v>Jul 2024</v>
      </c>
      <c r="E1494" t="s">
        <v>19</v>
      </c>
      <c r="F1494" t="s">
        <v>28</v>
      </c>
      <c r="G1494" s="12">
        <v>2</v>
      </c>
      <c r="H1494" s="8">
        <v>373.07</v>
      </c>
      <c r="I1494" t="s">
        <v>32</v>
      </c>
      <c r="J1494" t="s">
        <v>36</v>
      </c>
      <c r="K1494" s="10">
        <v>0.05</v>
      </c>
      <c r="L1494" t="s">
        <v>41</v>
      </c>
      <c r="M1494">
        <v>708.83299999999997</v>
      </c>
      <c r="N1494">
        <v>447.68399999999997</v>
      </c>
      <c r="O1494" s="10">
        <v>234.249</v>
      </c>
      <c r="P1494" s="10">
        <v>0.33047135220848917</v>
      </c>
      <c r="Q1494" s="8">
        <v>708.83299999999997</v>
      </c>
      <c r="R1494" t="s">
        <v>45</v>
      </c>
      <c r="S1494" t="s">
        <v>48</v>
      </c>
      <c r="T1494" t="s">
        <v>2931</v>
      </c>
      <c r="U1494">
        <v>0</v>
      </c>
      <c r="V1494" t="str">
        <f>IF(CleanedTable[[#This Row],[Returned]] = 0,"NO","Yes")</f>
        <v>NO</v>
      </c>
      <c r="W1494" t="s">
        <v>1543</v>
      </c>
      <c r="X1494" t="s">
        <v>2915</v>
      </c>
      <c r="Y1494" s="10">
        <v>26.9</v>
      </c>
      <c r="Z1494" s="3">
        <v>45476</v>
      </c>
      <c r="AA1494" s="3">
        <v>45480</v>
      </c>
      <c r="AB1494" t="s">
        <v>2922</v>
      </c>
      <c r="AC1494">
        <v>4</v>
      </c>
    </row>
    <row r="1495" spans="1:29" x14ac:dyDescent="0.3">
      <c r="A1495" s="3">
        <v>45559</v>
      </c>
      <c r="B1495" s="3" t="s">
        <v>2956</v>
      </c>
      <c r="C1495" s="3" t="str">
        <f>TEXT(CleanedTable[[#This Row],[OrderDate]],"yyyy")</f>
        <v>2024</v>
      </c>
      <c r="D1495" s="3" t="str">
        <f>TEXT(CleanedTable[[#This Row],[OrderDate]],"mmm yyyy")</f>
        <v>Sep 2024</v>
      </c>
      <c r="E1495" t="s">
        <v>23</v>
      </c>
      <c r="F1495" t="s">
        <v>28</v>
      </c>
      <c r="G1495" s="12">
        <v>17</v>
      </c>
      <c r="H1495" s="8">
        <v>527.67999999999995</v>
      </c>
      <c r="I1495" t="s">
        <v>31</v>
      </c>
      <c r="J1495" t="s">
        <v>35</v>
      </c>
      <c r="K1495" s="10">
        <v>0</v>
      </c>
      <c r="L1495" t="s">
        <v>41</v>
      </c>
      <c r="M1495">
        <v>8970.56</v>
      </c>
      <c r="N1495">
        <v>5382.3359999999993</v>
      </c>
      <c r="O1495" s="10">
        <v>3559.0340000000001</v>
      </c>
      <c r="P1495" s="10">
        <v>0.39674602254485786</v>
      </c>
      <c r="Q1495" s="8">
        <v>8970.56</v>
      </c>
      <c r="R1495" t="s">
        <v>44</v>
      </c>
      <c r="S1495" t="s">
        <v>48</v>
      </c>
      <c r="T1495" t="s">
        <v>2931</v>
      </c>
      <c r="U1495">
        <v>0</v>
      </c>
      <c r="V1495" t="str">
        <f>IF(CleanedTable[[#This Row],[Returned]] = 0,"NO","Yes")</f>
        <v>NO</v>
      </c>
      <c r="W1495" t="s">
        <v>1544</v>
      </c>
      <c r="X1495" t="s">
        <v>2916</v>
      </c>
      <c r="Y1495" s="10">
        <v>29.19</v>
      </c>
      <c r="Z1495" s="3">
        <v>45559</v>
      </c>
      <c r="AA1495" s="3">
        <v>45567</v>
      </c>
      <c r="AB1495" t="s">
        <v>2926</v>
      </c>
      <c r="AC1495">
        <v>8</v>
      </c>
    </row>
    <row r="1496" spans="1:29" x14ac:dyDescent="0.3">
      <c r="A1496" s="3">
        <v>45671</v>
      </c>
      <c r="B1496" s="3" t="s">
        <v>2948</v>
      </c>
      <c r="C1496" s="3" t="str">
        <f>TEXT(CleanedTable[[#This Row],[OrderDate]],"yyyy")</f>
        <v>2025</v>
      </c>
      <c r="D1496" s="3" t="str">
        <f>TEXT(CleanedTable[[#This Row],[OrderDate]],"mmm yyyy")</f>
        <v>Jan 2025</v>
      </c>
      <c r="E1496" t="s">
        <v>19</v>
      </c>
      <c r="F1496" t="s">
        <v>29</v>
      </c>
      <c r="G1496" s="12">
        <v>5</v>
      </c>
      <c r="H1496" s="8">
        <v>201.29</v>
      </c>
      <c r="I1496" t="s">
        <v>34</v>
      </c>
      <c r="J1496" t="s">
        <v>35</v>
      </c>
      <c r="K1496" s="10">
        <v>0</v>
      </c>
      <c r="L1496" t="s">
        <v>40</v>
      </c>
      <c r="M1496">
        <v>1006.4499999999999</v>
      </c>
      <c r="N1496">
        <v>603.86999999999989</v>
      </c>
      <c r="O1496" s="10">
        <v>353.45000000000005</v>
      </c>
      <c r="P1496" s="10">
        <v>0.35118485766804119</v>
      </c>
      <c r="Q1496" s="8">
        <v>1006.45</v>
      </c>
      <c r="R1496" t="s">
        <v>43</v>
      </c>
      <c r="S1496" t="s">
        <v>48</v>
      </c>
      <c r="T1496" t="s">
        <v>2931</v>
      </c>
      <c r="U1496">
        <v>0</v>
      </c>
      <c r="V1496" t="str">
        <f>IF(CleanedTable[[#This Row],[Returned]] = 0,"NO","Yes")</f>
        <v>NO</v>
      </c>
      <c r="W1496" t="s">
        <v>1545</v>
      </c>
      <c r="X1496" t="s">
        <v>2917</v>
      </c>
      <c r="Y1496" s="10">
        <v>49.13</v>
      </c>
      <c r="Z1496" s="3">
        <v>45671</v>
      </c>
      <c r="AA1496" s="3">
        <v>45678</v>
      </c>
      <c r="AB1496" t="s">
        <v>2922</v>
      </c>
      <c r="AC1496">
        <v>7</v>
      </c>
    </row>
    <row r="1497" spans="1:29" x14ac:dyDescent="0.3">
      <c r="A1497" s="3">
        <v>45705</v>
      </c>
      <c r="B1497" s="3" t="s">
        <v>2949</v>
      </c>
      <c r="C1497" s="3" t="str">
        <f>TEXT(CleanedTable[[#This Row],[OrderDate]],"yyyy")</f>
        <v>2025</v>
      </c>
      <c r="D1497" s="3" t="str">
        <f>TEXT(CleanedTable[[#This Row],[OrderDate]],"mmm yyyy")</f>
        <v>Feb 2025</v>
      </c>
      <c r="E1497" t="s">
        <v>23</v>
      </c>
      <c r="F1497" t="s">
        <v>26</v>
      </c>
      <c r="G1497" s="12">
        <v>13</v>
      </c>
      <c r="H1497" s="8">
        <v>134.56</v>
      </c>
      <c r="I1497" t="s">
        <v>34</v>
      </c>
      <c r="J1497" t="s">
        <v>36</v>
      </c>
      <c r="K1497" s="10">
        <v>0.05</v>
      </c>
      <c r="L1497" t="s">
        <v>40</v>
      </c>
      <c r="M1497">
        <v>1661.8159999999998</v>
      </c>
      <c r="N1497">
        <v>1049.568</v>
      </c>
      <c r="O1497" s="10">
        <v>576.61799999999982</v>
      </c>
      <c r="P1497" s="10">
        <v>0.34698065249100979</v>
      </c>
      <c r="Q1497" s="8">
        <v>1661.816</v>
      </c>
      <c r="R1497" t="s">
        <v>45</v>
      </c>
      <c r="S1497" t="s">
        <v>50</v>
      </c>
      <c r="T1497" t="s">
        <v>2931</v>
      </c>
      <c r="U1497">
        <v>0</v>
      </c>
      <c r="V1497" t="str">
        <f>IF(CleanedTable[[#This Row],[Returned]] = 0,"NO","Yes")</f>
        <v>NO</v>
      </c>
      <c r="W1497" t="s">
        <v>1546</v>
      </c>
      <c r="X1497" t="s">
        <v>2918</v>
      </c>
      <c r="Y1497" s="10">
        <v>35.630000000000003</v>
      </c>
      <c r="Z1497" s="3">
        <v>45705</v>
      </c>
      <c r="AA1497" s="3">
        <v>45710</v>
      </c>
      <c r="AB1497" t="s">
        <v>2926</v>
      </c>
      <c r="AC1497">
        <v>5</v>
      </c>
    </row>
    <row r="1498" spans="1:29" x14ac:dyDescent="0.3">
      <c r="A1498" s="3">
        <v>45302</v>
      </c>
      <c r="B1498" s="3" t="s">
        <v>2948</v>
      </c>
      <c r="C1498" s="3" t="str">
        <f>TEXT(CleanedTable[[#This Row],[OrderDate]],"yyyy")</f>
        <v>2024</v>
      </c>
      <c r="D1498" s="3" t="str">
        <f>TEXT(CleanedTable[[#This Row],[OrderDate]],"mmm yyyy")</f>
        <v>Jan 2024</v>
      </c>
      <c r="E1498" t="s">
        <v>20</v>
      </c>
      <c r="F1498" t="s">
        <v>27</v>
      </c>
      <c r="G1498" s="12">
        <v>18</v>
      </c>
      <c r="H1498" s="8">
        <v>209.75</v>
      </c>
      <c r="I1498" t="s">
        <v>33</v>
      </c>
      <c r="J1498" t="s">
        <v>35</v>
      </c>
      <c r="K1498" s="10">
        <v>0.15</v>
      </c>
      <c r="L1498" t="s">
        <v>39</v>
      </c>
      <c r="M1498">
        <v>3209.1749999999997</v>
      </c>
      <c r="N1498">
        <v>2265.2999999999997</v>
      </c>
      <c r="O1498" s="10">
        <v>897.94500000000005</v>
      </c>
      <c r="P1498" s="10">
        <v>0.2798055575030966</v>
      </c>
      <c r="Q1498" s="8">
        <v>3209.1750000000002</v>
      </c>
      <c r="R1498" t="s">
        <v>46</v>
      </c>
      <c r="S1498" t="s">
        <v>48</v>
      </c>
      <c r="T1498" t="s">
        <v>2931</v>
      </c>
      <c r="U1498">
        <v>0</v>
      </c>
      <c r="V1498" t="str">
        <f>IF(CleanedTable[[#This Row],[Returned]] = 0,"NO","Yes")</f>
        <v>NO</v>
      </c>
      <c r="W1498" t="s">
        <v>1547</v>
      </c>
      <c r="X1498" t="s">
        <v>2919</v>
      </c>
      <c r="Y1498" s="10">
        <v>45.93</v>
      </c>
      <c r="Z1498" s="3">
        <v>45302</v>
      </c>
      <c r="AA1498" s="3">
        <v>45308</v>
      </c>
      <c r="AB1498" t="s">
        <v>2923</v>
      </c>
      <c r="AC1498">
        <v>6</v>
      </c>
    </row>
    <row r="1499" spans="1:29" x14ac:dyDescent="0.3">
      <c r="A1499" s="3">
        <v>45500</v>
      </c>
      <c r="B1499" s="3" t="s">
        <v>2954</v>
      </c>
      <c r="C1499" s="3" t="str">
        <f>TEXT(CleanedTable[[#This Row],[OrderDate]],"yyyy")</f>
        <v>2024</v>
      </c>
      <c r="D1499" s="3" t="str">
        <f>TEXT(CleanedTable[[#This Row],[OrderDate]],"mmm yyyy")</f>
        <v>Jul 2024</v>
      </c>
      <c r="E1499" t="s">
        <v>19</v>
      </c>
      <c r="F1499" t="s">
        <v>26</v>
      </c>
      <c r="G1499" s="12">
        <v>1</v>
      </c>
      <c r="H1499" s="8">
        <v>272.5</v>
      </c>
      <c r="I1499" t="s">
        <v>32</v>
      </c>
      <c r="J1499" t="s">
        <v>35</v>
      </c>
      <c r="K1499" s="10">
        <v>0</v>
      </c>
      <c r="L1499" t="s">
        <v>37</v>
      </c>
      <c r="M1499">
        <v>272.5</v>
      </c>
      <c r="N1499">
        <v>163.5</v>
      </c>
      <c r="O1499" s="10">
        <v>73.44</v>
      </c>
      <c r="P1499" s="10">
        <v>0.26950458715596332</v>
      </c>
      <c r="Q1499" s="8">
        <v>272.5</v>
      </c>
      <c r="R1499" t="s">
        <v>44</v>
      </c>
      <c r="S1499" t="s">
        <v>50</v>
      </c>
      <c r="T1499" t="s">
        <v>2931</v>
      </c>
      <c r="U1499">
        <v>0</v>
      </c>
      <c r="V1499" t="str">
        <f>IF(CleanedTable[[#This Row],[Returned]] = 0,"NO","Yes")</f>
        <v>NO</v>
      </c>
      <c r="W1499" t="s">
        <v>1548</v>
      </c>
      <c r="X1499" t="s">
        <v>2920</v>
      </c>
      <c r="Y1499" s="10">
        <v>35.56</v>
      </c>
      <c r="Z1499" s="3">
        <v>45500</v>
      </c>
      <c r="AA1499" s="3">
        <v>45507</v>
      </c>
      <c r="AB1499" t="s">
        <v>2922</v>
      </c>
      <c r="AC1499">
        <v>7</v>
      </c>
    </row>
    <row r="1500" spans="1:29" x14ac:dyDescent="0.3">
      <c r="A1500" s="3">
        <v>45629</v>
      </c>
      <c r="B1500" s="3" t="s">
        <v>2959</v>
      </c>
      <c r="C1500" s="3" t="str">
        <f>TEXT(CleanedTable[[#This Row],[OrderDate]],"yyyy")</f>
        <v>2024</v>
      </c>
      <c r="D1500" s="3" t="str">
        <f>TEXT(CleanedTable[[#This Row],[OrderDate]],"mmm yyyy")</f>
        <v>Dec 2024</v>
      </c>
      <c r="E1500" t="s">
        <v>22</v>
      </c>
      <c r="F1500" t="s">
        <v>28</v>
      </c>
      <c r="G1500" s="12">
        <v>14</v>
      </c>
      <c r="H1500" s="8">
        <v>262.67</v>
      </c>
      <c r="I1500" t="s">
        <v>32</v>
      </c>
      <c r="J1500" t="s">
        <v>36</v>
      </c>
      <c r="K1500" s="10">
        <v>0.05</v>
      </c>
      <c r="L1500" t="s">
        <v>40</v>
      </c>
      <c r="M1500">
        <v>3493.511</v>
      </c>
      <c r="N1500">
        <v>2206.4279999999999</v>
      </c>
      <c r="O1500" s="10">
        <v>1262.5530000000001</v>
      </c>
      <c r="P1500" s="10">
        <v>0.36139946317615718</v>
      </c>
      <c r="Q1500" s="8">
        <v>3493.511</v>
      </c>
      <c r="R1500" t="s">
        <v>44</v>
      </c>
      <c r="S1500" t="s">
        <v>49</v>
      </c>
      <c r="T1500" t="s">
        <v>2931</v>
      </c>
      <c r="U1500">
        <v>0</v>
      </c>
      <c r="V1500" t="str">
        <f>IF(CleanedTable[[#This Row],[Returned]] = 0,"NO","Yes")</f>
        <v>NO</v>
      </c>
      <c r="W1500" t="s">
        <v>1549</v>
      </c>
      <c r="X1500" t="s">
        <v>2921</v>
      </c>
      <c r="Y1500" s="10">
        <v>24.53</v>
      </c>
      <c r="Z1500" s="3">
        <v>45629</v>
      </c>
      <c r="AA1500" s="3">
        <v>45636</v>
      </c>
      <c r="AB1500" t="s">
        <v>2925</v>
      </c>
      <c r="AC1500">
        <v>7</v>
      </c>
    </row>
    <row r="1501" spans="1:29" x14ac:dyDescent="0.3">
      <c r="A1501" s="3">
        <v>45786</v>
      </c>
      <c r="B1501" s="3" t="s">
        <v>2952</v>
      </c>
      <c r="C1501" s="3" t="str">
        <f>TEXT(CleanedTable[[#This Row],[OrderDate]],"yyyy")</f>
        <v>2025</v>
      </c>
      <c r="D1501" s="3" t="str">
        <f>TEXT(CleanedTable[[#This Row],[OrderDate]],"mmm yyyy")</f>
        <v>May 2025</v>
      </c>
      <c r="E1501" t="s">
        <v>23</v>
      </c>
      <c r="F1501" t="s">
        <v>27</v>
      </c>
      <c r="G1501" s="12">
        <v>13</v>
      </c>
      <c r="H1501" s="8">
        <v>221.39</v>
      </c>
      <c r="I1501" t="s">
        <v>34</v>
      </c>
      <c r="J1501" t="s">
        <v>35</v>
      </c>
      <c r="K1501" s="10">
        <v>0</v>
      </c>
      <c r="L1501" t="s">
        <v>39</v>
      </c>
      <c r="M1501">
        <v>2878.0699999999997</v>
      </c>
      <c r="N1501">
        <v>1726.8419999999996</v>
      </c>
      <c r="O1501" s="10">
        <v>1130.1780000000001</v>
      </c>
      <c r="P1501" s="10">
        <v>0.3926860708738843</v>
      </c>
      <c r="Q1501" s="8">
        <v>2878.07</v>
      </c>
      <c r="R1501" t="s">
        <v>46</v>
      </c>
      <c r="S1501" t="s">
        <v>48</v>
      </c>
      <c r="T1501" t="s">
        <v>2931</v>
      </c>
      <c r="U1501">
        <v>1</v>
      </c>
      <c r="V1501" t="str">
        <f>IF(CleanedTable[[#This Row],[Returned]] = 0,"NO","Yes")</f>
        <v>Yes</v>
      </c>
      <c r="W1501" t="s">
        <v>1550</v>
      </c>
      <c r="X1501" t="s">
        <v>2207</v>
      </c>
      <c r="Y1501" s="10">
        <v>21.05</v>
      </c>
      <c r="Z1501" s="3">
        <v>45786</v>
      </c>
      <c r="AA1501" s="3">
        <v>45790</v>
      </c>
      <c r="AB1501" t="s">
        <v>2926</v>
      </c>
      <c r="AC1501">
        <v>4</v>
      </c>
    </row>
    <row r="1503" spans="1:29" x14ac:dyDescent="0.3">
      <c r="M1503">
        <f>SUM(M2:M1501)</f>
        <v>4379992.4284999985</v>
      </c>
      <c r="O1503" s="10">
        <f>SUM(O2:O1501)</f>
        <v>1501995.7245000014</v>
      </c>
    </row>
  </sheetData>
  <phoneticPr fontId="3" type="noConversion"/>
  <pageMargins left="0.7" right="0.7" top="0.75" bottom="0.75" header="0.3" footer="0.3"/>
  <ignoredErrors>
    <ignoredError sqref="B1471:B1501" calculatedColumn="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selection sqref="A1:XFD1048576"/>
    </sheetView>
  </sheetViews>
  <sheetFormatPr defaultRowHeight="14.4" x14ac:dyDescent="0.3"/>
  <cols>
    <col min="1" max="1" width="10.33203125" bestFit="1" customWidth="1"/>
    <col min="2" max="2" width="6.88671875" bestFit="1" customWidth="1"/>
    <col min="3" max="3" width="7.6640625" bestFit="1" customWidth="1"/>
    <col min="4" max="4" width="8.33203125" bestFit="1" customWidth="1"/>
    <col min="5" max="5" width="8.6640625" bestFit="1" customWidth="1"/>
    <col min="6" max="6" width="12.6640625" bestFit="1" customWidth="1"/>
    <col min="7" max="7" width="13.33203125" bestFit="1" customWidth="1"/>
    <col min="8" max="8" width="8.33203125" bestFit="1" customWidth="1"/>
    <col min="9" max="9" width="11" bestFit="1" customWidth="1"/>
    <col min="10" max="10" width="10" bestFit="1" customWidth="1"/>
    <col min="11" max="11" width="15.44140625" bestFit="1" customWidth="1"/>
    <col min="12" max="12" width="10" bestFit="1" customWidth="1"/>
    <col min="13" max="13" width="8.77734375" bestFit="1" customWidth="1"/>
    <col min="14" max="14" width="10.33203125" bestFit="1" customWidth="1"/>
    <col min="15" max="15" width="14.21875" bestFit="1" customWidth="1"/>
    <col min="16" max="16" width="12" bestFit="1" customWidth="1"/>
    <col min="17" max="17" width="10.33203125" bestFit="1" customWidth="1"/>
    <col min="18" max="18" width="11.6640625" bestFit="1" customWidth="1"/>
    <col min="19" max="19" width="14.4414062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3">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3">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3">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3">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3">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3">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3">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3">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3">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3">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3">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3">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3">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3">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3">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3">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3">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3">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3">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3">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3">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3">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3">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3">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3">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3">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3">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3">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3">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3">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3">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3">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3">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3">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3">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3">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3">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3">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3">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3">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3">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3">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3">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3">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3">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3">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3">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3">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3">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3">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3">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3">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3">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3">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3">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3">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3">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3">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3">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3">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3">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3">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3">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3">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3">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3">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3">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3">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3">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3">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3">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3">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3">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3">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3">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3">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3">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3">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3">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3">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3">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3">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3">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3">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3">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3">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3">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3">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3">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3">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3">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3">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3">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3">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3">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3">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3">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3">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3">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3">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3">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3">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3">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3">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3">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3">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3">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3">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3">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3">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3">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3">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3">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3">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3">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3">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3">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3">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3">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3">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3">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3">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3">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3">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3">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3">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3">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3">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3">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3">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3">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3">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3">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3">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3">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3">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3">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3">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3">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3">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3">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3">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3">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3">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3">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3">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3">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3">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3">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3">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3">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3">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3">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3">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3">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3">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3">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3">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3">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3">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3">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3">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3">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3">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3">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3">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3">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3">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3">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3">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3">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3">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3">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3">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3">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3">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3">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3">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3">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3">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3">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3">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3">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3">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3">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3">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3">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3">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3">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3">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3">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3">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3">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3">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3">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3">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3">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3">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3">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3">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3">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3">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3">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3">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3">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3">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3">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3">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3">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3">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3">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3">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3">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3">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3">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3">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3">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3">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3">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3">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3">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3">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3">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3">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3">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3">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3">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3">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3">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3">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3">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3">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3">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3">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3">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3">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3">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3">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3">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3">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3">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3">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3">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3">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3">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3">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3">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3">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3">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3">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3">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3">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3">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3">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3">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3">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3">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3">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3">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3">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3">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3">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3">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3">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3">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3">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3">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3">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3">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3">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3">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3">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3">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3">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3">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3">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3">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3">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3">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3">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3">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3">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3">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3">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3">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3">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3">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3">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3">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3">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3">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3">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3">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3">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3">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3">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3">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3">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3">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3">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3">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3">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3">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3">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3">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3">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3">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3">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3">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3">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3">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3">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3">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3">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3">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3">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3">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3">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3">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3">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3">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3">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3">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3">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3">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3">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3">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3">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3">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3">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3">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3">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3">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3">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3">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3">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3">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3">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3">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3">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3">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3">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3">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3">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3">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3">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3">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3">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3">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3">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3">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3">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3">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3">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3">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3">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3">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3">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3">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3">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3">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3">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3">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3">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3">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3">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3">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3">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3">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3">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3">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3">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3">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3">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3">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3">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3">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3">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3">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3">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3">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3">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3">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3">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3">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3">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3">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3">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3">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3">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3">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3">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3">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3">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3">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3">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3">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3">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3">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3">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3">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3">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3">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3">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3">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3">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3">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3">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3">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3">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3">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3">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3">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3">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3">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3">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3">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3">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3">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3">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3">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3">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3">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3">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3">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3">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3">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3">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3">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3">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3">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3">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3">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3">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3">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3">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3">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3">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3">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3">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3">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3">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3">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3">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3">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3">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3">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3">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3">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3">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3">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3">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3">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3">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3">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3">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3">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3">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3">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3">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3">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3">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3">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3">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3">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3">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3">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3">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3">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3">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3">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3">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3">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3">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3">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3">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3">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3">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3">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3">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3">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3">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3">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3">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3">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3">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3">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3">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3">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3">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3">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3">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3">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3">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3">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3">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3">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3">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3">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3">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3">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3">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3">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3">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3">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3">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3">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3">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3">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3">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3">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3">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3">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3">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3">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3">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3">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3">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3">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3">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3">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3">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3">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3">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3">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3">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3">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3">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3">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3">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3">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3">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3">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3">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3">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3">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3">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3">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3">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3">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3">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3">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3">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3">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3">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3">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3">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3">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3">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3">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3">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3">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3">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3">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3">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3">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3">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3">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3">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3">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3">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3">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3">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3">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3">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3">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3">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3">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3">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3">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3">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3">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3">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3">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3">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3">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3">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3">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3">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3">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3">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3">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3">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3">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3">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3">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3">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3">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3">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3">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3">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3">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3">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3">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3">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3">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3">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3">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3">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3">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3">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3">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3">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3">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3">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3">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3">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3">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3">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3">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3">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3">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3">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3">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3">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3">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3">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3">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3">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3">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3">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3">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3">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3">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3">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3">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3">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3">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3">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3">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3">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3">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3">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3">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3">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3">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3">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3">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3">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3">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3">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3">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3">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3">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3">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3">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3">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3">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3">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3">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3">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3">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3">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3">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3">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3">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3">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3">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3">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3">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3">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3">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3">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3">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3">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3">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3">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3">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3">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3">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3">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3">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3">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3">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3">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3">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3">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3">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3">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3">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3">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3">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3">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3">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3">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3">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3">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3">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3">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3">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3">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3">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3">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3">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3">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3">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3">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3">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3">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3">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3">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3">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3">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3">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3">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3">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3">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3">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3">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3">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3">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3">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3">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3">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3">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3">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3">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3">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3">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3">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3">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3">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3">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3">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3">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3">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3">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3">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3">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3">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3">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3">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3">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3">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3">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3">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3">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3">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3">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3">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3">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3">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3">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3">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3">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3">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3">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3">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3">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3">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3">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3">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3">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3">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3">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3">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3">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3">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3">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3">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3">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3">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3">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3">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3">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3">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3">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3">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3">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3">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3">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3">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3">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3">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3">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3">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3">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3">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3">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3">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3">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3">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3">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3">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3">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3">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3">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3">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3">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3">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3">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3">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3">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3">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3">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3">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3">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3">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3">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3">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3">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3">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3">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3">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3">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3">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3">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3">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3">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3">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3">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3">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3">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3">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3">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3">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3">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3">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3">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3">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3">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3">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3">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3">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3">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3">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3">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3">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3">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3">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3">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3">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3">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3">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3">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3">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3">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3">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3">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3">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3">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3">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3">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3">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3">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3">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3">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3">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3">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3">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3">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3">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3">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3">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3">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3">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3">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3">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3">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3">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3">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3">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3">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3">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3">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3">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3">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3">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3">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3">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3">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3">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3">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3">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3">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3">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3">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3">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3">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3">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3">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3">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3">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3">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3">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3">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3">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3">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3">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3">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3">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3">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3">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3">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3">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3">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3">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3">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3">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3">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3">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3">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3">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3">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3">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3">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3">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3">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3">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3">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3">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3">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3">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3">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3">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3">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3">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3">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3">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3">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3">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3">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3">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3">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3">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3">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3">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3">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3">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3">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3">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3">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3">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3">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3">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3">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3">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3">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3">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3">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3">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3">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3">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3">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3">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3">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3">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3">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3">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3">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3">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3">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3">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3">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3">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3">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3">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3">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3">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3">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3">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3">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3">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3">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3">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3">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3">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3">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3">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3">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3">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3">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3">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3">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3">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3">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3">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3">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3">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3">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3">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3">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3">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3">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3">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3">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3">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3">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3">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3">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3">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3">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3">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3">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3">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3">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3">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3">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3">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3">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3">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3">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3">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3">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3">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3">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3">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3">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3">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3">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3">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3">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3">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3">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3">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3">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3">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3">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3">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3">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3">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3">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3">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3">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3">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3">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3">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3">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3">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3">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3">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3">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3">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3">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3">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3">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3">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3">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3">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3">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3">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3">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3">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3">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3">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3">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3">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3">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3">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3">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3">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3">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3">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3">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3">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3">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3">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3">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3">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3">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3">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3">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3">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3">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3">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3">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3">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3">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3">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3">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3">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3">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3">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3">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3">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3">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3">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3">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3">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3">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3">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3">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3">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3">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3">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3">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3">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3">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3">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3">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3">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3">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3">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3">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3">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3">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3">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3">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3">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3">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3">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3">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3">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3">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3">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3">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3">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3">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3">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3">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3">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3">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3">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3">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3">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3">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3">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3">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3">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3">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3">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3">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3">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3">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3">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3">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3">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3">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3">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3">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3">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3">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3">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3">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3">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3">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3">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3">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3">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3">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3">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3">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3">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3">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3">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3">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3">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3">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3">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3">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3">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3">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3">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3">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3">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3">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3">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3">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3">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3">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3">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3">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3">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3">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3">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3">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3">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3">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3">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3">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3">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3">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3">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3">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3">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3">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3">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3">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3">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3">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3">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3">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3">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3">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3">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3">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3">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3">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3">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3">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3">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3">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3">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3">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3">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3">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3">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3">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3">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3">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3">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3">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3">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3">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3">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3">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3">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3">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3">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3">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3">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3">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3">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3">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3">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3">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3">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3">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3">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3">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3">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3">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3">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3">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3">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3">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3">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3">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3">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3">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3">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3">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3">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3">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3">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3">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3">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3">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3">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3">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3">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3">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3">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3">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3">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3">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3">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3">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3">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3">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3">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3">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3">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3">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3">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3">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3">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3">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3">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3">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3">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3">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3">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3">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3">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3">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3">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3">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3">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3">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3">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3">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3">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3">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3">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3">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3">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3">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3">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3">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3">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3">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3">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3">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3">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3">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3">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3">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3">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3">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3">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3">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3">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3">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3">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3">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3">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3">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3">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3">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3">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3">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3">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3">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3">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3">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3">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3">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3">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3">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3">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3">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3">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3">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3">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3">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3">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3">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3">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3">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3">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3">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3">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3">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3">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3">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3">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3">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3">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3">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3">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3">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3">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3">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3">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3">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3">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3">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3">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3">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3">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3">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3">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3">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3">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3">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3">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3">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3">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3">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3">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3">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3">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3">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3">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3">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3">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3">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3">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3">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3">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3">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3">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3">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3">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3">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3">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3">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3">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3">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3">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3">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3">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3">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3">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3">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3">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3">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3">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3">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3">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3">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3">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3">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3">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3">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3">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3">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3">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3">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3">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3">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3">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3">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3">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3">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3">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3">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3">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3">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3">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3">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3">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3">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3">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3">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3">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3">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3">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3">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3">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3">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3">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3">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3">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3">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3">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3">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3">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3">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3">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3">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3">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3">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3">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3">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3">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3">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3">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3">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3">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3">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3">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3">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3">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3">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3">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3">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3">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3">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3">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3">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3">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3">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3">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3">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3">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3">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3">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3">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3">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3">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3">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3">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3">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3">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3">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3">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3">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3">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3">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3">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3">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3">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3">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3">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3">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3">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3">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3">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3">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3">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3">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3">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3">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3">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3">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3">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3">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3">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3">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3">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3">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3">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3">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3">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3">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3">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3">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3">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3">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3">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3">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3">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3">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3">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3">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3">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3">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vt:lpstr>
      <vt:lpstr>Charts</vt:lpstr>
      <vt:lpstr>CustomerPromotion</vt:lpstr>
      <vt:lpstr>Dashboard</vt:lpstr>
      <vt:lpstr>Cleaned Data</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Gurparveen Chahal</cp:lastModifiedBy>
  <dcterms:created xsi:type="dcterms:W3CDTF">2025-06-21T13:19:11Z</dcterms:created>
  <dcterms:modified xsi:type="dcterms:W3CDTF">2026-04-19T10:41:16Z</dcterms:modified>
</cp:coreProperties>
</file>